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Applications" sheetId="1" state="visible" r:id="rId1"/>
    <sheet xmlns:r="http://schemas.openxmlformats.org/officeDocument/2006/relationships" name="Insights" sheetId="2" state="visible" r:id="rId2"/>
    <sheet xmlns:r="http://schemas.openxmlformats.org/officeDocument/2006/relationships" name="Conversion Analysis" sheetId="3" state="visible" r:id="rId3"/>
    <sheet xmlns:r="http://schemas.openxmlformats.org/officeDocument/2006/relationships" name="Dashboard" sheetId="4" state="visible" r:id="rId4"/>
    <sheet xmlns:r="http://schemas.openxmlformats.org/officeDocument/2006/relationships" name="Outreach Log" sheetId="5" state="visible" r:id="rId5"/>
    <sheet xmlns:r="http://schemas.openxmlformats.org/officeDocument/2006/relationships" name="Target Profile" sheetId="6" state="visible" r:id="rId6"/>
    <sheet xmlns:r="http://schemas.openxmlformats.org/officeDocument/2006/relationships" name="Target Companies" sheetId="7" state="visible" r:id="rId7"/>
    <sheet xmlns:r="http://schemas.openxmlformats.org/officeDocument/2006/relationships" name="Top 100 Canadian Employers" sheetId="8" state="visible" r:id="rId8"/>
    <sheet xmlns:r="http://schemas.openxmlformats.org/officeDocument/2006/relationships" name="AI Startups" sheetId="9" state="visible" r:id="rId9"/>
    <sheet xmlns:r="http://schemas.openxmlformats.org/officeDocument/2006/relationships" name="Company Analysis" sheetId="10" state="visible" r:id="rId10"/>
    <sheet xmlns:r="http://schemas.openxmlformats.org/officeDocument/2006/relationships" name="Job Identification Model" sheetId="11" state="visible" r:id="rId11"/>
  </sheets>
  <definedNames>
    <definedName name="_xlnm._FilterDatabase" localSheetId="0" hidden="1">'Applications'!$A$1:$AF$436</definedName>
    <definedName name="_xlnm._FilterDatabase" localSheetId="9" hidden="1">'Company Analysis'!$A$1:$L$210</definedName>
  </definedNames>
  <calcPr calcId="124519" calcMode="auto" fullCalcOnLoad="1" refMode="A1" iterate="0" iterateCount="100" iterateDelta="0.0001" forceFullCalc="1"/>
</workbook>
</file>

<file path=xl/styles.xml><?xml version="1.0" encoding="utf-8"?>
<styleSheet xmlns="http://schemas.openxmlformats.org/spreadsheetml/2006/main">
  <numFmts count="3">
    <numFmt numFmtId="164" formatCode="yyyy\-mm\-dd\ h:mm:ss"/>
    <numFmt numFmtId="165" formatCode="yyyy\-mm\-dd"/>
    <numFmt numFmtId="166" formatCode="0.0%"/>
  </numFmts>
  <fonts count="24">
    <font>
      <name val="Calibri"/>
      <charset val="1"/>
      <family val="2"/>
      <color theme="1"/>
      <sz val="11"/>
    </font>
    <font>
      <name val="Arial"/>
      <family val="0"/>
      <sz val="10"/>
    </font>
    <font>
      <name val="Arial"/>
      <family val="0"/>
      <sz val="10"/>
    </font>
    <font>
      <name val="Arial"/>
      <family val="0"/>
      <sz val="10"/>
    </font>
    <font>
      <name val="Arial"/>
      <charset val="1"/>
      <family val="2"/>
      <b val="1"/>
      <color rgb="FFFFFFFF"/>
      <sz val="10"/>
    </font>
    <font>
      <name val="Cambria"/>
      <charset val="1"/>
      <family val="0"/>
      <b val="1"/>
      <color rgb="FFFFFFFF"/>
      <sz val="11"/>
    </font>
    <font>
      <name val="Calibri"/>
      <charset val="1"/>
      <family val="0"/>
      <sz val="10"/>
    </font>
    <font>
      <name val="Cambria"/>
      <charset val="1"/>
      <family val="0"/>
      <b val="1"/>
      <color rgb="FFFFFFFF"/>
      <sz val="14"/>
    </font>
    <font>
      <name val="Cambria"/>
      <charset val="1"/>
      <family val="0"/>
      <sz val="10"/>
    </font>
    <font>
      <name val="Cambria"/>
      <charset val="1"/>
      <family val="0"/>
      <b val="1"/>
      <sz val="10"/>
    </font>
    <font>
      <name val="Arial"/>
      <charset val="1"/>
      <family val="2"/>
      <b val="1"/>
      <color rgb="FF1F3864"/>
      <sz val="13"/>
    </font>
    <font>
      <name val="Arial"/>
      <charset val="1"/>
      <family val="2"/>
      <color rgb="FF000000"/>
      <sz val="10"/>
    </font>
    <font>
      <name val="Arial"/>
      <charset val="1"/>
      <family val="2"/>
      <i val="1"/>
      <color rgb="FF555555"/>
      <sz val="9"/>
    </font>
    <font>
      <name val="Arial"/>
      <charset val="1"/>
      <family val="2"/>
      <b val="1"/>
      <sz val="11"/>
    </font>
    <font>
      <name val="Arial"/>
      <charset val="1"/>
      <family val="2"/>
      <sz val="10"/>
    </font>
    <font>
      <name val="Arial"/>
      <charset val="1"/>
      <family val="2"/>
      <b val="1"/>
      <color rgb="FFFFFFFF"/>
      <sz val="14"/>
    </font>
    <font>
      <name val="Arial"/>
      <charset val="1"/>
      <family val="2"/>
      <i val="1"/>
      <sz val="9"/>
    </font>
    <font>
      <name val="Arial"/>
      <charset val="1"/>
      <family val="2"/>
      <b val="1"/>
      <color rgb="FF1F4E79"/>
      <sz val="11"/>
    </font>
    <font>
      <name val="Arial"/>
      <charset val="1"/>
      <family val="2"/>
      <i val="1"/>
      <color rgb="FF808080"/>
      <sz val="10"/>
    </font>
    <font>
      <name val="Arial"/>
      <charset val="1"/>
      <family val="2"/>
      <sz val="9"/>
    </font>
    <font>
      <name val="Arial"/>
      <charset val="1"/>
      <family val="2"/>
      <color rgb="FF808080"/>
      <sz val="10"/>
    </font>
    <font>
      <b val="1"/>
      <color rgb="00FFFFFF"/>
    </font>
    <font>
      <b val="1"/>
      <color rgb="00FFFFFF"/>
      <sz val="16"/>
    </font>
    <font>
      <b val="1"/>
    </font>
  </fonts>
  <fills count="15">
    <fill>
      <patternFill/>
    </fill>
    <fill>
      <patternFill patternType="gray125"/>
    </fill>
    <fill>
      <patternFill patternType="solid">
        <fgColor rgb="FF1F3864"/>
        <bgColor rgb="FF1F4E79"/>
      </patternFill>
    </fill>
    <fill>
      <patternFill patternType="solid">
        <fgColor rgb="FF2F5496"/>
        <bgColor rgb="FF1F4E79"/>
      </patternFill>
    </fill>
    <fill>
      <patternFill patternType="solid">
        <fgColor rgb="FFF8CBAD"/>
        <bgColor rgb="FFD9D9D9"/>
      </patternFill>
    </fill>
    <fill>
      <patternFill patternType="solid">
        <fgColor rgb="FFFFFFFF"/>
        <bgColor rgb="FFF2F2F2"/>
      </patternFill>
    </fill>
    <fill>
      <patternFill patternType="solid">
        <fgColor rgb="FFFFF2CC"/>
        <bgColor rgb="FFF2F2F2"/>
      </patternFill>
    </fill>
    <fill>
      <patternFill patternType="solid">
        <fgColor rgb="FFD9D9D9"/>
        <bgColor rgb="FFD9E7F5"/>
      </patternFill>
    </fill>
    <fill>
      <patternFill patternType="solid">
        <fgColor rgb="FFC6E0B4"/>
        <bgColor rgb="FFD9D9D9"/>
      </patternFill>
    </fill>
    <fill>
      <patternFill patternType="solid">
        <fgColor rgb="FFD9E7F5"/>
        <bgColor rgb="FFD9D9D9"/>
      </patternFill>
    </fill>
    <fill>
      <patternFill patternType="solid">
        <fgColor rgb="FFF2F2F2"/>
        <bgColor rgb="FFFFFFFF"/>
      </patternFill>
    </fill>
    <fill>
      <patternFill patternType="solid">
        <fgColor rgb="0017365D"/>
      </patternFill>
    </fill>
    <fill>
      <patternFill patternType="solid">
        <fgColor rgb="002F75B5"/>
      </patternFill>
    </fill>
    <fill>
      <patternFill patternType="solid">
        <fgColor rgb="001F7A8C"/>
      </patternFill>
    </fill>
    <fill>
      <patternFill patternType="solid">
        <fgColor rgb="00D9EAF7"/>
      </patternFill>
    </fill>
  </fills>
  <borders count="9">
    <border>
      <left/>
      <right/>
      <top/>
      <bottom/>
      <diagonal/>
    </border>
    <border>
      <left style="thin">
        <color rgb="FFBBBBBB"/>
      </left>
      <right style="thin">
        <color rgb="FFBBBBBB"/>
      </right>
      <top style="thin">
        <color rgb="FFBBBBBB"/>
      </top>
      <bottom style="thin">
        <color rgb="FFBBBBBB"/>
      </bottom>
      <diagonal/>
    </border>
    <border>
      <left style="thin">
        <color rgb="FFD9D9D9"/>
      </left>
      <right style="thin">
        <color rgb="FFD9D9D9"/>
      </right>
      <top style="thin">
        <color rgb="FFD9D9D9"/>
      </top>
      <bottom style="thin">
        <color rgb="FFD9D9D9"/>
      </bottom>
      <diagonal/>
    </border>
    <border>
      <left style="thin">
        <color rgb="FFBFBFBF"/>
      </left>
      <right style="thin">
        <color rgb="FFBFBFBF"/>
      </right>
      <top style="thin">
        <color rgb="FFBFBFBF"/>
      </top>
      <bottom style="thin">
        <color rgb="FFBFBFBF"/>
      </bottom>
      <diagonal/>
    </border>
    <border>
      <left/>
      <right/>
      <top style="thin">
        <color rgb="FFD9D9D9"/>
      </top>
      <bottom/>
      <diagonal/>
    </border>
    <border>
      <left/>
      <right style="thin">
        <color rgb="FFD9D9D9"/>
      </right>
      <top style="thin">
        <color rgb="FFD9D9D9"/>
      </top>
      <bottom/>
      <diagonal/>
    </border>
    <border>
      <left/>
      <right/>
      <top style="thin">
        <color rgb="FFD9D9D9"/>
      </top>
      <bottom style="thin">
        <color rgb="FFD9D9D9"/>
      </bottom>
      <diagonal/>
    </border>
    <border>
      <left/>
      <right style="thin">
        <color rgb="FFD9D9D9"/>
      </right>
      <top style="thin">
        <color rgb="FFD9D9D9"/>
      </top>
      <bottom style="thin">
        <color rgb="FFD9D9D9"/>
      </bottom>
      <diagonal/>
    </border>
    <border>
      <bottom style="thin">
        <color rgb="00D9E1F2"/>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95">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5" fillId="3" borderId="0" applyAlignment="1" pivotButton="0" quotePrefix="0" xfId="0">
      <alignment horizontal="center" vertical="bottom"/>
    </xf>
    <xf numFmtId="0" fontId="6" fillId="0" borderId="2" applyAlignment="1" pivotButton="0" quotePrefix="0" xfId="0">
      <alignment horizontal="general" vertical="top"/>
    </xf>
    <xf numFmtId="0" fontId="6" fillId="4" borderId="2" applyAlignment="1" pivotButton="0" quotePrefix="0" xfId="0">
      <alignment horizontal="general" vertical="top"/>
    </xf>
    <xf numFmtId="164" fontId="6" fillId="0" borderId="2" applyAlignment="1" pivotButton="0" quotePrefix="0" xfId="0">
      <alignment horizontal="general" vertical="top"/>
    </xf>
    <xf numFmtId="0" fontId="6" fillId="0" borderId="2" applyAlignment="1" pivotButton="0" quotePrefix="0" xfId="0">
      <alignment horizontal="general" vertical="top" wrapText="1"/>
    </xf>
    <xf numFmtId="165" fontId="6" fillId="0" borderId="2" applyAlignment="1" pivotButton="0" quotePrefix="0" xfId="0">
      <alignment horizontal="general" vertical="top"/>
    </xf>
    <xf numFmtId="0" fontId="6" fillId="5" borderId="2" applyAlignment="1" pivotButton="0" quotePrefix="0" xfId="0">
      <alignment horizontal="general" vertical="top"/>
    </xf>
    <xf numFmtId="0" fontId="6" fillId="6" borderId="2" applyAlignment="1" pivotButton="0" quotePrefix="0" xfId="0">
      <alignment horizontal="general" vertical="top"/>
    </xf>
    <xf numFmtId="0" fontId="6" fillId="7" borderId="2" applyAlignment="1" pivotButton="0" quotePrefix="0" xfId="0">
      <alignment horizontal="general" vertical="top"/>
    </xf>
    <xf numFmtId="0" fontId="6" fillId="8" borderId="2" applyAlignment="1" pivotButton="0" quotePrefix="0" xfId="0">
      <alignment horizontal="general" vertical="top"/>
    </xf>
    <xf numFmtId="0" fontId="7" fillId="2" borderId="0" applyAlignment="1" pivotButton="0" quotePrefix="0" xfId="0">
      <alignment horizontal="general" vertical="bottom"/>
    </xf>
    <xf numFmtId="0" fontId="5" fillId="3" borderId="0" applyAlignment="1" pivotButton="0" quotePrefix="0" xfId="0">
      <alignment horizontal="general" vertical="bottom"/>
    </xf>
    <xf numFmtId="0" fontId="8" fillId="0" borderId="2" applyAlignment="1" pivotButton="0" quotePrefix="0" xfId="0">
      <alignment horizontal="general" vertical="top"/>
    </xf>
    <xf numFmtId="0" fontId="9" fillId="6" borderId="2" applyAlignment="1" pivotButton="0" quotePrefix="0" xfId="0">
      <alignment horizontal="general" vertical="top"/>
    </xf>
    <xf numFmtId="0" fontId="8" fillId="0" borderId="2" applyAlignment="1" pivotButton="0" quotePrefix="0" xfId="0">
      <alignment horizontal="general" vertical="top" wrapText="1"/>
    </xf>
    <xf numFmtId="0" fontId="10" fillId="0" borderId="0" applyAlignment="1" pivotButton="0" quotePrefix="0" xfId="0">
      <alignment horizontal="general" vertical="bottom"/>
    </xf>
    <xf numFmtId="0" fontId="4" fillId="2" borderId="0" applyAlignment="1" pivotButton="0" quotePrefix="0" xfId="0">
      <alignment horizontal="general" vertical="bottom"/>
    </xf>
    <xf numFmtId="0" fontId="11" fillId="0" borderId="0" applyAlignment="1" pivotButton="0" quotePrefix="0" xfId="0">
      <alignment horizontal="general" vertical="bottom"/>
    </xf>
    <xf numFmtId="166" fontId="11" fillId="0" borderId="0" applyAlignment="1" pivotButton="0" quotePrefix="0" xfId="0">
      <alignment horizontal="general" vertical="bottom"/>
    </xf>
    <xf numFmtId="0" fontId="12" fillId="0" borderId="0" applyAlignment="1" pivotButton="0" quotePrefix="0" xfId="0">
      <alignment horizontal="general" vertical="bottom"/>
    </xf>
    <xf numFmtId="0" fontId="13" fillId="0" borderId="0" applyAlignment="1" pivotButton="0" quotePrefix="0" xfId="0">
      <alignment horizontal="general" vertical="bottom"/>
    </xf>
    <xf numFmtId="0" fontId="14" fillId="0" borderId="0" applyAlignment="1" pivotButton="0" quotePrefix="0" xfId="0">
      <alignment horizontal="general" vertical="bottom"/>
    </xf>
    <xf numFmtId="9" fontId="11" fillId="0" borderId="0" applyAlignment="1" pivotButton="0" quotePrefix="0" xfId="0">
      <alignment horizontal="general" vertical="bottom"/>
    </xf>
    <xf numFmtId="0" fontId="14" fillId="0" borderId="1" applyAlignment="1" pivotButton="0" quotePrefix="0" xfId="0">
      <alignment horizontal="general" vertical="bottom"/>
    </xf>
    <xf numFmtId="165" fontId="14" fillId="0" borderId="1" applyAlignment="1" pivotButton="0" quotePrefix="0" xfId="0">
      <alignment horizontal="general" vertical="bottom"/>
    </xf>
    <xf numFmtId="0" fontId="12" fillId="0" borderId="0" applyAlignment="1" pivotButton="0" quotePrefix="0" xfId="0">
      <alignment horizontal="general" vertical="bottom"/>
    </xf>
    <xf numFmtId="0" fontId="10" fillId="0" borderId="0" applyAlignment="1" pivotButton="0" quotePrefix="0" xfId="0">
      <alignment horizontal="general" vertical="bottom"/>
    </xf>
    <xf numFmtId="165" fontId="14" fillId="0" borderId="1" applyAlignment="1" pivotButton="0" quotePrefix="0" xfId="0">
      <alignment horizontal="general" vertical="center"/>
    </xf>
    <xf numFmtId="0" fontId="14" fillId="0" borderId="1" applyAlignment="1" pivotButton="0" quotePrefix="0" xfId="0">
      <alignment horizontal="general" vertical="center"/>
    </xf>
    <xf numFmtId="0" fontId="15" fillId="2" borderId="0" applyAlignment="1" pivotButton="0" quotePrefix="0" xfId="0">
      <alignment horizontal="general" vertical="bottom"/>
    </xf>
    <xf numFmtId="0" fontId="16" fillId="0" borderId="0" applyAlignment="1" pivotButton="0" quotePrefix="0" xfId="0">
      <alignment horizontal="general" vertical="bottom"/>
    </xf>
    <xf numFmtId="0" fontId="4" fillId="2" borderId="3" applyAlignment="1" pivotButton="0" quotePrefix="0" xfId="0">
      <alignment horizontal="center" vertical="center" wrapText="1"/>
    </xf>
    <xf numFmtId="0" fontId="17" fillId="9" borderId="0" applyAlignment="1" pivotButton="0" quotePrefix="0" xfId="0">
      <alignment horizontal="general" vertical="bottom"/>
    </xf>
    <xf numFmtId="0" fontId="18" fillId="10" borderId="3" applyAlignment="1" pivotButton="0" quotePrefix="0" xfId="0">
      <alignment horizontal="general" vertical="top" wrapText="1"/>
    </xf>
    <xf numFmtId="0" fontId="14" fillId="0" borderId="3" applyAlignment="1" pivotButton="0" quotePrefix="0" xfId="0">
      <alignment horizontal="general" vertical="top" wrapText="1"/>
    </xf>
    <xf numFmtId="0" fontId="19" fillId="0" borderId="0" applyAlignment="1" pivotButton="0" quotePrefix="0" xfId="0">
      <alignment horizontal="general" vertical="bottom"/>
    </xf>
    <xf numFmtId="0" fontId="4" fillId="2" borderId="0" applyAlignment="1" pivotButton="0" quotePrefix="0" xfId="0">
      <alignment horizontal="center" vertical="bottom"/>
    </xf>
    <xf numFmtId="0" fontId="11" fillId="0" borderId="0" applyAlignment="1" pivotButton="0" quotePrefix="0" xfId="0">
      <alignment horizontal="center" vertical="bottom"/>
    </xf>
    <xf numFmtId="0" fontId="20" fillId="10" borderId="0" applyAlignment="1" pivotButton="0" quotePrefix="0" xfId="0">
      <alignment horizontal="center" vertical="bottom"/>
    </xf>
    <xf numFmtId="0" fontId="20" fillId="1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0" fontId="5" fillId="3" borderId="0" applyAlignment="1" pivotButton="0" quotePrefix="0" xfId="0">
      <alignment horizontal="center" vertical="bottom"/>
    </xf>
    <xf numFmtId="0" fontId="21" fillId="11" borderId="8" applyAlignment="1" pivotButton="0" quotePrefix="0" xfId="0">
      <alignment horizontal="center" vertical="center" wrapText="1"/>
    </xf>
    <xf numFmtId="0" fontId="6" fillId="0" borderId="2" applyAlignment="1" pivotButton="0" quotePrefix="0" xfId="0">
      <alignment horizontal="general" vertical="top"/>
    </xf>
    <xf numFmtId="0" fontId="6" fillId="4" borderId="2" applyAlignment="1" pivotButton="0" quotePrefix="0" xfId="0">
      <alignment horizontal="general" vertical="top"/>
    </xf>
    <xf numFmtId="164" fontId="6" fillId="0" borderId="2" applyAlignment="1" pivotButton="0" quotePrefix="0" xfId="0">
      <alignment horizontal="general" vertical="top"/>
    </xf>
    <xf numFmtId="0" fontId="6" fillId="0" borderId="2" applyAlignment="1" pivotButton="0" quotePrefix="0" xfId="0">
      <alignment horizontal="general" vertical="top" wrapText="1"/>
    </xf>
    <xf numFmtId="0" fontId="0" fillId="0" borderId="0" applyAlignment="1" pivotButton="0" quotePrefix="0" xfId="0">
      <alignment vertical="top" wrapText="1"/>
    </xf>
    <xf numFmtId="165" fontId="6" fillId="0" borderId="2" applyAlignment="1" pivotButton="0" quotePrefix="0" xfId="0">
      <alignment horizontal="general" vertical="top"/>
    </xf>
    <xf numFmtId="0" fontId="6" fillId="5" borderId="2" applyAlignment="1" pivotButton="0" quotePrefix="0" xfId="0">
      <alignment horizontal="general" vertical="top"/>
    </xf>
    <xf numFmtId="0" fontId="6" fillId="6" borderId="2" applyAlignment="1" pivotButton="0" quotePrefix="0" xfId="0">
      <alignment horizontal="general" vertical="top"/>
    </xf>
    <xf numFmtId="0" fontId="6" fillId="7" borderId="2" applyAlignment="1" pivotButton="0" quotePrefix="0" xfId="0">
      <alignment horizontal="general" vertical="top"/>
    </xf>
    <xf numFmtId="0" fontId="6" fillId="8" borderId="2" applyAlignment="1" pivotButton="0" quotePrefix="0" xfId="0">
      <alignment horizontal="general" vertical="top"/>
    </xf>
    <xf numFmtId="0" fontId="0" fillId="0" borderId="6" pivotButton="0" quotePrefix="0" xfId="0"/>
    <xf numFmtId="0" fontId="0" fillId="0" borderId="7" pivotButton="0" quotePrefix="0" xfId="0"/>
    <xf numFmtId="0" fontId="7" fillId="2" borderId="0" applyAlignment="1" pivotButton="0" quotePrefix="0" xfId="0">
      <alignment horizontal="general" vertical="bottom"/>
    </xf>
    <xf numFmtId="0" fontId="5" fillId="3" borderId="0" applyAlignment="1" pivotButton="0" quotePrefix="0" xfId="0">
      <alignment horizontal="general" vertical="bottom"/>
    </xf>
    <xf numFmtId="0" fontId="8" fillId="0" borderId="2" applyAlignment="1" pivotButton="0" quotePrefix="0" xfId="0">
      <alignment horizontal="general" vertical="top"/>
    </xf>
    <xf numFmtId="0" fontId="9" fillId="6" borderId="2" applyAlignment="1" pivotButton="0" quotePrefix="0" xfId="0">
      <alignment horizontal="general" vertical="top"/>
    </xf>
    <xf numFmtId="0" fontId="8" fillId="0" borderId="2" applyAlignment="1" pivotButton="0" quotePrefix="0" xfId="0">
      <alignment horizontal="general" vertical="top" wrapText="1"/>
    </xf>
    <xf numFmtId="0" fontId="22" fillId="11" borderId="0" applyAlignment="1" pivotButton="0" quotePrefix="0" xfId="0">
      <alignment vertical="top" wrapText="1"/>
    </xf>
    <xf numFmtId="0" fontId="21" fillId="12" borderId="0" applyAlignment="1" pivotButton="0" quotePrefix="0" xfId="0">
      <alignment vertical="top" wrapText="1"/>
    </xf>
    <xf numFmtId="0" fontId="23" fillId="14" borderId="0" applyAlignment="1" pivotButton="0" quotePrefix="0" xfId="0">
      <alignment vertical="top" wrapText="1"/>
    </xf>
    <xf numFmtId="0" fontId="21" fillId="13" borderId="0" applyAlignment="1" pivotButton="0" quotePrefix="0" xfId="0">
      <alignment vertical="top" wrapText="1"/>
    </xf>
    <xf numFmtId="166" fontId="0" fillId="0" borderId="0" applyAlignment="1" pivotButton="0" quotePrefix="0" xfId="0">
      <alignment vertical="top" wrapText="1"/>
    </xf>
    <xf numFmtId="0" fontId="21" fillId="11" borderId="0" applyAlignment="1" pivotButton="0" quotePrefix="0" xfId="0">
      <alignment vertical="top" wrapText="1"/>
    </xf>
    <xf numFmtId="0" fontId="10" fillId="0" borderId="0" applyAlignment="1" pivotButton="0" quotePrefix="0" xfId="0">
      <alignment horizontal="general" vertical="bottom"/>
    </xf>
    <xf numFmtId="0" fontId="4" fillId="2" borderId="0" applyAlignment="1" pivotButton="0" quotePrefix="0" xfId="0">
      <alignment horizontal="general" vertical="bottom"/>
    </xf>
    <xf numFmtId="0" fontId="11" fillId="0" borderId="0" applyAlignment="1" pivotButton="0" quotePrefix="0" xfId="0">
      <alignment horizontal="general" vertical="bottom"/>
    </xf>
    <xf numFmtId="166" fontId="11" fillId="0" borderId="0" applyAlignment="1" pivotButton="0" quotePrefix="0" xfId="0">
      <alignment horizontal="general" vertical="bottom"/>
    </xf>
    <xf numFmtId="0" fontId="12" fillId="0" borderId="0" applyAlignment="1" pivotButton="0" quotePrefix="0" xfId="0">
      <alignment horizontal="general" vertical="bottom"/>
    </xf>
    <xf numFmtId="0" fontId="13" fillId="0" borderId="0" applyAlignment="1" pivotButton="0" quotePrefix="0" xfId="0">
      <alignment horizontal="general" vertical="bottom"/>
    </xf>
    <xf numFmtId="0" fontId="14" fillId="0" borderId="0" applyAlignment="1" pivotButton="0" quotePrefix="0" xfId="0">
      <alignment horizontal="general" vertical="bottom"/>
    </xf>
    <xf numFmtId="9" fontId="11" fillId="0" borderId="0" applyAlignment="1" pivotButton="0" quotePrefix="0" xfId="0">
      <alignment horizontal="general" vertical="bottom"/>
    </xf>
    <xf numFmtId="0" fontId="21" fillId="11" borderId="0" applyAlignment="1" pivotButton="0" quotePrefix="0" xfId="0">
      <alignment horizontal="center" wrapText="1"/>
    </xf>
    <xf numFmtId="0" fontId="14" fillId="0" borderId="1" applyAlignment="1" pivotButton="0" quotePrefix="0" xfId="0">
      <alignment horizontal="general" vertical="bottom"/>
    </xf>
    <xf numFmtId="165" fontId="14" fillId="0" borderId="1" applyAlignment="1" pivotButton="0" quotePrefix="0" xfId="0">
      <alignment horizontal="general" vertical="bottom"/>
    </xf>
    <xf numFmtId="165" fontId="14" fillId="0" borderId="1" applyAlignment="1" pivotButton="0" quotePrefix="0" xfId="0">
      <alignment horizontal="general" vertical="center"/>
    </xf>
    <xf numFmtId="0" fontId="14" fillId="0" borderId="1" applyAlignment="1" pivotButton="0" quotePrefix="0" xfId="0">
      <alignment horizontal="general" vertical="center"/>
    </xf>
    <xf numFmtId="0" fontId="15" fillId="2" borderId="0" applyAlignment="1" pivotButton="0" quotePrefix="0" xfId="0">
      <alignment horizontal="general" vertical="bottom"/>
    </xf>
    <xf numFmtId="0" fontId="16" fillId="0" borderId="0" applyAlignment="1" pivotButton="0" quotePrefix="0" xfId="0">
      <alignment horizontal="general" vertical="bottom"/>
    </xf>
    <xf numFmtId="0" fontId="4" fillId="2" borderId="3" applyAlignment="1" pivotButton="0" quotePrefix="0" xfId="0">
      <alignment horizontal="center" vertical="center" wrapText="1"/>
    </xf>
    <xf numFmtId="0" fontId="17" fillId="9" borderId="0" applyAlignment="1" pivotButton="0" quotePrefix="0" xfId="0">
      <alignment horizontal="general" vertical="bottom"/>
    </xf>
    <xf numFmtId="0" fontId="18" fillId="10" borderId="3" applyAlignment="1" pivotButton="0" quotePrefix="0" xfId="0">
      <alignment horizontal="general" vertical="top" wrapText="1"/>
    </xf>
    <xf numFmtId="0" fontId="14" fillId="0" borderId="3" applyAlignment="1" pivotButton="0" quotePrefix="0" xfId="0">
      <alignment horizontal="general" vertical="top" wrapText="1"/>
    </xf>
    <xf numFmtId="0" fontId="19" fillId="0" borderId="0" applyAlignment="1" pivotButton="0" quotePrefix="0" xfId="0">
      <alignment horizontal="general" vertical="bottom"/>
    </xf>
    <xf numFmtId="0" fontId="4" fillId="2" borderId="0" applyAlignment="1" pivotButton="0" quotePrefix="0" xfId="0">
      <alignment horizontal="center" vertical="bottom"/>
    </xf>
    <xf numFmtId="0" fontId="11" fillId="0" borderId="0" applyAlignment="1" pivotButton="0" quotePrefix="0" xfId="0">
      <alignment horizontal="center" vertical="bottom"/>
    </xf>
    <xf numFmtId="0" fontId="20" fillId="10" borderId="0" applyAlignment="1" pivotButton="0" quotePrefix="0" xfId="0">
      <alignment horizontal="center" vertical="bottom"/>
    </xf>
    <xf numFmtId="0" fontId="20" fillId="10"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0">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000000"/>
          <bgColor rgb="FF000000"/>
        </patternFill>
      </fill>
    </dxf>
    <dxf>
      <fill>
        <patternFill patternType="solid">
          <fgColor rgb="FFC6E0B4"/>
          <bgColor rgb="FF000000"/>
        </patternFill>
      </fill>
    </dxf>
    <dxf>
      <fill>
        <patternFill patternType="solid">
          <fgColor rgb="FFD9D9D9"/>
          <bgColor rgb="FF000000"/>
        </patternFill>
      </fill>
    </dxf>
    <dxf>
      <fill>
        <patternFill patternType="solid">
          <fgColor rgb="FFF8CBAD"/>
          <bgColor rgb="FF000000"/>
        </patternFill>
      </fill>
    </dxf>
    <dxf>
      <fill>
        <patternFill patternType="solid">
          <fgColor rgb="FFFFF2CC"/>
          <bgColor rgb="FF000000"/>
        </patternFill>
      </fill>
    </dxf>
    <dxf>
      <fill>
        <patternFill patternType="solid">
          <fgColor rgb="FF2F5496"/>
          <bgColor rgb="FF000000"/>
        </patternFill>
      </fill>
    </dxf>
    <dxf>
      <fill>
        <patternFill patternType="solid">
          <fgColor rgb="00FFF2CC"/>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9E7F5"/>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F2F2F2"/>
      <rgbColor rgb="FFC6E0B4"/>
      <rgbColor rgb="FFFFFF99"/>
      <rgbColor rgb="FFBBBBBB"/>
      <rgbColor rgb="FFFF99CC"/>
      <rgbColor rgb="FFCC99FF"/>
      <rgbColor rgb="FFF8CBAD"/>
      <rgbColor rgb="FF3366FF"/>
      <rgbColor rgb="FF33CCCC"/>
      <rgbColor rgb="FF99CC00"/>
      <rgbColor rgb="FFFFCC00"/>
      <rgbColor rgb="FFFF9900"/>
      <rgbColor rgb="FFFF6600"/>
      <rgbColor rgb="FF555555"/>
      <rgbColor rgb="FF969696"/>
      <rgbColor rgb="FF1F3864"/>
      <rgbColor rgb="FF339966"/>
      <rgbColor rgb="FF003300"/>
      <rgbColor rgb="FF333300"/>
      <rgbColor rgb="FF993300"/>
      <rgbColor rgb="FF993366"/>
      <rgbColor rgb="FF2F5496"/>
      <rgbColor rgb="FF1F4E79"/>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Current Pipeline</a:t>
            </a:r>
          </a:p>
        </rich>
      </tx>
    </title>
    <plotArea>
      <barChart>
        <barDir val="col"/>
        <grouping val="clustered"/>
        <ser>
          <idx val="0"/>
          <order val="0"/>
          <tx>
            <strRef>
              <f>'Conversion Analysis'!E4</f>
            </strRef>
          </tx>
          <spPr>
            <a:ln xmlns:a="http://schemas.openxmlformats.org/drawingml/2006/main">
              <a:prstDash val="solid"/>
            </a:ln>
          </spPr>
          <cat>
            <numRef>
              <f>'Conversion Analysis'!$D$5:$D$10</f>
            </numRef>
          </cat>
          <val>
            <numRef>
              <f>'Conversion Analysis'!$E$5:$E$10</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Stage</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Applications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3</col>
      <colOff>0</colOff>
      <row>24</row>
      <rowOff>0</rowOff>
    </from>
    <ext cx="432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filterMode="0">
    <outlinePr summaryBelow="1" summaryRight="1"/>
    <pageSetUpPr fitToPage="0"/>
  </sheetPr>
  <dimension ref="A1:AF446"/>
  <sheetViews>
    <sheetView showFormulas="0" showGridLines="1" showRowColHeaders="1" showZeros="1" rightToLeft="0" tabSelected="1" showOutlineSymbols="1" defaultGridColor="1" view="normal" topLeftCell="A1" colorId="64" zoomScale="100" zoomScaleNormal="100" zoomScalePageLayoutView="100" workbookViewId="0">
      <pane ySplit="1" topLeftCell="A2" activePane="bottomLeft" state="frozen"/>
      <selection pane="bottomLeft" activeCell="A1" activeCellId="0" sqref="A1"/>
      <selection pane="bottomLeft" activeCell="A1" activeCellId="0" sqref="A1"/>
    </sheetView>
  </sheetViews>
  <sheetFormatPr baseColWidth="8" defaultColWidth="8.66796875" defaultRowHeight="15" zeroHeight="0" outlineLevelRow="0"/>
  <cols>
    <col width="12" customWidth="1" style="43" min="1" max="1"/>
    <col width="18" customWidth="1" style="43" min="2" max="2"/>
    <col width="30" customWidth="1" style="43" min="3" max="3"/>
    <col width="12" customWidth="1" style="43" min="4" max="4"/>
    <col width="10" customWidth="1" style="43" min="5" max="5"/>
    <col width="16" customWidth="1" style="43" min="6" max="6"/>
    <col width="10" customWidth="1" style="43" min="7" max="7"/>
    <col width="16" customWidth="1" style="43" min="8" max="8"/>
    <col width="20" customWidth="1" style="43" min="9" max="9"/>
    <col width="13" customWidth="1" style="43" min="10" max="10"/>
    <col width="16" customWidth="1" style="43" min="11" max="11"/>
    <col width="13" customWidth="1" style="43" min="12" max="12"/>
    <col width="11" customWidth="1" style="43" min="13" max="13"/>
    <col width="22" customWidth="1" style="43" min="14" max="14"/>
    <col width="13" customWidth="1" style="43" min="15" max="15"/>
    <col width="34" customWidth="1" style="43" min="16" max="16"/>
    <col width="30" customWidth="1" style="43" min="18" max="18"/>
    <col width="45" customWidth="1" style="43" min="19" max="19"/>
    <col width="20" customWidth="1" style="44" min="20" max="20"/>
    <col width="20" customWidth="1" style="44" min="21" max="21"/>
    <col width="20" customWidth="1" style="44" min="22" max="22"/>
    <col width="20" customWidth="1" style="44" min="23" max="23"/>
    <col width="20" customWidth="1" style="44" min="24" max="24"/>
    <col width="20" customWidth="1" style="44" min="25" max="25"/>
    <col width="20" customWidth="1" style="44" min="26" max="26"/>
    <col width="20" customWidth="1" style="44" min="27" max="27"/>
    <col width="22" customWidth="1" style="44" min="28" max="28"/>
    <col width="18" customWidth="1" style="44" min="29" max="29"/>
    <col width="20" customWidth="1" style="44" min="30" max="30"/>
    <col width="20" customWidth="1" style="44" min="31" max="31"/>
    <col width="20" customWidth="1" style="44" min="32" max="32"/>
  </cols>
  <sheetData>
    <row r="1" ht="23.25" customHeight="1" s="44">
      <c r="A1" s="45" t="inlineStr">
        <is>
          <t>Date Applied</t>
        </is>
      </c>
      <c r="B1" s="45" t="inlineStr">
        <is>
          <t>Company</t>
        </is>
      </c>
      <c r="C1" s="45" t="inlineStr">
        <is>
          <t>Role Title</t>
        </is>
      </c>
      <c r="D1" s="45" t="inlineStr">
        <is>
          <t>Level</t>
        </is>
      </c>
      <c r="E1" s="45" t="inlineStr">
        <is>
          <t>Country</t>
        </is>
      </c>
      <c r="F1" s="45" t="inlineStr">
        <is>
          <t>City / Remote</t>
        </is>
      </c>
      <c r="G1" s="45" t="inlineStr">
        <is>
          <t>Fit Score (%)</t>
        </is>
      </c>
      <c r="H1" s="45" t="inlineStr">
        <is>
          <t>Channel</t>
        </is>
      </c>
      <c r="I1" s="45" t="inlineStr">
        <is>
          <t>Referral / Contact Name</t>
        </is>
      </c>
      <c r="J1" s="45" t="inlineStr">
        <is>
          <t>Sponsorship Question?</t>
        </is>
      </c>
      <c r="K1" s="45" t="inlineStr">
        <is>
          <t>Status</t>
        </is>
      </c>
      <c r="L1" s="45" t="inlineStr">
        <is>
          <t>Response Date</t>
        </is>
      </c>
      <c r="M1" s="45" t="inlineStr">
        <is>
          <t>Days to Response</t>
        </is>
      </c>
      <c r="N1" s="45" t="inlineStr">
        <is>
          <t>Next Action</t>
        </is>
      </c>
      <c r="O1" s="45" t="inlineStr">
        <is>
          <t>Next Action Date</t>
        </is>
      </c>
      <c r="P1" s="45" t="inlineStr">
        <is>
          <t>Notes</t>
        </is>
      </c>
      <c r="Q1" s="45" t="inlineStr">
        <is>
          <t>Interview/Screen Date(s)</t>
        </is>
      </c>
      <c r="R1" s="46" t="inlineStr">
        <is>
          <t>Gap Category</t>
        </is>
      </c>
      <c r="S1" s="46" t="inlineStr">
        <is>
          <t>Key Requirements</t>
        </is>
      </c>
      <c r="T1" s="47" t="inlineStr">
        <is>
          <t>Functional Fit (0-100)</t>
        </is>
      </c>
      <c r="U1" s="47" t="inlineStr">
        <is>
          <t>Seniority Fit (0-100)</t>
        </is>
      </c>
      <c r="V1" s="47" t="inlineStr">
        <is>
          <t>Domain Fit (0-100)</t>
        </is>
      </c>
      <c r="W1" s="47" t="inlineStr">
        <is>
          <t>Evidence Strength (0-100)</t>
        </is>
      </c>
      <c r="X1" s="47" t="inlineStr">
        <is>
          <t>Location/Auth Fit (0-100)</t>
        </is>
      </c>
      <c r="Y1" s="47" t="inlineStr">
        <is>
          <t>Competitive Positioning (0-100)</t>
        </is>
      </c>
      <c r="Z1" s="47" t="inlineStr">
        <is>
          <t>Relationship Access (0-100)</t>
        </is>
      </c>
      <c r="AA1" s="47" t="inlineStr">
        <is>
          <t>Strategic Fit Score</t>
        </is>
      </c>
      <c r="AB1" s="47" t="inlineStr">
        <is>
          <t>Pursuit Tier</t>
        </is>
      </c>
      <c r="AC1" s="47" t="inlineStr">
        <is>
          <t>Human Access Status</t>
        </is>
      </c>
      <c r="AD1" s="47" t="inlineStr">
        <is>
          <t>Outreach Count</t>
        </is>
      </c>
      <c r="AE1" s="47" t="inlineStr">
        <is>
          <t>Days Since Apply</t>
        </is>
      </c>
      <c r="AF1" s="47" t="inlineStr">
        <is>
          <t>Application Quality Flag</t>
        </is>
      </c>
    </row>
    <row r="2" ht="15" customHeight="1" s="44">
      <c r="A2" s="48" t="n"/>
      <c r="B2" s="48" t="inlineStr">
        <is>
          <t>eBay</t>
        </is>
      </c>
      <c r="C2" s="48" t="inlineStr">
        <is>
          <t>Lead Product Program Manager</t>
        </is>
      </c>
      <c r="D2" s="48" t="inlineStr">
        <is>
          <t>Lead</t>
        </is>
      </c>
      <c r="E2" s="48" t="inlineStr">
        <is>
          <t>Canada</t>
        </is>
      </c>
      <c r="F2" s="48" t="inlineStr">
        <is>
          <t>Toronto</t>
        </is>
      </c>
      <c r="G2" s="48" t="n">
        <v>55</v>
      </c>
      <c r="H2" s="48" t="inlineStr">
        <is>
          <t>Cold Portal</t>
        </is>
      </c>
      <c r="I2" s="48" t="n"/>
      <c r="J2" s="48" t="inlineStr">
        <is>
          <t>No</t>
        </is>
      </c>
      <c r="K2" s="49" t="inlineStr">
        <is>
          <t>Rejected</t>
        </is>
      </c>
      <c r="L2" s="50" t="n">
        <v>46226</v>
      </c>
      <c r="M2" s="48">
        <f>IF(OR(L265="",A265=""),"",L265-A265)</f>
        <v/>
      </c>
      <c r="N2" s="48" t="n"/>
      <c r="O2" s="48" t="n"/>
      <c r="P2" s="51" t="inlineStr">
        <is>
          <t>Rejected via Workday notification 07/23: "significant interest" in the role, decided not to move forward. Distinct from eBay Technical Program Manager, Search (Interviewing) and other eBay entries already logged. Original apply date not confirmed. ROLE (confirmed via posting, req R0073551, Toronto): "Lead Product Program Manager" — blends product management ownership with program delivery, more product-strategy-weighted than Elena's TPM/portfolio background. STRENGTHS: cross-functional delivery, executive communication. GAPS: product strategy/roadmap ownership (vs. program execution) is a lighter part of the resume; e-commerce/marketplace product domain not previously evidenced.</t>
        </is>
      </c>
      <c r="Q2" s="48" t="n"/>
      <c r="R2" s="48" t="n"/>
      <c r="S2" s="51" t="n"/>
      <c r="T2" s="52">
        <f>IF(G2="","",G2)</f>
        <v/>
      </c>
      <c r="U2" s="52">
        <f>IF(C2="","",IF(OR(ISNUMBER(SEARCH("Director",C2)),ISNUMBER(SEARCH("Lead",C2)),ISNUMBER(SEARCH("Senior",C2)),ISNUMBER(SEARCH("Sr.",C2))),90,IF(OR(ISNUMBER(SEARCH("Manager",C2)),ISNUMBER(SEARCH("Program",C2)),ISNUMBER(SEARCH("Portfolio",C2))),80,60)))</f>
        <v/>
      </c>
      <c r="V2" s="52">
        <f>IF(C2="","",IF(OR(ISNUMBER(SEARCH("AI",C2)),ISNUMBER(SEARCH("Data",C2)),ISNUMBER(SEARCH("Technology",C2)),ISNUMBER(SEARCH("Technical",C2)),ISNUMBER(SEARCH("Engineering",C2)),ISNUMBER(SEARCH("Platform",C2)),ISNUMBER(SEARCH("Portfolio",C2))),85,65))</f>
        <v/>
      </c>
      <c r="W2" s="52">
        <f>IF(C2="","",MIN(100,50+IF(S2&lt;&gt;"",25,0)+IF(R2&lt;&gt;"",15,0)+IF(P2&lt;&gt;"",10,0)))</f>
        <v/>
      </c>
      <c r="X2" s="52">
        <f>IF(E2="","",IF(OR(E2="Canada",E2="CA"),100,IF(OR(E2="United States",E2="USA",E2="US"),IF(J2="Yes",45,75),65)))</f>
        <v/>
      </c>
      <c r="Y2" s="52">
        <f>IF(C2="","",IF(OR(ISNUMBER(SEARCH("Program",C2)),ISNUMBER(SEARCH("Portfolio",C2)),ISNUMBER(SEARCH("Operations",C2)),ISNUMBER(SEARCH("Transformation",C2))),85,IF(ISNUMBER(SEARCH("Product Manager",C2)),55,70)))</f>
        <v/>
      </c>
      <c r="Z2" s="52">
        <f>IF(C2="","",MIN(100,IF(I2&lt;&gt;"",60,10)+IF(AA2&gt;0,MIN(40,AA2*20),0)))</f>
        <v/>
      </c>
      <c r="AA2" s="52">
        <f>IF(T2="","",ROUND(T2*25%+U2*15%+V2*10%+W2*15%+X2*15%+Y2*10%+Z2*10%,0))</f>
        <v/>
      </c>
      <c r="AB2" s="52">
        <f>IF(AA2="","",IF(X2&lt;50,"Selective / Barrier",IF(AA2&gt;=80,"Tier 1 - Pursue",IF(AA2&gt;=70,"Tier 2 - Pursue",IF(AA2&gt;=60,"Tier 3 - Selective","Do Not Pursue")))))</f>
        <v/>
      </c>
      <c r="AC2" s="52">
        <f>IF(C2="","",IF(I2&lt;&gt;"","Named Contact",IF(AA2&gt;0,"Outreach Logged","Cold")))</f>
        <v/>
      </c>
      <c r="AD2" s="52">
        <f>IF(B2="","",COUNTIF('Outreach Log'!$C:$C,B2))</f>
        <v/>
      </c>
      <c r="AE2" s="52">
        <f>IF(A2="","",IF(OR(K2="Rejected",K2="Closed"),IF(L2&lt;&gt;"",L2-A2,TODAY()-A2),TODAY()-A2))</f>
        <v/>
      </c>
      <c r="AF2" s="52">
        <f>IF(C2="","",IF(AND(AA2&gt;=70,AC2="Cold"),"High-fit but cold",IF(AND(AA2&lt;60,K2="Applied"),"Low-fit application",IF(AND(AA2&gt;=70,OR(AC2="Named Contact",AC2="Outreach Logged")),"Targeted pursuit","Review"))))</f>
        <v/>
      </c>
    </row>
    <row r="3" ht="15" customHeight="1" s="44">
      <c r="A3" s="48" t="n"/>
      <c r="B3" s="48" t="inlineStr">
        <is>
          <t>eBay</t>
        </is>
      </c>
      <c r="C3" s="48" t="inlineStr">
        <is>
          <t>Sr. Product Manager, Search AI</t>
        </is>
      </c>
      <c r="D3" s="48" t="inlineStr">
        <is>
          <t>Senior</t>
        </is>
      </c>
      <c r="E3" s="48" t="inlineStr">
        <is>
          <t>Canada</t>
        </is>
      </c>
      <c r="F3" s="48" t="inlineStr">
        <is>
          <t>Toronto</t>
        </is>
      </c>
      <c r="G3" s="48" t="n">
        <v>40</v>
      </c>
      <c r="H3" s="48" t="inlineStr">
        <is>
          <t>Cold Portal</t>
        </is>
      </c>
      <c r="I3" s="48" t="n"/>
      <c r="J3" s="48" t="inlineStr">
        <is>
          <t>No</t>
        </is>
      </c>
      <c r="K3" s="49" t="inlineStr">
        <is>
          <t>Rejected</t>
        </is>
      </c>
      <c r="L3" s="50" t="n">
        <v>46245</v>
      </c>
      <c r="M3" s="48">
        <f>IF(OR(L266="",A266=""),"",L266-A266)</f>
        <v/>
      </c>
      <c r="N3" s="48" t="n"/>
      <c r="O3" s="48" t="n"/>
      <c r="P3" s="51" t="inlineStr">
        <is>
          <t>Rejected via eBay Workday 08/11 3:40am ET - standard significant interest notice. Not previously logged; original apply date unknown. DISTINCT from Technical Program Manager, Search (R0074668) which remains at Interviewing. ROLE (confirmed via posting): this is a PRODUCT MANAGER role, not TPM — owns product strategy/roadmap for search AI/ML features, runs A/B tests, defines product vision with UX/design. GAPS: this is product ownership, not program delivery — a meaningfully different discipline from Elena's TPM/portfolio background; no direct product-management title or P&amp;L/roadmap-ownership evidence in resume. Likely applied for AI-domain overlap, but role function mismatch explains the fast rejection.</t>
        </is>
      </c>
      <c r="Q3" s="48" t="n"/>
      <c r="R3" s="48" t="n"/>
      <c r="S3" s="51" t="n"/>
      <c r="T3" s="52">
        <f>IF(G3="","",G3)</f>
        <v/>
      </c>
      <c r="U3" s="52">
        <f>IF(C3="","",IF(OR(ISNUMBER(SEARCH("Director",C3)),ISNUMBER(SEARCH("Lead",C3)),ISNUMBER(SEARCH("Senior",C3)),ISNUMBER(SEARCH("Sr.",C3))),90,IF(OR(ISNUMBER(SEARCH("Manager",C3)),ISNUMBER(SEARCH("Program",C3)),ISNUMBER(SEARCH("Portfolio",C3))),80,60)))</f>
        <v/>
      </c>
      <c r="V3" s="52">
        <f>IF(C3="","",IF(OR(ISNUMBER(SEARCH("AI",C3)),ISNUMBER(SEARCH("Data",C3)),ISNUMBER(SEARCH("Technology",C3)),ISNUMBER(SEARCH("Technical",C3)),ISNUMBER(SEARCH("Engineering",C3)),ISNUMBER(SEARCH("Platform",C3)),ISNUMBER(SEARCH("Portfolio",C3))),85,65))</f>
        <v/>
      </c>
      <c r="W3" s="52">
        <f>IF(C3="","",MIN(100,50+IF(S3&lt;&gt;"",25,0)+IF(R3&lt;&gt;"",15,0)+IF(P3&lt;&gt;"",10,0)))</f>
        <v/>
      </c>
      <c r="X3" s="52">
        <f>IF(E3="","",IF(OR(E3="Canada",E3="CA"),100,IF(OR(E3="United States",E3="USA",E3="US"),IF(J3="Yes",45,75),65)))</f>
        <v/>
      </c>
      <c r="Y3" s="52">
        <f>IF(C3="","",IF(OR(ISNUMBER(SEARCH("Program",C3)),ISNUMBER(SEARCH("Portfolio",C3)),ISNUMBER(SEARCH("Operations",C3)),ISNUMBER(SEARCH("Transformation",C3))),85,IF(ISNUMBER(SEARCH("Product Manager",C3)),55,70)))</f>
        <v/>
      </c>
      <c r="Z3" s="52">
        <f>IF(C3="","",MIN(100,IF(I3&lt;&gt;"",60,10)+IF(AA3&gt;0,MIN(40,AA3*20),0)))</f>
        <v/>
      </c>
      <c r="AA3" s="52">
        <f>IF(T3="","",ROUND(T3*25%+U3*15%+V3*10%+W3*15%+X3*15%+Y3*10%+Z3*10%,0))</f>
        <v/>
      </c>
      <c r="AB3" s="52">
        <f>IF(AA3="","",IF(X3&lt;50,"Selective / Barrier",IF(AA3&gt;=80,"Tier 1 - Pursue",IF(AA3&gt;=70,"Tier 2 - Pursue",IF(AA3&gt;=60,"Tier 3 - Selective","Do Not Pursue")))))</f>
        <v/>
      </c>
      <c r="AC3" s="52">
        <f>IF(C3="","",IF(I3&lt;&gt;"","Named Contact",IF(AA3&gt;0,"Outreach Logged","Cold")))</f>
        <v/>
      </c>
      <c r="AD3" s="52">
        <f>IF(B3="","",COUNTIF('Outreach Log'!$C:$C,B3))</f>
        <v/>
      </c>
      <c r="AE3" s="52">
        <f>IF(A3="","",IF(OR(K3="Rejected",K3="Closed"),IF(L3&lt;&gt;"",L3-A3,TODAY()-A3),TODAY()-A3))</f>
        <v/>
      </c>
      <c r="AF3" s="52">
        <f>IF(C3="","",IF(AND(AA3&gt;=70,AC3="Cold"),"High-fit but cold",IF(AND(AA3&lt;60,K3="Applied"),"Low-fit application",IF(AND(AA3&gt;=70,OR(AC3="Named Contact",AC3="Outreach Logged")),"Targeted pursuit","Review"))))</f>
        <v/>
      </c>
    </row>
    <row r="4" ht="15" customHeight="1" s="44">
      <c r="A4" s="48" t="n"/>
      <c r="B4" s="48" t="inlineStr">
        <is>
          <t>eBay</t>
        </is>
      </c>
      <c r="C4" s="48" t="inlineStr">
        <is>
          <t>Program Manager: AI in Search</t>
        </is>
      </c>
      <c r="D4" s="48" t="inlineStr">
        <is>
          <t>Manager</t>
        </is>
      </c>
      <c r="E4" s="48" t="inlineStr">
        <is>
          <t>Canada</t>
        </is>
      </c>
      <c r="F4" s="48" t="inlineStr">
        <is>
          <t>Toronto</t>
        </is>
      </c>
      <c r="G4" s="48" t="n"/>
      <c r="H4" s="48" t="inlineStr">
        <is>
          <t>Cold Portal</t>
        </is>
      </c>
      <c r="I4" s="48" t="n"/>
      <c r="J4" s="48" t="inlineStr">
        <is>
          <t>No</t>
        </is>
      </c>
      <c r="K4" s="49" t="inlineStr">
        <is>
          <t>Rejected</t>
        </is>
      </c>
      <c r="L4" s="50" t="n">
        <v>46044</v>
      </c>
      <c r="M4" s="48">
        <f>IF(OR(L267="",A267=""),"",L267-A267)</f>
        <v/>
      </c>
      <c r="N4" s="48" t="n"/>
      <c r="O4" s="48" t="n"/>
      <c r="P4" s="51" t="inlineStr">
        <is>
          <t>REJECTED 2026-01-22: eBay (ebay@myworkday.com) — "decided not to move forward." Date Applied unknown — Elena to confirm. Retroactively logged via full eBay inbox review 2026-09-12.</t>
        </is>
      </c>
      <c r="Q4" s="48" t="n"/>
      <c r="R4" s="48" t="n"/>
      <c r="S4" s="51" t="n"/>
      <c r="T4" s="52">
        <f>IF(G4="","",G4)</f>
        <v/>
      </c>
      <c r="U4" s="52">
        <f>IF(C4="","",IF(OR(ISNUMBER(SEARCH("Director",C4)),ISNUMBER(SEARCH("Lead",C4)),ISNUMBER(SEARCH("Senior",C4)),ISNUMBER(SEARCH("Sr.",C4))),90,IF(OR(ISNUMBER(SEARCH("Manager",C4)),ISNUMBER(SEARCH("Program",C4)),ISNUMBER(SEARCH("Portfolio",C4))),80,60)))</f>
        <v/>
      </c>
      <c r="V4" s="52">
        <f>IF(C4="","",IF(OR(ISNUMBER(SEARCH("AI",C4)),ISNUMBER(SEARCH("Data",C4)),ISNUMBER(SEARCH("Technology",C4)),ISNUMBER(SEARCH("Technical",C4)),ISNUMBER(SEARCH("Engineering",C4)),ISNUMBER(SEARCH("Platform",C4)),ISNUMBER(SEARCH("Portfolio",C4))),85,65))</f>
        <v/>
      </c>
      <c r="W4" s="52">
        <f>IF(C4="","",MIN(100,50+IF(S4&lt;&gt;"",25,0)+IF(R4&lt;&gt;"",15,0)+IF(P4&lt;&gt;"",10,0)))</f>
        <v/>
      </c>
      <c r="X4" s="52">
        <f>IF(E4="","",IF(OR(E4="Canada",E4="CA"),100,IF(OR(E4="United States",E4="USA",E4="US"),IF(J4="Yes",45,75),65)))</f>
        <v/>
      </c>
      <c r="Y4" s="52">
        <f>IF(C4="","",IF(OR(ISNUMBER(SEARCH("Program",C4)),ISNUMBER(SEARCH("Portfolio",C4)),ISNUMBER(SEARCH("Operations",C4)),ISNUMBER(SEARCH("Transformation",C4))),85,IF(ISNUMBER(SEARCH("Product Manager",C4)),55,70)))</f>
        <v/>
      </c>
      <c r="Z4" s="52">
        <f>IF(C4="","",MIN(100,IF(I4&lt;&gt;"",60,10)+IF(AA4&gt;0,MIN(40,AA4*20),0)))</f>
        <v/>
      </c>
      <c r="AA4" s="52">
        <f>IF(T4="","",ROUND(T4*25%+U4*15%+V4*10%+W4*15%+X4*15%+Y4*10%+Z4*10%,0))</f>
        <v/>
      </c>
      <c r="AB4" s="52">
        <f>IF(AA4="","",IF(X4&lt;50,"Selective / Barrier",IF(AA4&gt;=80,"Tier 1 - Pursue",IF(AA4&gt;=70,"Tier 2 - Pursue",IF(AA4&gt;=60,"Tier 3 - Selective","Do Not Pursue")))))</f>
        <v/>
      </c>
      <c r="AC4" s="52">
        <f>IF(C4="","",IF(I4&lt;&gt;"","Named Contact",IF(AA4&gt;0,"Outreach Logged","Cold")))</f>
        <v/>
      </c>
      <c r="AD4" s="52">
        <f>IF(B4="","",COUNTIF('Outreach Log'!$C:$C,B4))</f>
        <v/>
      </c>
      <c r="AE4" s="52">
        <f>IF(A4="","",IF(OR(K4="Rejected",K4="Closed"),IF(L4&lt;&gt;"",L4-A4,TODAY()-A4),TODAY()-A4))</f>
        <v/>
      </c>
      <c r="AF4" s="52">
        <f>IF(C4="","",IF(AND(AA4&gt;=70,AC4="Cold"),"High-fit but cold",IF(AND(AA4&lt;60,K4="Applied"),"Low-fit application",IF(AND(AA4&gt;=70,OR(AC4="Named Contact",AC4="Outreach Logged")),"Targeted pursuit","Review"))))</f>
        <v/>
      </c>
    </row>
    <row r="5" ht="15" customHeight="1" s="44">
      <c r="A5" s="48" t="n"/>
      <c r="B5" s="48" t="inlineStr">
        <is>
          <t>eBay</t>
        </is>
      </c>
      <c r="C5" s="48" t="inlineStr">
        <is>
          <t>Sr. Technical Program Manager</t>
        </is>
      </c>
      <c r="D5" s="48" t="inlineStr">
        <is>
          <t>Senior</t>
        </is>
      </c>
      <c r="E5" s="48" t="inlineStr">
        <is>
          <t>Canada</t>
        </is>
      </c>
      <c r="F5" s="48" t="inlineStr">
        <is>
          <t>Toronto</t>
        </is>
      </c>
      <c r="G5" s="48" t="n"/>
      <c r="H5" s="48" t="inlineStr">
        <is>
          <t>Cold Portal</t>
        </is>
      </c>
      <c r="I5" s="48" t="n"/>
      <c r="J5" s="48" t="inlineStr">
        <is>
          <t>No</t>
        </is>
      </c>
      <c r="K5" s="49" t="inlineStr">
        <is>
          <t>Rejected</t>
        </is>
      </c>
      <c r="L5" s="50" t="n">
        <v>46058</v>
      </c>
      <c r="M5" s="48">
        <f>IF(OR(L268="",A268=""),"",L268-A268)</f>
        <v/>
      </c>
      <c r="N5" s="48" t="n"/>
      <c r="O5" s="48" t="n"/>
      <c r="P5" s="51" t="inlineStr">
        <is>
          <t>REJECTED 2026-02-05: eBay — "recruiting priorities have changed, no longer hiring for this role." Date Applied unknown — Elena to confirm. Distinct from row 141 (Sr. Technical Program Manager - R0074952, applied 8/14, still Applied) — different req. Retroactively logged 2026-09-12.</t>
        </is>
      </c>
      <c r="Q5" s="48" t="n"/>
      <c r="R5" s="48" t="n"/>
      <c r="S5" s="51" t="n"/>
      <c r="T5" s="52">
        <f>IF(G5="","",G5)</f>
        <v/>
      </c>
      <c r="U5" s="52">
        <f>IF(C5="","",IF(OR(ISNUMBER(SEARCH("Director",C5)),ISNUMBER(SEARCH("Lead",C5)),ISNUMBER(SEARCH("Senior",C5)),ISNUMBER(SEARCH("Sr.",C5))),90,IF(OR(ISNUMBER(SEARCH("Manager",C5)),ISNUMBER(SEARCH("Program",C5)),ISNUMBER(SEARCH("Portfolio",C5))),80,60)))</f>
        <v/>
      </c>
      <c r="V5" s="52">
        <f>IF(C5="","",IF(OR(ISNUMBER(SEARCH("AI",C5)),ISNUMBER(SEARCH("Data",C5)),ISNUMBER(SEARCH("Technology",C5)),ISNUMBER(SEARCH("Technical",C5)),ISNUMBER(SEARCH("Engineering",C5)),ISNUMBER(SEARCH("Platform",C5)),ISNUMBER(SEARCH("Portfolio",C5))),85,65))</f>
        <v/>
      </c>
      <c r="W5" s="52">
        <f>IF(C5="","",MIN(100,50+IF(S5&lt;&gt;"",25,0)+IF(R5&lt;&gt;"",15,0)+IF(P5&lt;&gt;"",10,0)))</f>
        <v/>
      </c>
      <c r="X5" s="52">
        <f>IF(E5="","",IF(OR(E5="Canada",E5="CA"),100,IF(OR(E5="United States",E5="USA",E5="US"),IF(J5="Yes",45,75),65)))</f>
        <v/>
      </c>
      <c r="Y5" s="52">
        <f>IF(C5="","",IF(OR(ISNUMBER(SEARCH("Program",C5)),ISNUMBER(SEARCH("Portfolio",C5)),ISNUMBER(SEARCH("Operations",C5)),ISNUMBER(SEARCH("Transformation",C5))),85,IF(ISNUMBER(SEARCH("Product Manager",C5)),55,70)))</f>
        <v/>
      </c>
      <c r="Z5" s="52">
        <f>IF(C5="","",MIN(100,IF(I5&lt;&gt;"",60,10)+IF(AA5&gt;0,MIN(40,AA5*20),0)))</f>
        <v/>
      </c>
      <c r="AA5" s="52">
        <f>IF(T5="","",ROUND(T5*25%+U5*15%+V5*10%+W5*15%+X5*15%+Y5*10%+Z5*10%,0))</f>
        <v/>
      </c>
      <c r="AB5" s="52">
        <f>IF(AA5="","",IF(X5&lt;50,"Selective / Barrier",IF(AA5&gt;=80,"Tier 1 - Pursue",IF(AA5&gt;=70,"Tier 2 - Pursue",IF(AA5&gt;=60,"Tier 3 - Selective","Do Not Pursue")))))</f>
        <v/>
      </c>
      <c r="AC5" s="52">
        <f>IF(C5="","",IF(I5&lt;&gt;"","Named Contact",IF(AA5&gt;0,"Outreach Logged","Cold")))</f>
        <v/>
      </c>
      <c r="AD5" s="52">
        <f>IF(B5="","",COUNTIF('Outreach Log'!$C:$C,B5))</f>
        <v/>
      </c>
      <c r="AE5" s="52">
        <f>IF(A5="","",IF(OR(K5="Rejected",K5="Closed"),IF(L5&lt;&gt;"",L5-A5,TODAY()-A5),TODAY()-A5))</f>
        <v/>
      </c>
      <c r="AF5" s="52">
        <f>IF(C5="","",IF(AND(AA5&gt;=70,AC5="Cold"),"High-fit but cold",IF(AND(AA5&lt;60,K5="Applied"),"Low-fit application",IF(AND(AA5&gt;=70,OR(AC5="Named Contact",AC5="Outreach Logged")),"Targeted pursuit","Review"))))</f>
        <v/>
      </c>
    </row>
    <row r="6" ht="15" customHeight="1" s="44">
      <c r="A6" s="48" t="n"/>
      <c r="B6" s="48" t="inlineStr">
        <is>
          <t>eBay</t>
        </is>
      </c>
      <c r="C6" s="48" t="inlineStr">
        <is>
          <t>Senior Design Program Manager</t>
        </is>
      </c>
      <c r="D6" s="48" t="inlineStr">
        <is>
          <t>Senior</t>
        </is>
      </c>
      <c r="E6" s="48" t="inlineStr">
        <is>
          <t>Canada</t>
        </is>
      </c>
      <c r="F6" s="48" t="inlineStr">
        <is>
          <t>Toronto</t>
        </is>
      </c>
      <c r="G6" s="48" t="n"/>
      <c r="H6" s="48" t="inlineStr">
        <is>
          <t>Cold Portal</t>
        </is>
      </c>
      <c r="I6" s="48" t="n"/>
      <c r="J6" s="48" t="inlineStr">
        <is>
          <t>No</t>
        </is>
      </c>
      <c r="K6" s="49" t="inlineStr">
        <is>
          <t>Rejected</t>
        </is>
      </c>
      <c r="L6" s="50" t="n">
        <v>46066</v>
      </c>
      <c r="M6" s="48">
        <f>IF(OR(L269="",A269=""),"",L269-A269)</f>
        <v/>
      </c>
      <c r="N6" s="48" t="n"/>
      <c r="O6" s="48" t="n"/>
      <c r="P6" s="51" t="inlineStr">
        <is>
          <t>REJECTED 2026-02-13: eBay — "decided not to move forward." Date Applied unknown — Elena to confirm. Retroactively logged 2026-09-12.</t>
        </is>
      </c>
      <c r="Q6" s="48" t="n"/>
      <c r="R6" s="48" t="n"/>
      <c r="S6" s="51" t="n"/>
      <c r="T6" s="52">
        <f>IF(G6="","",G6)</f>
        <v/>
      </c>
      <c r="U6" s="52">
        <f>IF(C6="","",IF(OR(ISNUMBER(SEARCH("Director",C6)),ISNUMBER(SEARCH("Lead",C6)),ISNUMBER(SEARCH("Senior",C6)),ISNUMBER(SEARCH("Sr.",C6))),90,IF(OR(ISNUMBER(SEARCH("Manager",C6)),ISNUMBER(SEARCH("Program",C6)),ISNUMBER(SEARCH("Portfolio",C6))),80,60)))</f>
        <v/>
      </c>
      <c r="V6" s="52">
        <f>IF(C6="","",IF(OR(ISNUMBER(SEARCH("AI",C6)),ISNUMBER(SEARCH("Data",C6)),ISNUMBER(SEARCH("Technology",C6)),ISNUMBER(SEARCH("Technical",C6)),ISNUMBER(SEARCH("Engineering",C6)),ISNUMBER(SEARCH("Platform",C6)),ISNUMBER(SEARCH("Portfolio",C6))),85,65))</f>
        <v/>
      </c>
      <c r="W6" s="52">
        <f>IF(C6="","",MIN(100,50+IF(S6&lt;&gt;"",25,0)+IF(R6&lt;&gt;"",15,0)+IF(P6&lt;&gt;"",10,0)))</f>
        <v/>
      </c>
      <c r="X6" s="52">
        <f>IF(E6="","",IF(OR(E6="Canada",E6="CA"),100,IF(OR(E6="United States",E6="USA",E6="US"),IF(J6="Yes",45,75),65)))</f>
        <v/>
      </c>
      <c r="Y6" s="52">
        <f>IF(C6="","",IF(OR(ISNUMBER(SEARCH("Program",C6)),ISNUMBER(SEARCH("Portfolio",C6)),ISNUMBER(SEARCH("Operations",C6)),ISNUMBER(SEARCH("Transformation",C6))),85,IF(ISNUMBER(SEARCH("Product Manager",C6)),55,70)))</f>
        <v/>
      </c>
      <c r="Z6" s="52">
        <f>IF(C6="","",MIN(100,IF(I6&lt;&gt;"",60,10)+IF(AA6&gt;0,MIN(40,AA6*20),0)))</f>
        <v/>
      </c>
      <c r="AA6" s="52">
        <f>IF(T6="","",ROUND(T6*25%+U6*15%+V6*10%+W6*15%+X6*15%+Y6*10%+Z6*10%,0))</f>
        <v/>
      </c>
      <c r="AB6" s="52">
        <f>IF(AA6="","",IF(X6&lt;50,"Selective / Barrier",IF(AA6&gt;=80,"Tier 1 - Pursue",IF(AA6&gt;=70,"Tier 2 - Pursue",IF(AA6&gt;=60,"Tier 3 - Selective","Do Not Pursue")))))</f>
        <v/>
      </c>
      <c r="AC6" s="52">
        <f>IF(C6="","",IF(I6&lt;&gt;"","Named Contact",IF(AA6&gt;0,"Outreach Logged","Cold")))</f>
        <v/>
      </c>
      <c r="AD6" s="52">
        <f>IF(B6="","",COUNTIF('Outreach Log'!$C:$C,B6))</f>
        <v/>
      </c>
      <c r="AE6" s="52">
        <f>IF(A6="","",IF(OR(K6="Rejected",K6="Closed"),IF(L6&lt;&gt;"",L6-A6,TODAY()-A6),TODAY()-A6))</f>
        <v/>
      </c>
      <c r="AF6" s="52">
        <f>IF(C6="","",IF(AND(AA6&gt;=70,AC6="Cold"),"High-fit but cold",IF(AND(AA6&lt;60,K6="Applied"),"Low-fit application",IF(AND(AA6&gt;=70,OR(AC6="Named Contact",AC6="Outreach Logged")),"Targeted pursuit","Review"))))</f>
        <v/>
      </c>
    </row>
    <row r="7" ht="15" customHeight="1" s="44">
      <c r="A7" s="48" t="n"/>
      <c r="B7" s="48" t="inlineStr">
        <is>
          <t>eBay</t>
        </is>
      </c>
      <c r="C7" s="48" t="inlineStr">
        <is>
          <t>Senior Staff Design Program Manager</t>
        </is>
      </c>
      <c r="D7" s="48" t="inlineStr">
        <is>
          <t>Senior</t>
        </is>
      </c>
      <c r="E7" s="48" t="inlineStr">
        <is>
          <t>Canada</t>
        </is>
      </c>
      <c r="F7" s="48" t="inlineStr">
        <is>
          <t>Toronto</t>
        </is>
      </c>
      <c r="G7" s="48" t="n"/>
      <c r="H7" s="48" t="inlineStr">
        <is>
          <t>Cold Portal</t>
        </is>
      </c>
      <c r="I7" s="48" t="n"/>
      <c r="J7" s="48" t="inlineStr">
        <is>
          <t>No</t>
        </is>
      </c>
      <c r="K7" s="49" t="inlineStr">
        <is>
          <t>Rejected</t>
        </is>
      </c>
      <c r="L7" s="50" t="n">
        <v>46067</v>
      </c>
      <c r="M7" s="48">
        <f>IF(OR(L270="",A270=""),"",L270-A270)</f>
        <v/>
      </c>
      <c r="N7" s="48" t="n"/>
      <c r="O7" s="48" t="n"/>
      <c r="P7" s="51" t="inlineStr">
        <is>
          <t>REJECTED 2026-02-14: eBay — "decided not to move forward." Date Applied unknown — Elena to confirm. Retroactively logged 2026-09-12.</t>
        </is>
      </c>
      <c r="Q7" s="48" t="n"/>
      <c r="R7" s="48" t="n"/>
      <c r="S7" s="51" t="n"/>
      <c r="T7" s="52">
        <f>IF(G7="","",G7)</f>
        <v/>
      </c>
      <c r="U7" s="52">
        <f>IF(C7="","",IF(OR(ISNUMBER(SEARCH("Director",C7)),ISNUMBER(SEARCH("Lead",C7)),ISNUMBER(SEARCH("Senior",C7)),ISNUMBER(SEARCH("Sr.",C7))),90,IF(OR(ISNUMBER(SEARCH("Manager",C7)),ISNUMBER(SEARCH("Program",C7)),ISNUMBER(SEARCH("Portfolio",C7))),80,60)))</f>
        <v/>
      </c>
      <c r="V7" s="52">
        <f>IF(C7="","",IF(OR(ISNUMBER(SEARCH("AI",C7)),ISNUMBER(SEARCH("Data",C7)),ISNUMBER(SEARCH("Technology",C7)),ISNUMBER(SEARCH("Technical",C7)),ISNUMBER(SEARCH("Engineering",C7)),ISNUMBER(SEARCH("Platform",C7)),ISNUMBER(SEARCH("Portfolio",C7))),85,65))</f>
        <v/>
      </c>
      <c r="W7" s="52">
        <f>IF(C7="","",MIN(100,50+IF(S7&lt;&gt;"",25,0)+IF(R7&lt;&gt;"",15,0)+IF(P7&lt;&gt;"",10,0)))</f>
        <v/>
      </c>
      <c r="X7" s="52">
        <f>IF(E7="","",IF(OR(E7="Canada",E7="CA"),100,IF(OR(E7="United States",E7="USA",E7="US"),IF(J7="Yes",45,75),65)))</f>
        <v/>
      </c>
      <c r="Y7" s="52">
        <f>IF(C7="","",IF(OR(ISNUMBER(SEARCH("Program",C7)),ISNUMBER(SEARCH("Portfolio",C7)),ISNUMBER(SEARCH("Operations",C7)),ISNUMBER(SEARCH("Transformation",C7))),85,IF(ISNUMBER(SEARCH("Product Manager",C7)),55,70)))</f>
        <v/>
      </c>
      <c r="Z7" s="52">
        <f>IF(C7="","",MIN(100,IF(I7&lt;&gt;"",60,10)+IF(AA7&gt;0,MIN(40,AA7*20),0)))</f>
        <v/>
      </c>
      <c r="AA7" s="52">
        <f>IF(T7="","",ROUND(T7*25%+U7*15%+V7*10%+W7*15%+X7*15%+Y7*10%+Z7*10%,0))</f>
        <v/>
      </c>
      <c r="AB7" s="52">
        <f>IF(AA7="","",IF(X7&lt;50,"Selective / Barrier",IF(AA7&gt;=80,"Tier 1 - Pursue",IF(AA7&gt;=70,"Tier 2 - Pursue",IF(AA7&gt;=60,"Tier 3 - Selective","Do Not Pursue")))))</f>
        <v/>
      </c>
      <c r="AC7" s="52">
        <f>IF(C7="","",IF(I7&lt;&gt;"","Named Contact",IF(AA7&gt;0,"Outreach Logged","Cold")))</f>
        <v/>
      </c>
      <c r="AD7" s="52">
        <f>IF(B7="","",COUNTIF('Outreach Log'!$C:$C,B7))</f>
        <v/>
      </c>
      <c r="AE7" s="52">
        <f>IF(A7="","",IF(OR(K7="Rejected",K7="Closed"),IF(L7&lt;&gt;"",L7-A7,TODAY()-A7),TODAY()-A7))</f>
        <v/>
      </c>
      <c r="AF7" s="52">
        <f>IF(C7="","",IF(AND(AA7&gt;=70,AC7="Cold"),"High-fit but cold",IF(AND(AA7&lt;60,K7="Applied"),"Low-fit application",IF(AND(AA7&gt;=70,OR(AC7="Named Contact",AC7="Outreach Logged")),"Targeted pursuit","Review"))))</f>
        <v/>
      </c>
    </row>
    <row r="8" ht="15" customHeight="1" s="44">
      <c r="A8" s="48" t="n"/>
      <c r="B8" s="48" t="inlineStr">
        <is>
          <t>eBay</t>
        </is>
      </c>
      <c r="C8" s="48" t="inlineStr">
        <is>
          <t>Sr.Tech Program Manager - Global Trust</t>
        </is>
      </c>
      <c r="D8" s="48" t="inlineStr">
        <is>
          <t>Senior</t>
        </is>
      </c>
      <c r="E8" s="48" t="inlineStr">
        <is>
          <t>Canada</t>
        </is>
      </c>
      <c r="F8" s="48" t="inlineStr">
        <is>
          <t>Toronto</t>
        </is>
      </c>
      <c r="G8" s="48" t="n"/>
      <c r="H8" s="48" t="inlineStr">
        <is>
          <t>Cold Portal</t>
        </is>
      </c>
      <c r="I8" s="48" t="n"/>
      <c r="J8" s="48" t="inlineStr">
        <is>
          <t>No</t>
        </is>
      </c>
      <c r="K8" s="49" t="inlineStr">
        <is>
          <t>Rejected</t>
        </is>
      </c>
      <c r="L8" s="50" t="n">
        <v>46074</v>
      </c>
      <c r="M8" s="48">
        <f>IF(OR(L271="",A271=""),"",L271-A271)</f>
        <v/>
      </c>
      <c r="N8" s="48" t="n"/>
      <c r="O8" s="48" t="n"/>
      <c r="P8" s="51" t="inlineStr">
        <is>
          <t>REJECTED 2026-02-21: eBay — "decided not to move forward." Date Applied unknown — Elena to confirm. Retroactively logged 2026-09-12.</t>
        </is>
      </c>
      <c r="Q8" s="48" t="n"/>
      <c r="R8" s="48" t="n"/>
      <c r="S8" s="51" t="n"/>
      <c r="T8" s="52">
        <f>IF(G8="","",G8)</f>
        <v/>
      </c>
      <c r="U8" s="52">
        <f>IF(C8="","",IF(OR(ISNUMBER(SEARCH("Director",C8)),ISNUMBER(SEARCH("Lead",C8)),ISNUMBER(SEARCH("Senior",C8)),ISNUMBER(SEARCH("Sr.",C8))),90,IF(OR(ISNUMBER(SEARCH("Manager",C8)),ISNUMBER(SEARCH("Program",C8)),ISNUMBER(SEARCH("Portfolio",C8))),80,60)))</f>
        <v/>
      </c>
      <c r="V8" s="52">
        <f>IF(C8="","",IF(OR(ISNUMBER(SEARCH("AI",C8)),ISNUMBER(SEARCH("Data",C8)),ISNUMBER(SEARCH("Technology",C8)),ISNUMBER(SEARCH("Technical",C8)),ISNUMBER(SEARCH("Engineering",C8)),ISNUMBER(SEARCH("Platform",C8)),ISNUMBER(SEARCH("Portfolio",C8))),85,65))</f>
        <v/>
      </c>
      <c r="W8" s="52">
        <f>IF(C8="","",MIN(100,50+IF(S8&lt;&gt;"",25,0)+IF(R8&lt;&gt;"",15,0)+IF(P8&lt;&gt;"",10,0)))</f>
        <v/>
      </c>
      <c r="X8" s="52">
        <f>IF(E8="","",IF(OR(E8="Canada",E8="CA"),100,IF(OR(E8="United States",E8="USA",E8="US"),IF(J8="Yes",45,75),65)))</f>
        <v/>
      </c>
      <c r="Y8" s="52">
        <f>IF(C8="","",IF(OR(ISNUMBER(SEARCH("Program",C8)),ISNUMBER(SEARCH("Portfolio",C8)),ISNUMBER(SEARCH("Operations",C8)),ISNUMBER(SEARCH("Transformation",C8))),85,IF(ISNUMBER(SEARCH("Product Manager",C8)),55,70)))</f>
        <v/>
      </c>
      <c r="Z8" s="52">
        <f>IF(C8="","",MIN(100,IF(I8&lt;&gt;"",60,10)+IF(AA8&gt;0,MIN(40,AA8*20),0)))</f>
        <v/>
      </c>
      <c r="AA8" s="52">
        <f>IF(T8="","",ROUND(T8*25%+U8*15%+V8*10%+W8*15%+X8*15%+Y8*10%+Z8*10%,0))</f>
        <v/>
      </c>
      <c r="AB8" s="52">
        <f>IF(AA8="","",IF(X8&lt;50,"Selective / Barrier",IF(AA8&gt;=80,"Tier 1 - Pursue",IF(AA8&gt;=70,"Tier 2 - Pursue",IF(AA8&gt;=60,"Tier 3 - Selective","Do Not Pursue")))))</f>
        <v/>
      </c>
      <c r="AC8" s="52">
        <f>IF(C8="","",IF(I8&lt;&gt;"","Named Contact",IF(AA8&gt;0,"Outreach Logged","Cold")))</f>
        <v/>
      </c>
      <c r="AD8" s="52">
        <f>IF(B8="","",COUNTIF('Outreach Log'!$C:$C,B8))</f>
        <v/>
      </c>
      <c r="AE8" s="52">
        <f>IF(A8="","",IF(OR(K8="Rejected",K8="Closed"),IF(L8&lt;&gt;"",L8-A8,TODAY()-A8),TODAY()-A8))</f>
        <v/>
      </c>
      <c r="AF8" s="52">
        <f>IF(C8="","",IF(AND(AA8&gt;=70,AC8="Cold"),"High-fit but cold",IF(AND(AA8&lt;60,K8="Applied"),"Low-fit application",IF(AND(AA8&gt;=70,OR(AC8="Named Contact",AC8="Outreach Logged")),"Targeted pursuit","Review"))))</f>
        <v/>
      </c>
    </row>
    <row r="9" ht="15" customHeight="1" s="44">
      <c r="A9" s="48" t="n"/>
      <c r="B9" s="48" t="inlineStr">
        <is>
          <t>eBay</t>
        </is>
      </c>
      <c r="C9" s="48" t="inlineStr">
        <is>
          <t>Lead Technical Program Manager</t>
        </is>
      </c>
      <c r="D9" s="48" t="inlineStr">
        <is>
          <t>Lead</t>
        </is>
      </c>
      <c r="E9" s="48" t="inlineStr">
        <is>
          <t>Canada</t>
        </is>
      </c>
      <c r="F9" s="48" t="inlineStr">
        <is>
          <t>Toronto</t>
        </is>
      </c>
      <c r="G9" s="48" t="n"/>
      <c r="H9" s="48" t="inlineStr">
        <is>
          <t>Cold Portal</t>
        </is>
      </c>
      <c r="I9" s="48" t="n"/>
      <c r="J9" s="48" t="inlineStr">
        <is>
          <t>No</t>
        </is>
      </c>
      <c r="K9" s="49" t="inlineStr">
        <is>
          <t>Rejected</t>
        </is>
      </c>
      <c r="L9" s="50" t="n">
        <v>46087</v>
      </c>
      <c r="M9" s="48">
        <f>IF(OR(L272="",A272=""),"",L272-A272)</f>
        <v/>
      </c>
      <c r="N9" s="48" t="n"/>
      <c r="O9" s="48" t="n"/>
      <c r="P9" s="51" t="inlineStr">
        <is>
          <t>REJECTED 2026-03-06: eBay — "recruiting priorities have changed, no longer hiring for this role." Date Applied unknown — Elena to confirm. First of two separate applications with this exact title (see also 4/25 rejection). Retroactively logged 2026-09-12.</t>
        </is>
      </c>
      <c r="Q9" s="48" t="n"/>
      <c r="R9" s="48" t="n"/>
      <c r="S9" s="51" t="n"/>
      <c r="T9" s="52">
        <f>IF(G9="","",G9)</f>
        <v/>
      </c>
      <c r="U9" s="52">
        <f>IF(C9="","",IF(OR(ISNUMBER(SEARCH("Director",C9)),ISNUMBER(SEARCH("Lead",C9)),ISNUMBER(SEARCH("Senior",C9)),ISNUMBER(SEARCH("Sr.",C9))),90,IF(OR(ISNUMBER(SEARCH("Manager",C9)),ISNUMBER(SEARCH("Program",C9)),ISNUMBER(SEARCH("Portfolio",C9))),80,60)))</f>
        <v/>
      </c>
      <c r="V9" s="52">
        <f>IF(C9="","",IF(OR(ISNUMBER(SEARCH("AI",C9)),ISNUMBER(SEARCH("Data",C9)),ISNUMBER(SEARCH("Technology",C9)),ISNUMBER(SEARCH("Technical",C9)),ISNUMBER(SEARCH("Engineering",C9)),ISNUMBER(SEARCH("Platform",C9)),ISNUMBER(SEARCH("Portfolio",C9))),85,65))</f>
        <v/>
      </c>
      <c r="W9" s="52">
        <f>IF(C9="","",MIN(100,50+IF(S9&lt;&gt;"",25,0)+IF(R9&lt;&gt;"",15,0)+IF(P9&lt;&gt;"",10,0)))</f>
        <v/>
      </c>
      <c r="X9" s="52">
        <f>IF(E9="","",IF(OR(E9="Canada",E9="CA"),100,IF(OR(E9="United States",E9="USA",E9="US"),IF(J9="Yes",45,75),65)))</f>
        <v/>
      </c>
      <c r="Y9" s="52">
        <f>IF(C9="","",IF(OR(ISNUMBER(SEARCH("Program",C9)),ISNUMBER(SEARCH("Portfolio",C9)),ISNUMBER(SEARCH("Operations",C9)),ISNUMBER(SEARCH("Transformation",C9))),85,IF(ISNUMBER(SEARCH("Product Manager",C9)),55,70)))</f>
        <v/>
      </c>
      <c r="Z9" s="52">
        <f>IF(C9="","",MIN(100,IF(I9&lt;&gt;"",60,10)+IF(AA9&gt;0,MIN(40,AA9*20),0)))</f>
        <v/>
      </c>
      <c r="AA9" s="52">
        <f>IF(T9="","",ROUND(T9*25%+U9*15%+V9*10%+W9*15%+X9*15%+Y9*10%+Z9*10%,0))</f>
        <v/>
      </c>
      <c r="AB9" s="52">
        <f>IF(AA9="","",IF(X9&lt;50,"Selective / Barrier",IF(AA9&gt;=80,"Tier 1 - Pursue",IF(AA9&gt;=70,"Tier 2 - Pursue",IF(AA9&gt;=60,"Tier 3 - Selective","Do Not Pursue")))))</f>
        <v/>
      </c>
      <c r="AC9" s="52">
        <f>IF(C9="","",IF(I9&lt;&gt;"","Named Contact",IF(AA9&gt;0,"Outreach Logged","Cold")))</f>
        <v/>
      </c>
      <c r="AD9" s="52">
        <f>IF(B9="","",COUNTIF('Outreach Log'!$C:$C,B9))</f>
        <v/>
      </c>
      <c r="AE9" s="52">
        <f>IF(A9="","",IF(OR(K9="Rejected",K9="Closed"),IF(L9&lt;&gt;"",L9-A9,TODAY()-A9),TODAY()-A9))</f>
        <v/>
      </c>
      <c r="AF9" s="52">
        <f>IF(C9="","",IF(AND(AA9&gt;=70,AC9="Cold"),"High-fit but cold",IF(AND(AA9&lt;60,K9="Applied"),"Low-fit application",IF(AND(AA9&gt;=70,OR(AC9="Named Contact",AC9="Outreach Logged")),"Targeted pursuit","Review"))))</f>
        <v/>
      </c>
    </row>
    <row r="10" ht="15" customHeight="1" s="44">
      <c r="A10" s="48" t="n"/>
      <c r="B10" s="48" t="inlineStr">
        <is>
          <t>eBay</t>
        </is>
      </c>
      <c r="C10" s="48" t="inlineStr">
        <is>
          <t>Senior RAI Program Manager</t>
        </is>
      </c>
      <c r="D10" s="48" t="inlineStr">
        <is>
          <t>Senior</t>
        </is>
      </c>
      <c r="E10" s="48" t="inlineStr">
        <is>
          <t>Canada</t>
        </is>
      </c>
      <c r="F10" s="48" t="inlineStr">
        <is>
          <t>Toronto</t>
        </is>
      </c>
      <c r="G10" s="48" t="n"/>
      <c r="H10" s="48" t="inlineStr">
        <is>
          <t>Cold Portal</t>
        </is>
      </c>
      <c r="I10" s="48" t="n"/>
      <c r="J10" s="48" t="inlineStr">
        <is>
          <t>No</t>
        </is>
      </c>
      <c r="K10" s="49" t="inlineStr">
        <is>
          <t>Rejected</t>
        </is>
      </c>
      <c r="L10" s="50" t="n">
        <v>46088</v>
      </c>
      <c r="M10" s="48">
        <f>IF(OR(L273="",A273=""),"",L273-A273)</f>
        <v/>
      </c>
      <c r="N10" s="48" t="n"/>
      <c r="O10" s="48" t="n"/>
      <c r="P10" s="51" t="inlineStr">
        <is>
          <t>REJECTED 2026-03-07: eBay — "decided not to move forward." Date Applied unknown — Elena to confirm. Retroactively logged 2026-09-12.</t>
        </is>
      </c>
      <c r="Q10" s="48" t="n"/>
      <c r="R10" s="48" t="n"/>
      <c r="S10" s="51" t="n"/>
      <c r="T10" s="52">
        <f>IF(G10="","",G10)</f>
        <v/>
      </c>
      <c r="U10" s="52">
        <f>IF(C10="","",IF(OR(ISNUMBER(SEARCH("Director",C10)),ISNUMBER(SEARCH("Lead",C10)),ISNUMBER(SEARCH("Senior",C10)),ISNUMBER(SEARCH("Sr.",C10))),90,IF(OR(ISNUMBER(SEARCH("Manager",C10)),ISNUMBER(SEARCH("Program",C10)),ISNUMBER(SEARCH("Portfolio",C10))),80,60)))</f>
        <v/>
      </c>
      <c r="V10" s="52">
        <f>IF(C10="","",IF(OR(ISNUMBER(SEARCH("AI",C10)),ISNUMBER(SEARCH("Data",C10)),ISNUMBER(SEARCH("Technology",C10)),ISNUMBER(SEARCH("Technical",C10)),ISNUMBER(SEARCH("Engineering",C10)),ISNUMBER(SEARCH("Platform",C10)),ISNUMBER(SEARCH("Portfolio",C10))),85,65))</f>
        <v/>
      </c>
      <c r="W10" s="52">
        <f>IF(C10="","",MIN(100,50+IF(S10&lt;&gt;"",25,0)+IF(R10&lt;&gt;"",15,0)+IF(P10&lt;&gt;"",10,0)))</f>
        <v/>
      </c>
      <c r="X10" s="52">
        <f>IF(E10="","",IF(OR(E10="Canada",E10="CA"),100,IF(OR(E10="United States",E10="USA",E10="US"),IF(J10="Yes",45,75),65)))</f>
        <v/>
      </c>
      <c r="Y10" s="52">
        <f>IF(C10="","",IF(OR(ISNUMBER(SEARCH("Program",C10)),ISNUMBER(SEARCH("Portfolio",C10)),ISNUMBER(SEARCH("Operations",C10)),ISNUMBER(SEARCH("Transformation",C10))),85,IF(ISNUMBER(SEARCH("Product Manager",C10)),55,70)))</f>
        <v/>
      </c>
      <c r="Z10" s="52">
        <f>IF(C10="","",MIN(100,IF(I10&lt;&gt;"",60,10)+IF(AA10&gt;0,MIN(40,AA10*20),0)))</f>
        <v/>
      </c>
      <c r="AA10" s="52">
        <f>IF(T10="","",ROUND(T10*25%+U10*15%+V10*10%+W10*15%+X10*15%+Y10*10%+Z10*10%,0))</f>
        <v/>
      </c>
      <c r="AB10" s="52">
        <f>IF(AA10="","",IF(X10&lt;50,"Selective / Barrier",IF(AA10&gt;=80,"Tier 1 - Pursue",IF(AA10&gt;=70,"Tier 2 - Pursue",IF(AA10&gt;=60,"Tier 3 - Selective","Do Not Pursue")))))</f>
        <v/>
      </c>
      <c r="AC10" s="52">
        <f>IF(C10="","",IF(I10&lt;&gt;"","Named Contact",IF(AA10&gt;0,"Outreach Logged","Cold")))</f>
        <v/>
      </c>
      <c r="AD10" s="52">
        <f>IF(B10="","",COUNTIF('Outreach Log'!$C:$C,B10))</f>
        <v/>
      </c>
      <c r="AE10" s="52">
        <f>IF(A10="","",IF(OR(K10="Rejected",K10="Closed"),IF(L10&lt;&gt;"",L10-A10,TODAY()-A10),TODAY()-A10))</f>
        <v/>
      </c>
      <c r="AF10" s="52">
        <f>IF(C10="","",IF(AND(AA10&gt;=70,AC10="Cold"),"High-fit but cold",IF(AND(AA10&lt;60,K10="Applied"),"Low-fit application",IF(AND(AA10&gt;=70,OR(AC10="Named Contact",AC10="Outreach Logged")),"Targeted pursuit","Review"))))</f>
        <v/>
      </c>
    </row>
    <row r="11" ht="15" customHeight="1" s="44">
      <c r="A11" s="48" t="n"/>
      <c r="B11" s="48" t="inlineStr">
        <is>
          <t>eBay</t>
        </is>
      </c>
      <c r="C11" s="48" t="inlineStr">
        <is>
          <t>Senior Program Manager, Regulatory</t>
        </is>
      </c>
      <c r="D11" s="48" t="inlineStr">
        <is>
          <t>Senior</t>
        </is>
      </c>
      <c r="E11" s="48" t="inlineStr">
        <is>
          <t>Canada</t>
        </is>
      </c>
      <c r="F11" s="48" t="inlineStr">
        <is>
          <t>Toronto</t>
        </is>
      </c>
      <c r="G11" s="48" t="n"/>
      <c r="H11" s="48" t="inlineStr">
        <is>
          <t>Cold Portal</t>
        </is>
      </c>
      <c r="I11" s="48" t="n"/>
      <c r="J11" s="48" t="inlineStr">
        <is>
          <t>No</t>
        </is>
      </c>
      <c r="K11" s="49" t="inlineStr">
        <is>
          <t>Rejected</t>
        </is>
      </c>
      <c r="L11" s="50" t="n">
        <v>46114</v>
      </c>
      <c r="M11" s="48">
        <f>IF(OR(L274="",A274=""),"",L274-A274)</f>
        <v/>
      </c>
      <c r="N11" s="48" t="n"/>
      <c r="O11" s="48" t="n"/>
      <c r="P11" s="51" t="inlineStr">
        <is>
          <t>REJECTED 2026-04-02: eBay — "decided not to move forward." Date Applied unknown — Elena to confirm. Retroactively logged 2026-09-12.</t>
        </is>
      </c>
      <c r="Q11" s="48" t="n"/>
      <c r="R11" s="48" t="n"/>
      <c r="S11" s="51" t="n"/>
      <c r="T11" s="52">
        <f>IF(G11="","",G11)</f>
        <v/>
      </c>
      <c r="U11" s="52">
        <f>IF(C11="","",IF(OR(ISNUMBER(SEARCH("Director",C11)),ISNUMBER(SEARCH("Lead",C11)),ISNUMBER(SEARCH("Senior",C11)),ISNUMBER(SEARCH("Sr.",C11))),90,IF(OR(ISNUMBER(SEARCH("Manager",C11)),ISNUMBER(SEARCH("Program",C11)),ISNUMBER(SEARCH("Portfolio",C11))),80,60)))</f>
        <v/>
      </c>
      <c r="V11" s="52">
        <f>IF(C11="","",IF(OR(ISNUMBER(SEARCH("AI",C11)),ISNUMBER(SEARCH("Data",C11)),ISNUMBER(SEARCH("Technology",C11)),ISNUMBER(SEARCH("Technical",C11)),ISNUMBER(SEARCH("Engineering",C11)),ISNUMBER(SEARCH("Platform",C11)),ISNUMBER(SEARCH("Portfolio",C11))),85,65))</f>
        <v/>
      </c>
      <c r="W11" s="52">
        <f>IF(C11="","",MIN(100,50+IF(S11&lt;&gt;"",25,0)+IF(R11&lt;&gt;"",15,0)+IF(P11&lt;&gt;"",10,0)))</f>
        <v/>
      </c>
      <c r="X11" s="52">
        <f>IF(E11="","",IF(OR(E11="Canada",E11="CA"),100,IF(OR(E11="United States",E11="USA",E11="US"),IF(J11="Yes",45,75),65)))</f>
        <v/>
      </c>
      <c r="Y11" s="52">
        <f>IF(C11="","",IF(OR(ISNUMBER(SEARCH("Program",C11)),ISNUMBER(SEARCH("Portfolio",C11)),ISNUMBER(SEARCH("Operations",C11)),ISNUMBER(SEARCH("Transformation",C11))),85,IF(ISNUMBER(SEARCH("Product Manager",C11)),55,70)))</f>
        <v/>
      </c>
      <c r="Z11" s="52">
        <f>IF(C11="","",MIN(100,IF(I11&lt;&gt;"",60,10)+IF(AA11&gt;0,MIN(40,AA11*20),0)))</f>
        <v/>
      </c>
      <c r="AA11" s="52">
        <f>IF(T11="","",ROUND(T11*25%+U11*15%+V11*10%+W11*15%+X11*15%+Y11*10%+Z11*10%,0))</f>
        <v/>
      </c>
      <c r="AB11" s="52">
        <f>IF(AA11="","",IF(X11&lt;50,"Selective / Barrier",IF(AA11&gt;=80,"Tier 1 - Pursue",IF(AA11&gt;=70,"Tier 2 - Pursue",IF(AA11&gt;=60,"Tier 3 - Selective","Do Not Pursue")))))</f>
        <v/>
      </c>
      <c r="AC11" s="52">
        <f>IF(C11="","",IF(I11&lt;&gt;"","Named Contact",IF(AA11&gt;0,"Outreach Logged","Cold")))</f>
        <v/>
      </c>
      <c r="AD11" s="52">
        <f>IF(B11="","",COUNTIF('Outreach Log'!$C:$C,B11))</f>
        <v/>
      </c>
      <c r="AE11" s="52">
        <f>IF(A11="","",IF(OR(K11="Rejected",K11="Closed"),IF(L11&lt;&gt;"",L11-A11,TODAY()-A11),TODAY()-A11))</f>
        <v/>
      </c>
      <c r="AF11" s="52">
        <f>IF(C11="","",IF(AND(AA11&gt;=70,AC11="Cold"),"High-fit but cold",IF(AND(AA11&lt;60,K11="Applied"),"Low-fit application",IF(AND(AA11&gt;=70,OR(AC11="Named Contact",AC11="Outreach Logged")),"Targeted pursuit","Review"))))</f>
        <v/>
      </c>
    </row>
    <row r="12" ht="15" customHeight="1" s="44">
      <c r="A12" s="48" t="n"/>
      <c r="B12" s="48" t="inlineStr">
        <is>
          <t>eBay</t>
        </is>
      </c>
      <c r="C12" s="48" t="inlineStr">
        <is>
          <t>Business Operations and Planning Manager</t>
        </is>
      </c>
      <c r="D12" s="48" t="inlineStr">
        <is>
          <t>Manager</t>
        </is>
      </c>
      <c r="E12" s="48" t="inlineStr">
        <is>
          <t>Canada</t>
        </is>
      </c>
      <c r="F12" s="48" t="inlineStr">
        <is>
          <t>Toronto</t>
        </is>
      </c>
      <c r="G12" s="48" t="n"/>
      <c r="H12" s="48" t="inlineStr">
        <is>
          <t>Cold Portal</t>
        </is>
      </c>
      <c r="I12" s="48" t="n"/>
      <c r="J12" s="48" t="inlineStr">
        <is>
          <t>No</t>
        </is>
      </c>
      <c r="K12" s="49" t="inlineStr">
        <is>
          <t>Rejected</t>
        </is>
      </c>
      <c r="L12" s="50" t="n">
        <v>46133</v>
      </c>
      <c r="M12" s="48">
        <f>IF(OR(L275="",A275=""),"",L275-A275)</f>
        <v/>
      </c>
      <c r="N12" s="48" t="n"/>
      <c r="O12" s="48" t="n"/>
      <c r="P12" s="51" t="inlineStr">
        <is>
          <t>REJECTED 2026-04-21: eBay — "decided not to move forward." Date Applied unknown — Elena to confirm. Retroactively logged 2026-09-12.</t>
        </is>
      </c>
      <c r="Q12" s="48" t="n"/>
      <c r="R12" s="48" t="n"/>
      <c r="S12" s="51" t="n"/>
      <c r="T12" s="52">
        <f>IF(G12="","",G12)</f>
        <v/>
      </c>
      <c r="U12" s="52">
        <f>IF(C12="","",IF(OR(ISNUMBER(SEARCH("Director",C12)),ISNUMBER(SEARCH("Lead",C12)),ISNUMBER(SEARCH("Senior",C12)),ISNUMBER(SEARCH("Sr.",C12))),90,IF(OR(ISNUMBER(SEARCH("Manager",C12)),ISNUMBER(SEARCH("Program",C12)),ISNUMBER(SEARCH("Portfolio",C12))),80,60)))</f>
        <v/>
      </c>
      <c r="V12" s="52">
        <f>IF(C12="","",IF(OR(ISNUMBER(SEARCH("AI",C12)),ISNUMBER(SEARCH("Data",C12)),ISNUMBER(SEARCH("Technology",C12)),ISNUMBER(SEARCH("Technical",C12)),ISNUMBER(SEARCH("Engineering",C12)),ISNUMBER(SEARCH("Platform",C12)),ISNUMBER(SEARCH("Portfolio",C12))),85,65))</f>
        <v/>
      </c>
      <c r="W12" s="52">
        <f>IF(C12="","",MIN(100,50+IF(S12&lt;&gt;"",25,0)+IF(R12&lt;&gt;"",15,0)+IF(P12&lt;&gt;"",10,0)))</f>
        <v/>
      </c>
      <c r="X12" s="52">
        <f>IF(E12="","",IF(OR(E12="Canada",E12="CA"),100,IF(OR(E12="United States",E12="USA",E12="US"),IF(J12="Yes",45,75),65)))</f>
        <v/>
      </c>
      <c r="Y12" s="52">
        <f>IF(C12="","",IF(OR(ISNUMBER(SEARCH("Program",C12)),ISNUMBER(SEARCH("Portfolio",C12)),ISNUMBER(SEARCH("Operations",C12)),ISNUMBER(SEARCH("Transformation",C12))),85,IF(ISNUMBER(SEARCH("Product Manager",C12)),55,70)))</f>
        <v/>
      </c>
      <c r="Z12" s="52">
        <f>IF(C12="","",MIN(100,IF(I12&lt;&gt;"",60,10)+IF(AA12&gt;0,MIN(40,AA12*20),0)))</f>
        <v/>
      </c>
      <c r="AA12" s="52">
        <f>IF(T12="","",ROUND(T12*25%+U12*15%+V12*10%+W12*15%+X12*15%+Y12*10%+Z12*10%,0))</f>
        <v/>
      </c>
      <c r="AB12" s="52">
        <f>IF(AA12="","",IF(X12&lt;50,"Selective / Barrier",IF(AA12&gt;=80,"Tier 1 - Pursue",IF(AA12&gt;=70,"Tier 2 - Pursue",IF(AA12&gt;=60,"Tier 3 - Selective","Do Not Pursue")))))</f>
        <v/>
      </c>
      <c r="AC12" s="52">
        <f>IF(C12="","",IF(I12&lt;&gt;"","Named Contact",IF(AA12&gt;0,"Outreach Logged","Cold")))</f>
        <v/>
      </c>
      <c r="AD12" s="52">
        <f>IF(B12="","",COUNTIF('Outreach Log'!$C:$C,B12))</f>
        <v/>
      </c>
      <c r="AE12" s="52">
        <f>IF(A12="","",IF(OR(K12="Rejected",K12="Closed"),IF(L12&lt;&gt;"",L12-A12,TODAY()-A12),TODAY()-A12))</f>
        <v/>
      </c>
      <c r="AF12" s="52">
        <f>IF(C12="","",IF(AND(AA12&gt;=70,AC12="Cold"),"High-fit but cold",IF(AND(AA12&lt;60,K12="Applied"),"Low-fit application",IF(AND(AA12&gt;=70,OR(AC12="Named Contact",AC12="Outreach Logged")),"Targeted pursuit","Review"))))</f>
        <v/>
      </c>
    </row>
    <row r="13" ht="15" customHeight="1" s="44">
      <c r="A13" s="48" t="n"/>
      <c r="B13" s="48" t="inlineStr">
        <is>
          <t>eBay</t>
        </is>
      </c>
      <c r="C13" s="48" t="inlineStr">
        <is>
          <t>Lead Technical Program Manager (2nd application)</t>
        </is>
      </c>
      <c r="D13" s="48" t="inlineStr">
        <is>
          <t>Lead</t>
        </is>
      </c>
      <c r="E13" s="48" t="inlineStr">
        <is>
          <t>Canada</t>
        </is>
      </c>
      <c r="F13" s="48" t="inlineStr">
        <is>
          <t>Toronto</t>
        </is>
      </c>
      <c r="G13" s="48" t="n"/>
      <c r="H13" s="48" t="inlineStr">
        <is>
          <t>Cold Portal</t>
        </is>
      </c>
      <c r="I13" s="48" t="n"/>
      <c r="J13" s="48" t="inlineStr">
        <is>
          <t>No</t>
        </is>
      </c>
      <c r="K13" s="49" t="inlineStr">
        <is>
          <t>Rejected</t>
        </is>
      </c>
      <c r="L13" s="50" t="n">
        <v>46137</v>
      </c>
      <c r="M13" s="48">
        <f>IF(OR(L276="",A276=""),"",L276-A276)</f>
        <v/>
      </c>
      <c r="N13" s="48" t="n"/>
      <c r="O13" s="48" t="n"/>
      <c r="P13" s="51" t="inlineStr">
        <is>
          <t>REJECTED 2026-04-25: eBay — "decided not to move forward." Date Applied unknown — Elena to confirm. Second, separate application with this exact title (see also 3/6 rejection — different req). Retroactively logged 2026-09-12.</t>
        </is>
      </c>
      <c r="Q13" s="48" t="n"/>
      <c r="R13" s="48" t="n"/>
      <c r="S13" s="51" t="n"/>
      <c r="T13" s="52">
        <f>IF(G13="","",G13)</f>
        <v/>
      </c>
      <c r="U13" s="52">
        <f>IF(C13="","",IF(OR(ISNUMBER(SEARCH("Director",C13)),ISNUMBER(SEARCH("Lead",C13)),ISNUMBER(SEARCH("Senior",C13)),ISNUMBER(SEARCH("Sr.",C13))),90,IF(OR(ISNUMBER(SEARCH("Manager",C13)),ISNUMBER(SEARCH("Program",C13)),ISNUMBER(SEARCH("Portfolio",C13))),80,60)))</f>
        <v/>
      </c>
      <c r="V13" s="52">
        <f>IF(C13="","",IF(OR(ISNUMBER(SEARCH("AI",C13)),ISNUMBER(SEARCH("Data",C13)),ISNUMBER(SEARCH("Technology",C13)),ISNUMBER(SEARCH("Technical",C13)),ISNUMBER(SEARCH("Engineering",C13)),ISNUMBER(SEARCH("Platform",C13)),ISNUMBER(SEARCH("Portfolio",C13))),85,65))</f>
        <v/>
      </c>
      <c r="W13" s="52">
        <f>IF(C13="","",MIN(100,50+IF(S13&lt;&gt;"",25,0)+IF(R13&lt;&gt;"",15,0)+IF(P13&lt;&gt;"",10,0)))</f>
        <v/>
      </c>
      <c r="X13" s="52">
        <f>IF(E13="","",IF(OR(E13="Canada",E13="CA"),100,IF(OR(E13="United States",E13="USA",E13="US"),IF(J13="Yes",45,75),65)))</f>
        <v/>
      </c>
      <c r="Y13" s="52">
        <f>IF(C13="","",IF(OR(ISNUMBER(SEARCH("Program",C13)),ISNUMBER(SEARCH("Portfolio",C13)),ISNUMBER(SEARCH("Operations",C13)),ISNUMBER(SEARCH("Transformation",C13))),85,IF(ISNUMBER(SEARCH("Product Manager",C13)),55,70)))</f>
        <v/>
      </c>
      <c r="Z13" s="52">
        <f>IF(C13="","",MIN(100,IF(I13&lt;&gt;"",60,10)+IF(AA13&gt;0,MIN(40,AA13*20),0)))</f>
        <v/>
      </c>
      <c r="AA13" s="52">
        <f>IF(T13="","",ROUND(T13*25%+U13*15%+V13*10%+W13*15%+X13*15%+Y13*10%+Z13*10%,0))</f>
        <v/>
      </c>
      <c r="AB13" s="52">
        <f>IF(AA13="","",IF(X13&lt;50,"Selective / Barrier",IF(AA13&gt;=80,"Tier 1 - Pursue",IF(AA13&gt;=70,"Tier 2 - Pursue",IF(AA13&gt;=60,"Tier 3 - Selective","Do Not Pursue")))))</f>
        <v/>
      </c>
      <c r="AC13" s="52">
        <f>IF(C13="","",IF(I13&lt;&gt;"","Named Contact",IF(AA13&gt;0,"Outreach Logged","Cold")))</f>
        <v/>
      </c>
      <c r="AD13" s="52">
        <f>IF(B13="","",COUNTIF('Outreach Log'!$C:$C,B13))</f>
        <v/>
      </c>
      <c r="AE13" s="52">
        <f>IF(A13="","",IF(OR(K13="Rejected",K13="Closed"),IF(L13&lt;&gt;"",L13-A13,TODAY()-A13),TODAY()-A13))</f>
        <v/>
      </c>
      <c r="AF13" s="52">
        <f>IF(C13="","",IF(AND(AA13&gt;=70,AC13="Cold"),"High-fit but cold",IF(AND(AA13&lt;60,K13="Applied"),"Low-fit application",IF(AND(AA13&gt;=70,OR(AC13="Named Contact",AC13="Outreach Logged")),"Targeted pursuit","Review"))))</f>
        <v/>
      </c>
    </row>
    <row r="14" ht="15" customHeight="1" s="44">
      <c r="A14" s="48" t="n"/>
      <c r="B14" s="48" t="inlineStr">
        <is>
          <t>eBay</t>
        </is>
      </c>
      <c r="C14" s="48" t="inlineStr">
        <is>
          <t>Director of Strategic Programs</t>
        </is>
      </c>
      <c r="D14" s="48" t="inlineStr">
        <is>
          <t>Director</t>
        </is>
      </c>
      <c r="E14" s="48" t="inlineStr">
        <is>
          <t>Canada</t>
        </is>
      </c>
      <c r="F14" s="48" t="inlineStr">
        <is>
          <t>Toronto</t>
        </is>
      </c>
      <c r="G14" s="48" t="n"/>
      <c r="H14" s="48" t="inlineStr">
        <is>
          <t>Cold Portal</t>
        </is>
      </c>
      <c r="I14" s="48" t="n"/>
      <c r="J14" s="48" t="inlineStr">
        <is>
          <t>No</t>
        </is>
      </c>
      <c r="K14" s="49" t="inlineStr">
        <is>
          <t>Rejected</t>
        </is>
      </c>
      <c r="L14" s="50" t="n">
        <v>46141</v>
      </c>
      <c r="M14" s="48">
        <f>IF(OR(L277="",A277=""),"",L277-A277)</f>
        <v/>
      </c>
      <c r="N14" s="48" t="n"/>
      <c r="O14" s="48" t="n"/>
      <c r="P14" s="51" t="inlineStr">
        <is>
          <t>REJECTED 2026-04-29: eBay — "decided not to move forward." Date Applied unknown — Elena to confirm. Retroactively logged 2026-09-12.</t>
        </is>
      </c>
      <c r="Q14" s="48" t="n"/>
      <c r="R14" s="48" t="n"/>
      <c r="S14" s="51" t="n"/>
      <c r="T14" s="52">
        <f>IF(G14="","",G14)</f>
        <v/>
      </c>
      <c r="U14" s="52">
        <f>IF(C14="","",IF(OR(ISNUMBER(SEARCH("Director",C14)),ISNUMBER(SEARCH("Lead",C14)),ISNUMBER(SEARCH("Senior",C14)),ISNUMBER(SEARCH("Sr.",C14))),90,IF(OR(ISNUMBER(SEARCH("Manager",C14)),ISNUMBER(SEARCH("Program",C14)),ISNUMBER(SEARCH("Portfolio",C14))),80,60)))</f>
        <v/>
      </c>
      <c r="V14" s="52">
        <f>IF(C14="","",IF(OR(ISNUMBER(SEARCH("AI",C14)),ISNUMBER(SEARCH("Data",C14)),ISNUMBER(SEARCH("Technology",C14)),ISNUMBER(SEARCH("Technical",C14)),ISNUMBER(SEARCH("Engineering",C14)),ISNUMBER(SEARCH("Platform",C14)),ISNUMBER(SEARCH("Portfolio",C14))),85,65))</f>
        <v/>
      </c>
      <c r="W14" s="52">
        <f>IF(C14="","",MIN(100,50+IF(S14&lt;&gt;"",25,0)+IF(R14&lt;&gt;"",15,0)+IF(P14&lt;&gt;"",10,0)))</f>
        <v/>
      </c>
      <c r="X14" s="52">
        <f>IF(E14="","",IF(OR(E14="Canada",E14="CA"),100,IF(OR(E14="United States",E14="USA",E14="US"),IF(J14="Yes",45,75),65)))</f>
        <v/>
      </c>
      <c r="Y14" s="52">
        <f>IF(C14="","",IF(OR(ISNUMBER(SEARCH("Program",C14)),ISNUMBER(SEARCH("Portfolio",C14)),ISNUMBER(SEARCH("Operations",C14)),ISNUMBER(SEARCH("Transformation",C14))),85,IF(ISNUMBER(SEARCH("Product Manager",C14)),55,70)))</f>
        <v/>
      </c>
      <c r="Z14" s="52">
        <f>IF(C14="","",MIN(100,IF(I14&lt;&gt;"",60,10)+IF(AA14&gt;0,MIN(40,AA14*20),0)))</f>
        <v/>
      </c>
      <c r="AA14" s="52">
        <f>IF(T14="","",ROUND(T14*25%+U14*15%+V14*10%+W14*15%+X14*15%+Y14*10%+Z14*10%,0))</f>
        <v/>
      </c>
      <c r="AB14" s="52">
        <f>IF(AA14="","",IF(X14&lt;50,"Selective / Barrier",IF(AA14&gt;=80,"Tier 1 - Pursue",IF(AA14&gt;=70,"Tier 2 - Pursue",IF(AA14&gt;=60,"Tier 3 - Selective","Do Not Pursue")))))</f>
        <v/>
      </c>
      <c r="AC14" s="52">
        <f>IF(C14="","",IF(I14&lt;&gt;"","Named Contact",IF(AA14&gt;0,"Outreach Logged","Cold")))</f>
        <v/>
      </c>
      <c r="AD14" s="52">
        <f>IF(B14="","",COUNTIF('Outreach Log'!$C:$C,B14))</f>
        <v/>
      </c>
      <c r="AE14" s="52">
        <f>IF(A14="","",IF(OR(K14="Rejected",K14="Closed"),IF(L14&lt;&gt;"",L14-A14,TODAY()-A14),TODAY()-A14))</f>
        <v/>
      </c>
      <c r="AF14" s="52">
        <f>IF(C14="","",IF(AND(AA14&gt;=70,AC14="Cold"),"High-fit but cold",IF(AND(AA14&lt;60,K14="Applied"),"Low-fit application",IF(AND(AA14&gt;=70,OR(AC14="Named Contact",AC14="Outreach Logged")),"Targeted pursuit","Review"))))</f>
        <v/>
      </c>
    </row>
    <row r="15" ht="15" customHeight="1" s="44">
      <c r="A15" s="48" t="n"/>
      <c r="B15" s="48" t="inlineStr">
        <is>
          <t>eBay</t>
        </is>
      </c>
      <c r="C15" s="48" t="inlineStr">
        <is>
          <t>Sr. Engineering Program Manager</t>
        </is>
      </c>
      <c r="D15" s="48" t="inlineStr">
        <is>
          <t>Senior</t>
        </is>
      </c>
      <c r="E15" s="48" t="inlineStr">
        <is>
          <t>Canada</t>
        </is>
      </c>
      <c r="F15" s="48" t="inlineStr">
        <is>
          <t>Toronto</t>
        </is>
      </c>
      <c r="G15" s="48" t="n"/>
      <c r="H15" s="48" t="inlineStr">
        <is>
          <t>Cold Portal</t>
        </is>
      </c>
      <c r="I15" s="48" t="n"/>
      <c r="J15" s="48" t="inlineStr">
        <is>
          <t>No</t>
        </is>
      </c>
      <c r="K15" s="49" t="inlineStr">
        <is>
          <t>Rejected</t>
        </is>
      </c>
      <c r="L15" s="50" t="n">
        <v>46221</v>
      </c>
      <c r="M15" s="48">
        <f>IF(OR(L278="",A278=""),"",L278-A278)</f>
        <v/>
      </c>
      <c r="N15" s="48" t="n"/>
      <c r="O15" s="48" t="n"/>
      <c r="P15" s="51" t="inlineStr">
        <is>
          <t>Advanced to next recruiting stage 2026-06-17 ("thrilled to invite you to the next stage"). REJECTED 2026-07-18: eBay — "decided not to move forward." Date Applied unknown — Elena to confirm. Distinct from row 38 (Director, AI Workflow Transformation, applied 7/5). Retroactively logged 2026-09-12.</t>
        </is>
      </c>
      <c r="Q15" s="50" t="n">
        <v>46190</v>
      </c>
      <c r="R15" s="48" t="n"/>
      <c r="S15" s="51" t="n"/>
      <c r="T15" s="52">
        <f>IF(G15="","",G15)</f>
        <v/>
      </c>
      <c r="U15" s="52">
        <f>IF(C15="","",IF(OR(ISNUMBER(SEARCH("Director",C15)),ISNUMBER(SEARCH("Lead",C15)),ISNUMBER(SEARCH("Senior",C15)),ISNUMBER(SEARCH("Sr.",C15))),90,IF(OR(ISNUMBER(SEARCH("Manager",C15)),ISNUMBER(SEARCH("Program",C15)),ISNUMBER(SEARCH("Portfolio",C15))),80,60)))</f>
        <v/>
      </c>
      <c r="V15" s="52">
        <f>IF(C15="","",IF(OR(ISNUMBER(SEARCH("AI",C15)),ISNUMBER(SEARCH("Data",C15)),ISNUMBER(SEARCH("Technology",C15)),ISNUMBER(SEARCH("Technical",C15)),ISNUMBER(SEARCH("Engineering",C15)),ISNUMBER(SEARCH("Platform",C15)),ISNUMBER(SEARCH("Portfolio",C15))),85,65))</f>
        <v/>
      </c>
      <c r="W15" s="52">
        <f>IF(C15="","",MIN(100,50+IF(S15&lt;&gt;"",25,0)+IF(R15&lt;&gt;"",15,0)+IF(P15&lt;&gt;"",10,0)))</f>
        <v/>
      </c>
      <c r="X15" s="52">
        <f>IF(E15="","",IF(OR(E15="Canada",E15="CA"),100,IF(OR(E15="United States",E15="USA",E15="US"),IF(J15="Yes",45,75),65)))</f>
        <v/>
      </c>
      <c r="Y15" s="52">
        <f>IF(C15="","",IF(OR(ISNUMBER(SEARCH("Program",C15)),ISNUMBER(SEARCH("Portfolio",C15)),ISNUMBER(SEARCH("Operations",C15)),ISNUMBER(SEARCH("Transformation",C15))),85,IF(ISNUMBER(SEARCH("Product Manager",C15)),55,70)))</f>
        <v/>
      </c>
      <c r="Z15" s="52">
        <f>IF(C15="","",MIN(100,IF(I15&lt;&gt;"",60,10)+IF(AA15&gt;0,MIN(40,AA15*20),0)))</f>
        <v/>
      </c>
      <c r="AA15" s="52">
        <f>IF(T15="","",ROUND(T15*25%+U15*15%+V15*10%+W15*15%+X15*15%+Y15*10%+Z15*10%,0))</f>
        <v/>
      </c>
      <c r="AB15" s="52">
        <f>IF(AA15="","",IF(X15&lt;50,"Selective / Barrier",IF(AA15&gt;=80,"Tier 1 - Pursue",IF(AA15&gt;=70,"Tier 2 - Pursue",IF(AA15&gt;=60,"Tier 3 - Selective","Do Not Pursue")))))</f>
        <v/>
      </c>
      <c r="AC15" s="52">
        <f>IF(C15="","",IF(I15&lt;&gt;"","Named Contact",IF(AA15&gt;0,"Outreach Logged","Cold")))</f>
        <v/>
      </c>
      <c r="AD15" s="52">
        <f>IF(B15="","",COUNTIF('Outreach Log'!$C:$C,B15))</f>
        <v/>
      </c>
      <c r="AE15" s="52">
        <f>IF(A15="","",IF(OR(K15="Rejected",K15="Closed"),IF(L15&lt;&gt;"",L15-A15,TODAY()-A15),TODAY()-A15))</f>
        <v/>
      </c>
      <c r="AF15" s="52">
        <f>IF(C15="","",IF(AND(AA15&gt;=70,AC15="Cold"),"High-fit but cold",IF(AND(AA15&lt;60,K15="Applied"),"Low-fit application",IF(AND(AA15&gt;=70,OR(AC15="Named Contact",AC15="Outreach Logged")),"Targeted pursuit","Review"))))</f>
        <v/>
      </c>
    </row>
    <row r="16" ht="15" customHeight="1" s="44">
      <c r="A16" s="48" t="n"/>
      <c r="B16" s="48" t="inlineStr">
        <is>
          <t>eBay</t>
        </is>
      </c>
      <c r="C16" s="48" t="inlineStr">
        <is>
          <t>Product Manager, Seller Experience</t>
        </is>
      </c>
      <c r="D16" s="48" t="inlineStr">
        <is>
          <t>Manager</t>
        </is>
      </c>
      <c r="E16" s="48" t="inlineStr">
        <is>
          <t>Canada</t>
        </is>
      </c>
      <c r="F16" s="48" t="inlineStr">
        <is>
          <t>Toronto</t>
        </is>
      </c>
      <c r="G16" s="48" t="n"/>
      <c r="H16" s="48" t="inlineStr">
        <is>
          <t>Cold Portal</t>
        </is>
      </c>
      <c r="I16" s="48" t="n"/>
      <c r="J16" s="48" t="inlineStr">
        <is>
          <t>No</t>
        </is>
      </c>
      <c r="K16" s="49" t="inlineStr">
        <is>
          <t>Rejected</t>
        </is>
      </c>
      <c r="L16" s="50" t="n">
        <v>46225</v>
      </c>
      <c r="M16" s="48">
        <f>IF(OR(L279="",A279=""),"",L279-A279)</f>
        <v/>
      </c>
      <c r="N16" s="48" t="n"/>
      <c r="O16" s="48" t="n"/>
      <c r="P16" s="51" t="inlineStr">
        <is>
          <t>REJECTED 2026-07-22: eBay — "decided not to move forward." Date Applied unknown — Elena to confirm. Retroactively logged 2026-09-12.</t>
        </is>
      </c>
      <c r="Q16" s="48" t="n"/>
      <c r="R16" s="48" t="n"/>
      <c r="S16" s="51" t="n"/>
      <c r="T16" s="52">
        <f>IF(G16="","",G16)</f>
        <v/>
      </c>
      <c r="U16" s="52">
        <f>IF(C16="","",IF(OR(ISNUMBER(SEARCH("Director",C16)),ISNUMBER(SEARCH("Lead",C16)),ISNUMBER(SEARCH("Senior",C16)),ISNUMBER(SEARCH("Sr.",C16))),90,IF(OR(ISNUMBER(SEARCH("Manager",C16)),ISNUMBER(SEARCH("Program",C16)),ISNUMBER(SEARCH("Portfolio",C16))),80,60)))</f>
        <v/>
      </c>
      <c r="V16" s="52">
        <f>IF(C16="","",IF(OR(ISNUMBER(SEARCH("AI",C16)),ISNUMBER(SEARCH("Data",C16)),ISNUMBER(SEARCH("Technology",C16)),ISNUMBER(SEARCH("Technical",C16)),ISNUMBER(SEARCH("Engineering",C16)),ISNUMBER(SEARCH("Platform",C16)),ISNUMBER(SEARCH("Portfolio",C16))),85,65))</f>
        <v/>
      </c>
      <c r="W16" s="52">
        <f>IF(C16="","",MIN(100,50+IF(S16&lt;&gt;"",25,0)+IF(R16&lt;&gt;"",15,0)+IF(P16&lt;&gt;"",10,0)))</f>
        <v/>
      </c>
      <c r="X16" s="52">
        <f>IF(E16="","",IF(OR(E16="Canada",E16="CA"),100,IF(OR(E16="United States",E16="USA",E16="US"),IF(J16="Yes",45,75),65)))</f>
        <v/>
      </c>
      <c r="Y16" s="52">
        <f>IF(C16="","",IF(OR(ISNUMBER(SEARCH("Program",C16)),ISNUMBER(SEARCH("Portfolio",C16)),ISNUMBER(SEARCH("Operations",C16)),ISNUMBER(SEARCH("Transformation",C16))),85,IF(ISNUMBER(SEARCH("Product Manager",C16)),55,70)))</f>
        <v/>
      </c>
      <c r="Z16" s="52">
        <f>IF(C16="","",MIN(100,IF(I16&lt;&gt;"",60,10)+IF(AA16&gt;0,MIN(40,AA16*20),0)))</f>
        <v/>
      </c>
      <c r="AA16" s="52">
        <f>IF(T16="","",ROUND(T16*25%+U16*15%+V16*10%+W16*15%+X16*15%+Y16*10%+Z16*10%,0))</f>
        <v/>
      </c>
      <c r="AB16" s="52">
        <f>IF(AA16="","",IF(X16&lt;50,"Selective / Barrier",IF(AA16&gt;=80,"Tier 1 - Pursue",IF(AA16&gt;=70,"Tier 2 - Pursue",IF(AA16&gt;=60,"Tier 3 - Selective","Do Not Pursue")))))</f>
        <v/>
      </c>
      <c r="AC16" s="52">
        <f>IF(C16="","",IF(I16&lt;&gt;"","Named Contact",IF(AA16&gt;0,"Outreach Logged","Cold")))</f>
        <v/>
      </c>
      <c r="AD16" s="52">
        <f>IF(B16="","",COUNTIF('Outreach Log'!$C:$C,B16))</f>
        <v/>
      </c>
      <c r="AE16" s="52">
        <f>IF(A16="","",IF(OR(K16="Rejected",K16="Closed"),IF(L16&lt;&gt;"",L16-A16,TODAY()-A16),TODAY()-A16))</f>
        <v/>
      </c>
      <c r="AF16" s="52">
        <f>IF(C16="","",IF(AND(AA16&gt;=70,AC16="Cold"),"High-fit but cold",IF(AND(AA16&lt;60,K16="Applied"),"Low-fit application",IF(AND(AA16&gt;=70,OR(AC16="Named Contact",AC16="Outreach Logged")),"Targeted pursuit","Review"))))</f>
        <v/>
      </c>
    </row>
    <row r="17" ht="15" customHeight="1" s="44">
      <c r="A17" s="48" t="n"/>
      <c r="B17" s="48" t="inlineStr">
        <is>
          <t>OMERS / Oxford Properties</t>
        </is>
      </c>
      <c r="C17" s="48" t="inlineStr">
        <is>
          <t>Project Delivery Lead (14-Month Contract)</t>
        </is>
      </c>
      <c r="D17" s="48" t="inlineStr">
        <is>
          <t>Manager</t>
        </is>
      </c>
      <c r="E17" s="48" t="inlineStr">
        <is>
          <t>Canada</t>
        </is>
      </c>
      <c r="F17" s="48" t="inlineStr">
        <is>
          <t>Toronto</t>
        </is>
      </c>
      <c r="G17" s="48" t="n"/>
      <c r="H17" s="48" t="inlineStr">
        <is>
          <t>Cold Portal</t>
        </is>
      </c>
      <c r="I17" s="48" t="n"/>
      <c r="J17" s="48" t="inlineStr">
        <is>
          <t>No</t>
        </is>
      </c>
      <c r="K17" s="49" t="inlineStr">
        <is>
          <t>Rejected</t>
        </is>
      </c>
      <c r="L17" s="50" t="n">
        <v>46027</v>
      </c>
      <c r="M17" s="48">
        <f>IF(OR(L280="",A280=""),"",L280-A280)</f>
        <v/>
      </c>
      <c r="N17" s="48" t="n"/>
      <c r="O17" s="48" t="n"/>
      <c r="P17" s="51" t="inlineStr">
        <is>
          <t>REJECTED 2026-01-05: OMERS/Oxford Properties (recruiting@jobalerts.omers.com) — "we have decided to pursue other candidates whose qualifications and experience are more in line with the position requirements." Date Applied: January 2026 (exact day unknown, confirmed by Elena). Distinct from row 163 (Program Manager, Program Management &amp; Delivery, D&amp;T CSI, applied 8/21) — separate application. Retroactively logged via Gmail screenshot review 2026-09-13.</t>
        </is>
      </c>
      <c r="Q17" s="48" t="n"/>
      <c r="R17" s="48" t="n"/>
      <c r="S17" s="51" t="n"/>
      <c r="T17" s="52">
        <f>IF(G17="","",G17)</f>
        <v/>
      </c>
      <c r="U17" s="52">
        <f>IF(C17="","",IF(OR(ISNUMBER(SEARCH("Director",C17)),ISNUMBER(SEARCH("Lead",C17)),ISNUMBER(SEARCH("Senior",C17)),ISNUMBER(SEARCH("Sr.",C17))),90,IF(OR(ISNUMBER(SEARCH("Manager",C17)),ISNUMBER(SEARCH("Program",C17)),ISNUMBER(SEARCH("Portfolio",C17))),80,60)))</f>
        <v/>
      </c>
      <c r="V17" s="52">
        <f>IF(C17="","",IF(OR(ISNUMBER(SEARCH("AI",C17)),ISNUMBER(SEARCH("Data",C17)),ISNUMBER(SEARCH("Technology",C17)),ISNUMBER(SEARCH("Technical",C17)),ISNUMBER(SEARCH("Engineering",C17)),ISNUMBER(SEARCH("Platform",C17)),ISNUMBER(SEARCH("Portfolio",C17))),85,65))</f>
        <v/>
      </c>
      <c r="W17" s="52">
        <f>IF(C17="","",MIN(100,50+IF(S17&lt;&gt;"",25,0)+IF(R17&lt;&gt;"",15,0)+IF(P17&lt;&gt;"",10,0)))</f>
        <v/>
      </c>
      <c r="X17" s="52">
        <f>IF(E17="","",IF(OR(E17="Canada",E17="CA"),100,IF(OR(E17="United States",E17="USA",E17="US"),IF(J17="Yes",45,75),65)))</f>
        <v/>
      </c>
      <c r="Y17" s="52">
        <f>IF(C17="","",IF(OR(ISNUMBER(SEARCH("Program",C17)),ISNUMBER(SEARCH("Portfolio",C17)),ISNUMBER(SEARCH("Operations",C17)),ISNUMBER(SEARCH("Transformation",C17))),85,IF(ISNUMBER(SEARCH("Product Manager",C17)),55,70)))</f>
        <v/>
      </c>
      <c r="Z17" s="52">
        <f>IF(C17="","",MIN(100,IF(I17&lt;&gt;"",60,10)+IF(AA17&gt;0,MIN(40,AA17*20),0)))</f>
        <v/>
      </c>
      <c r="AA17" s="52">
        <f>IF(T17="","",ROUND(T17*25%+U17*15%+V17*10%+W17*15%+X17*15%+Y17*10%+Z17*10%,0))</f>
        <v/>
      </c>
      <c r="AB17" s="52">
        <f>IF(AA17="","",IF(X17&lt;50,"Selective / Barrier",IF(AA17&gt;=80,"Tier 1 - Pursue",IF(AA17&gt;=70,"Tier 2 - Pursue",IF(AA17&gt;=60,"Tier 3 - Selective","Do Not Pursue")))))</f>
        <v/>
      </c>
      <c r="AC17" s="52">
        <f>IF(C17="","",IF(I17&lt;&gt;"","Named Contact",IF(AA17&gt;0,"Outreach Logged","Cold")))</f>
        <v/>
      </c>
      <c r="AD17" s="52">
        <f>IF(B17="","",COUNTIF('Outreach Log'!$C:$C,B17))</f>
        <v/>
      </c>
      <c r="AE17" s="52">
        <f>IF(A17="","",IF(OR(K17="Rejected",K17="Closed"),IF(L17&lt;&gt;"",L17-A17,TODAY()-A17),TODAY()-A17))</f>
        <v/>
      </c>
      <c r="AF17" s="52">
        <f>IF(C17="","",IF(AND(AA17&gt;=70,AC17="Cold"),"High-fit but cold",IF(AND(AA17&lt;60,K17="Applied"),"Low-fit application",IF(AND(AA17&gt;=70,OR(AC17="Named Contact",AC17="Outreach Logged")),"Targeted pursuit","Review"))))</f>
        <v/>
      </c>
    </row>
    <row r="18" ht="15" customHeight="1" s="44">
      <c r="A18" s="48" t="n"/>
      <c r="B18" s="48" t="inlineStr">
        <is>
          <t>eBay</t>
        </is>
      </c>
      <c r="C18" s="48" t="inlineStr">
        <is>
          <t>Sr. Product Mgr, Live Personalization</t>
        </is>
      </c>
      <c r="D18" s="48" t="inlineStr">
        <is>
          <t>Senior</t>
        </is>
      </c>
      <c r="E18" s="48" t="inlineStr">
        <is>
          <t>Canada</t>
        </is>
      </c>
      <c r="F18" s="48" t="inlineStr">
        <is>
          <t>Toronto</t>
        </is>
      </c>
      <c r="G18" s="48" t="n">
        <v>45</v>
      </c>
      <c r="H18" s="48" t="inlineStr">
        <is>
          <t>Cold Portal</t>
        </is>
      </c>
      <c r="I18" s="48" t="n"/>
      <c r="J18" s="48" t="inlineStr">
        <is>
          <t>No</t>
        </is>
      </c>
      <c r="K18" s="49" t="inlineStr">
        <is>
          <t>Rejected</t>
        </is>
      </c>
      <c r="L18" s="50" t="n">
        <v>46279</v>
      </c>
      <c r="M18" s="48">
        <f>IF(OR(L281="",A281=""),"",L281-A281)</f>
        <v/>
      </c>
      <c r="N18" s="48" t="n"/>
      <c r="O18" s="48" t="n"/>
      <c r="P18" s="51" t="inlineStr">
        <is>
          <t>REJECTED 2026-09-14: eBay Talent Acquisition Team — "recruiting priorities have changed, no longer hiring for this role." Date Applied unknown — Elena to confirm. Distinct from all other eBay Product Manager roles already logged (e.g. Sr. Product Manager, Search AI). Est. fit score: 45 — Product Manager title (not Program Manager), lower overlap with her core delivery/portfolio management track; personalization/product-feature domain is further from her direct experience.</t>
        </is>
      </c>
      <c r="Q18" s="48" t="n"/>
      <c r="R18" s="48" t="n"/>
      <c r="S18" s="51" t="n"/>
      <c r="T18" s="52">
        <f>IF(G18="","",G18)</f>
        <v/>
      </c>
      <c r="U18" s="52">
        <f>IF(C18="","",IF(OR(ISNUMBER(SEARCH("Director",C18)),ISNUMBER(SEARCH("Lead",C18)),ISNUMBER(SEARCH("Senior",C18)),ISNUMBER(SEARCH("Sr.",C18))),90,IF(OR(ISNUMBER(SEARCH("Manager",C18)),ISNUMBER(SEARCH("Program",C18)),ISNUMBER(SEARCH("Portfolio",C18))),80,60)))</f>
        <v/>
      </c>
      <c r="V18" s="52">
        <f>IF(C18="","",IF(OR(ISNUMBER(SEARCH("AI",C18)),ISNUMBER(SEARCH("Data",C18)),ISNUMBER(SEARCH("Technology",C18)),ISNUMBER(SEARCH("Technical",C18)),ISNUMBER(SEARCH("Engineering",C18)),ISNUMBER(SEARCH("Platform",C18)),ISNUMBER(SEARCH("Portfolio",C18))),85,65))</f>
        <v/>
      </c>
      <c r="W18" s="52">
        <f>IF(C18="","",MIN(100,50+IF(S18&lt;&gt;"",25,0)+IF(R18&lt;&gt;"",15,0)+IF(P18&lt;&gt;"",10,0)))</f>
        <v/>
      </c>
      <c r="X18" s="52">
        <f>IF(E18="","",IF(OR(E18="Canada",E18="CA"),100,IF(OR(E18="United States",E18="USA",E18="US"),IF(J18="Yes",45,75),65)))</f>
        <v/>
      </c>
      <c r="Y18" s="52">
        <f>IF(C18="","",IF(OR(ISNUMBER(SEARCH("Program",C18)),ISNUMBER(SEARCH("Portfolio",C18)),ISNUMBER(SEARCH("Operations",C18)),ISNUMBER(SEARCH("Transformation",C18))),85,IF(ISNUMBER(SEARCH("Product Manager",C18)),55,70)))</f>
        <v/>
      </c>
      <c r="Z18" s="52">
        <f>IF(C18="","",MIN(100,IF(I18&lt;&gt;"",60,10)+IF(AA18&gt;0,MIN(40,AA18*20),0)))</f>
        <v/>
      </c>
      <c r="AA18" s="52">
        <f>IF(T18="","",ROUND(T18*25%+U18*15%+V18*10%+W18*15%+X18*15%+Y18*10%+Z18*10%,0))</f>
        <v/>
      </c>
      <c r="AB18" s="52">
        <f>IF(AA18="","",IF(X18&lt;50,"Selective / Barrier",IF(AA18&gt;=80,"Tier 1 - Pursue",IF(AA18&gt;=70,"Tier 2 - Pursue",IF(AA18&gt;=60,"Tier 3 - Selective","Do Not Pursue")))))</f>
        <v/>
      </c>
      <c r="AC18" s="52">
        <f>IF(C18="","",IF(I18&lt;&gt;"","Named Contact",IF(AA18&gt;0,"Outreach Logged","Cold")))</f>
        <v/>
      </c>
      <c r="AD18" s="52">
        <f>IF(B18="","",COUNTIF('Outreach Log'!$C:$C,B18))</f>
        <v/>
      </c>
      <c r="AE18" s="52">
        <f>IF(A18="","",IF(OR(K18="Rejected",K18="Closed"),IF(L18&lt;&gt;"",L18-A18,TODAY()-A18),TODAY()-A18))</f>
        <v/>
      </c>
      <c r="AF18" s="52">
        <f>IF(C18="","",IF(AND(AA18&gt;=70,AC18="Cold"),"High-fit but cold",IF(AND(AA18&lt;60,K18="Applied"),"Low-fit application",IF(AND(AA18&gt;=70,OR(AC18="Named Contact",AC18="Outreach Logged")),"Targeted pursuit","Review"))))</f>
        <v/>
      </c>
    </row>
    <row r="19" ht="15" customHeight="1" s="44">
      <c r="A19" s="48" t="n"/>
      <c r="B19" s="48" t="inlineStr">
        <is>
          <t>OMERS / Oxford Properties</t>
        </is>
      </c>
      <c r="C19" s="48" t="inlineStr">
        <is>
          <t>Associate Director, AI Process Engineering (12 Months Contract)</t>
        </is>
      </c>
      <c r="D19" s="48" t="inlineStr">
        <is>
          <t>Assoc Director</t>
        </is>
      </c>
      <c r="E19" s="48" t="inlineStr">
        <is>
          <t>Canada</t>
        </is>
      </c>
      <c r="F19" s="48" t="inlineStr">
        <is>
          <t>Toronto</t>
        </is>
      </c>
      <c r="G19" s="48" t="n">
        <v>72</v>
      </c>
      <c r="H19" s="48" t="inlineStr">
        <is>
          <t>Cold Portal</t>
        </is>
      </c>
      <c r="I19" s="48" t="n"/>
      <c r="J19" s="48" t="inlineStr">
        <is>
          <t>No</t>
        </is>
      </c>
      <c r="K19" s="49" t="inlineStr">
        <is>
          <t>Rejected</t>
        </is>
      </c>
      <c r="L19" s="50" t="n">
        <v>46085</v>
      </c>
      <c r="M19" s="48">
        <f>IF(OR(L282="",A282=""),"",L282-A282)</f>
        <v/>
      </c>
      <c r="N19" s="48" t="n"/>
      <c r="O19" s="48" t="n"/>
      <c r="P19" s="51" t="inlineStr">
        <is>
          <t>REJECTED 2026-03-04: OMERS/Oxford Properties (recruiting@jobalerts.omers.com) — "decided to pursue other candidates whose qualifications and experience are more in line with the position requirements." Date Applied unknown — Elena to confirm. Third, distinct OMERS/Oxford Properties application — separate from Project Delivery Lead (rejected Jan) and Program Manager, D&amp;T CSI (still Applied, applied 8/21). Retroactively logged via Gmail review 2026-09-15. Est. fit score: 72 — AI Process Engineering aligns with her Bell Data &amp; AI portfolio and process-governance track record.</t>
        </is>
      </c>
      <c r="Q19" s="48" t="n"/>
      <c r="R19" s="48" t="n"/>
      <c r="S19" s="51" t="n"/>
      <c r="T19" s="52">
        <f>IF(G19="","",G19)</f>
        <v/>
      </c>
      <c r="U19" s="52">
        <f>IF(C19="","",IF(OR(ISNUMBER(SEARCH("Director",C19)),ISNUMBER(SEARCH("Lead",C19)),ISNUMBER(SEARCH("Senior",C19)),ISNUMBER(SEARCH("Sr.",C19))),90,IF(OR(ISNUMBER(SEARCH("Manager",C19)),ISNUMBER(SEARCH("Program",C19)),ISNUMBER(SEARCH("Portfolio",C19))),80,60)))</f>
        <v/>
      </c>
      <c r="V19" s="52">
        <f>IF(C19="","",IF(OR(ISNUMBER(SEARCH("AI",C19)),ISNUMBER(SEARCH("Data",C19)),ISNUMBER(SEARCH("Technology",C19)),ISNUMBER(SEARCH("Technical",C19)),ISNUMBER(SEARCH("Engineering",C19)),ISNUMBER(SEARCH("Platform",C19)),ISNUMBER(SEARCH("Portfolio",C19))),85,65))</f>
        <v/>
      </c>
      <c r="W19" s="52">
        <f>IF(C19="","",MIN(100,50+IF(S19&lt;&gt;"",25,0)+IF(R19&lt;&gt;"",15,0)+IF(P19&lt;&gt;"",10,0)))</f>
        <v/>
      </c>
      <c r="X19" s="52">
        <f>IF(E19="","",IF(OR(E19="Canada",E19="CA"),100,IF(OR(E19="United States",E19="USA",E19="US"),IF(J19="Yes",45,75),65)))</f>
        <v/>
      </c>
      <c r="Y19" s="52">
        <f>IF(C19="","",IF(OR(ISNUMBER(SEARCH("Program",C19)),ISNUMBER(SEARCH("Portfolio",C19)),ISNUMBER(SEARCH("Operations",C19)),ISNUMBER(SEARCH("Transformation",C19))),85,IF(ISNUMBER(SEARCH("Product Manager",C19)),55,70)))</f>
        <v/>
      </c>
      <c r="Z19" s="52">
        <f>IF(C19="","",MIN(100,IF(I19&lt;&gt;"",60,10)+IF(AA19&gt;0,MIN(40,AA19*20),0)))</f>
        <v/>
      </c>
      <c r="AA19" s="52">
        <f>IF(T19="","",ROUND(T19*25%+U19*15%+V19*10%+W19*15%+X19*15%+Y19*10%+Z19*10%,0))</f>
        <v/>
      </c>
      <c r="AB19" s="52">
        <f>IF(AA19="","",IF(X19&lt;50,"Selective / Barrier",IF(AA19&gt;=80,"Tier 1 - Pursue",IF(AA19&gt;=70,"Tier 2 - Pursue",IF(AA19&gt;=60,"Tier 3 - Selective","Do Not Pursue")))))</f>
        <v/>
      </c>
      <c r="AC19" s="52">
        <f>IF(C19="","",IF(I19&lt;&gt;"","Named Contact",IF(AA19&gt;0,"Outreach Logged","Cold")))</f>
        <v/>
      </c>
      <c r="AD19" s="52">
        <f>IF(B19="","",COUNTIF('Outreach Log'!$C:$C,B19))</f>
        <v/>
      </c>
      <c r="AE19" s="52">
        <f>IF(A19="","",IF(OR(K19="Rejected",K19="Closed"),IF(L19&lt;&gt;"",L19-A19,TODAY()-A19),TODAY()-A19))</f>
        <v/>
      </c>
      <c r="AF19" s="52">
        <f>IF(C19="","",IF(AND(AA19&gt;=70,AC19="Cold"),"High-fit but cold",IF(AND(AA19&lt;60,K19="Applied"),"Low-fit application",IF(AND(AA19&gt;=70,OR(AC19="Named Contact",AC19="Outreach Logged")),"Targeted pursuit","Review"))))</f>
        <v/>
      </c>
    </row>
    <row r="20" ht="15" customHeight="1" s="44">
      <c r="A20" s="48" t="n"/>
      <c r="B20" s="48" t="inlineStr">
        <is>
          <t>Equifax</t>
        </is>
      </c>
      <c r="C20" s="48" t="inlineStr">
        <is>
          <t>Head of Enterprise Project Management Office (EPMO)</t>
        </is>
      </c>
      <c r="D20" s="48" t="inlineStr">
        <is>
          <t>Director</t>
        </is>
      </c>
      <c r="E20" s="48" t="inlineStr">
        <is>
          <t>Canada</t>
        </is>
      </c>
      <c r="F20" s="48" t="inlineStr">
        <is>
          <t>Toronto</t>
        </is>
      </c>
      <c r="G20" s="48" t="n">
        <v>82</v>
      </c>
      <c r="H20" s="48" t="inlineStr">
        <is>
          <t>Cold Portal</t>
        </is>
      </c>
      <c r="I20" s="48" t="n"/>
      <c r="J20" s="48" t="inlineStr">
        <is>
          <t>No</t>
        </is>
      </c>
      <c r="K20" s="49" t="inlineStr">
        <is>
          <t>Rejected</t>
        </is>
      </c>
      <c r="L20" s="50" t="n">
        <v>46192</v>
      </c>
      <c r="M20" s="48">
        <f>IF(OR(L283="",A283=""),"",L283-A283)</f>
        <v/>
      </c>
      <c r="N20" s="48" t="n"/>
      <c r="O20" s="48" t="n"/>
      <c r="P20" s="51" t="inlineStr">
        <is>
          <t>Applied date unknown (likely March/early April 2026) — Elena to confirm. Interviewed by phone ~2026-04-24 with Christy Tillich (Manager, Talent Acquisition); Elena's own 2026-05-11 follow-up confirms she received an email that she was "moving to the next stage." REJECTED 2026-06-19: "after further review... decided to move forward with other candidates." Retroactively logged via Gmail review 2026-09-18 — was missing from tracker entirely. Est. fit score: 82 — Head of EPMO (Director-level) is a very strong title match to her core portfolio/PMO leadership lane.</t>
        </is>
      </c>
      <c r="Q20" s="50" t="n">
        <v>46136</v>
      </c>
      <c r="R20" s="48" t="n"/>
      <c r="S20" s="51" t="n"/>
      <c r="T20" s="52">
        <f>IF(G20="","",G20)</f>
        <v/>
      </c>
      <c r="U20" s="52">
        <f>IF(C20="","",IF(OR(ISNUMBER(SEARCH("Director",C20)),ISNUMBER(SEARCH("Lead",C20)),ISNUMBER(SEARCH("Senior",C20)),ISNUMBER(SEARCH("Sr.",C20))),90,IF(OR(ISNUMBER(SEARCH("Manager",C20)),ISNUMBER(SEARCH("Program",C20)),ISNUMBER(SEARCH("Portfolio",C20))),80,60)))</f>
        <v/>
      </c>
      <c r="V20" s="52">
        <f>IF(C20="","",IF(OR(ISNUMBER(SEARCH("AI",C20)),ISNUMBER(SEARCH("Data",C20)),ISNUMBER(SEARCH("Technology",C20)),ISNUMBER(SEARCH("Technical",C20)),ISNUMBER(SEARCH("Engineering",C20)),ISNUMBER(SEARCH("Platform",C20)),ISNUMBER(SEARCH("Portfolio",C20))),85,65))</f>
        <v/>
      </c>
      <c r="W20" s="52">
        <f>IF(C20="","",MIN(100,50+IF(S20&lt;&gt;"",25,0)+IF(R20&lt;&gt;"",15,0)+IF(P20&lt;&gt;"",10,0)))</f>
        <v/>
      </c>
      <c r="X20" s="52">
        <f>IF(E20="","",IF(OR(E20="Canada",E20="CA"),100,IF(OR(E20="United States",E20="USA",E20="US"),IF(J20="Yes",45,75),65)))</f>
        <v/>
      </c>
      <c r="Y20" s="52">
        <f>IF(C20="","",IF(OR(ISNUMBER(SEARCH("Program",C20)),ISNUMBER(SEARCH("Portfolio",C20)),ISNUMBER(SEARCH("Operations",C20)),ISNUMBER(SEARCH("Transformation",C20))),85,IF(ISNUMBER(SEARCH("Product Manager",C20)),55,70)))</f>
        <v/>
      </c>
      <c r="Z20" s="52">
        <f>IF(C20="","",MIN(100,IF(I20&lt;&gt;"",60,10)+IF(AA20&gt;0,MIN(40,AA20*20),0)))</f>
        <v/>
      </c>
      <c r="AA20" s="52">
        <f>IF(T20="","",ROUND(T20*25%+U20*15%+V20*10%+W20*15%+X20*15%+Y20*10%+Z20*10%,0))</f>
        <v/>
      </c>
      <c r="AB20" s="52">
        <f>IF(AA20="","",IF(X20&lt;50,"Selective / Barrier",IF(AA20&gt;=80,"Tier 1 - Pursue",IF(AA20&gt;=70,"Tier 2 - Pursue",IF(AA20&gt;=60,"Tier 3 - Selective","Do Not Pursue")))))</f>
        <v/>
      </c>
      <c r="AC20" s="52">
        <f>IF(C20="","",IF(I20&lt;&gt;"","Named Contact",IF(AA20&gt;0,"Outreach Logged","Cold")))</f>
        <v/>
      </c>
      <c r="AD20" s="52">
        <f>IF(B20="","",COUNTIF('Outreach Log'!$C:$C,B20))</f>
        <v/>
      </c>
      <c r="AE20" s="52">
        <f>IF(A20="","",IF(OR(K20="Rejected",K20="Closed"),IF(L20&lt;&gt;"",L20-A20,TODAY()-A20),TODAY()-A20))</f>
        <v/>
      </c>
      <c r="AF20" s="52">
        <f>IF(C20="","",IF(AND(AA20&gt;=70,AC20="Cold"),"High-fit but cold",IF(AND(AA20&lt;60,K20="Applied"),"Low-fit application",IF(AND(AA20&gt;=70,OR(AC20="Named Contact",AC20="Outreach Logged")),"Targeted pursuit","Review"))))</f>
        <v/>
      </c>
    </row>
    <row r="21" ht="15" customHeight="1" s="44">
      <c r="A21" s="48" t="n"/>
      <c r="B21" s="48" t="inlineStr">
        <is>
          <t>OLG (Ontario Lottery and Gaming Corporation)</t>
        </is>
      </c>
      <c r="C21" s="48" t="inlineStr">
        <is>
          <t>Senior IT Portfolio Operations Manager (Req R26_00102)</t>
        </is>
      </c>
      <c r="D21" s="48" t="inlineStr">
        <is>
          <t>Senior</t>
        </is>
      </c>
      <c r="E21" s="48" t="inlineStr">
        <is>
          <t>Canada</t>
        </is>
      </c>
      <c r="F21" s="48" t="inlineStr">
        <is>
          <t>Toronto</t>
        </is>
      </c>
      <c r="G21" s="48" t="n">
        <v>78</v>
      </c>
      <c r="H21" s="48" t="inlineStr">
        <is>
          <t>Recruiter (IT-IQ agency)</t>
        </is>
      </c>
      <c r="I21" s="48" t="n"/>
      <c r="J21" s="48" t="inlineStr">
        <is>
          <t>No</t>
        </is>
      </c>
      <c r="K21" s="49" t="inlineStr">
        <is>
          <t>Rejected</t>
        </is>
      </c>
      <c r="L21" s="50" t="n">
        <v>46101</v>
      </c>
      <c r="M21" s="48">
        <f>IF(OR(L284="",A284=""),"",L284-A284)</f>
        <v/>
      </c>
      <c r="N21" s="48" t="n"/>
      <c r="O21" s="48" t="n"/>
      <c r="P21" s="51" t="inlineStr">
        <is>
          <t>Applied date unknown (via IT-IQ agency, Sahand Sadr) — Elena to confirm. Virtual interview held 2026-03-05 with Meghayu Dave (OLG). REJECTED 2026-03-20: "we have hired a successful candidate and the role is closed now" — Elena noted this was never communicated to her directly until she followed up. Retroactively logged via Gmail review 2026-09-18 — was missing from tracker entirely. Est. fit score: 78 — Senior IT Portfolio Operations Manager is a strong title match to her core portfolio-management lane.</t>
        </is>
      </c>
      <c r="Q21" s="50" t="n">
        <v>46086</v>
      </c>
      <c r="R21" s="48" t="n"/>
      <c r="S21" s="51" t="n"/>
      <c r="T21" s="52">
        <f>IF(G21="","",G21)</f>
        <v/>
      </c>
      <c r="U21" s="52">
        <f>IF(C21="","",IF(OR(ISNUMBER(SEARCH("Director",C21)),ISNUMBER(SEARCH("Lead",C21)),ISNUMBER(SEARCH("Senior",C21)),ISNUMBER(SEARCH("Sr.",C21))),90,IF(OR(ISNUMBER(SEARCH("Manager",C21)),ISNUMBER(SEARCH("Program",C21)),ISNUMBER(SEARCH("Portfolio",C21))),80,60)))</f>
        <v/>
      </c>
      <c r="V21" s="52">
        <f>IF(C21="","",IF(OR(ISNUMBER(SEARCH("AI",C21)),ISNUMBER(SEARCH("Data",C21)),ISNUMBER(SEARCH("Technology",C21)),ISNUMBER(SEARCH("Technical",C21)),ISNUMBER(SEARCH("Engineering",C21)),ISNUMBER(SEARCH("Platform",C21)),ISNUMBER(SEARCH("Portfolio",C21))),85,65))</f>
        <v/>
      </c>
      <c r="W21" s="52">
        <f>IF(C21="","",MIN(100,50+IF(S21&lt;&gt;"",25,0)+IF(R21&lt;&gt;"",15,0)+IF(P21&lt;&gt;"",10,0)))</f>
        <v/>
      </c>
      <c r="X21" s="52">
        <f>IF(E21="","",IF(OR(E21="Canada",E21="CA"),100,IF(OR(E21="United States",E21="USA",E21="US"),IF(J21="Yes",45,75),65)))</f>
        <v/>
      </c>
      <c r="Y21" s="52">
        <f>IF(C21="","",IF(OR(ISNUMBER(SEARCH("Program",C21)),ISNUMBER(SEARCH("Portfolio",C21)),ISNUMBER(SEARCH("Operations",C21)),ISNUMBER(SEARCH("Transformation",C21))),85,IF(ISNUMBER(SEARCH("Product Manager",C21)),55,70)))</f>
        <v/>
      </c>
      <c r="Z21" s="52">
        <f>IF(C21="","",MIN(100,IF(I21&lt;&gt;"",60,10)+IF(AA21&gt;0,MIN(40,AA21*20),0)))</f>
        <v/>
      </c>
      <c r="AA21" s="52">
        <f>IF(T21="","",ROUND(T21*25%+U21*15%+V21*10%+W21*15%+X21*15%+Y21*10%+Z21*10%,0))</f>
        <v/>
      </c>
      <c r="AB21" s="52">
        <f>IF(AA21="","",IF(X21&lt;50,"Selective / Barrier",IF(AA21&gt;=80,"Tier 1 - Pursue",IF(AA21&gt;=70,"Tier 2 - Pursue",IF(AA21&gt;=60,"Tier 3 - Selective","Do Not Pursue")))))</f>
        <v/>
      </c>
      <c r="AC21" s="52">
        <f>IF(C21="","",IF(I21&lt;&gt;"","Named Contact",IF(AA21&gt;0,"Outreach Logged","Cold")))</f>
        <v/>
      </c>
      <c r="AD21" s="52">
        <f>IF(B21="","",COUNTIF('Outreach Log'!$C:$C,B21))</f>
        <v/>
      </c>
      <c r="AE21" s="52">
        <f>IF(A21="","",IF(OR(K21="Rejected",K21="Closed"),IF(L21&lt;&gt;"",L21-A21,TODAY()-A21),TODAY()-A21))</f>
        <v/>
      </c>
      <c r="AF21" s="52">
        <f>IF(C21="","",IF(AND(AA21&gt;=70,AC21="Cold"),"High-fit but cold",IF(AND(AA21&lt;60,K21="Applied"),"Low-fit application",IF(AND(AA21&gt;=70,OR(AC21="Named Contact",AC21="Outreach Logged")),"Targeted pursuit","Review"))))</f>
        <v/>
      </c>
    </row>
    <row r="22" ht="15" customHeight="1" s="44">
      <c r="A22" s="48" t="n"/>
      <c r="B22" s="48" t="inlineStr">
        <is>
          <t>TELUS</t>
        </is>
      </c>
      <c r="C22" s="48" t="inlineStr">
        <is>
          <t>Senior Project Manager - Program Office, Technology &amp; Enablement for Channels (49833)</t>
        </is>
      </c>
      <c r="D22" s="48" t="inlineStr">
        <is>
          <t>Senior</t>
        </is>
      </c>
      <c r="E22" s="48" t="inlineStr">
        <is>
          <t>Canada</t>
        </is>
      </c>
      <c r="F22" s="48" t="inlineStr">
        <is>
          <t>Toronto</t>
        </is>
      </c>
      <c r="G22" s="48" t="n">
        <v>68</v>
      </c>
      <c r="H22" s="48" t="inlineStr">
        <is>
          <t>Cold Portal</t>
        </is>
      </c>
      <c r="I22" s="48" t="n"/>
      <c r="J22" s="48" t="inlineStr">
        <is>
          <t>No</t>
        </is>
      </c>
      <c r="K22" s="49" t="inlineStr">
        <is>
          <t>Rejected</t>
        </is>
      </c>
      <c r="L22" s="50" t="n">
        <v>46027</v>
      </c>
      <c r="M22" s="48">
        <f>IF(OR(L285="",A285=""),"",L285-A285)</f>
        <v/>
      </c>
      <c r="N22" s="48" t="n"/>
      <c r="O22" s="48" t="n"/>
      <c r="P22" s="51" t="inlineStr">
        <is>
          <t>Applied date unknown (before 2026-01-05) — Elena to confirm. REJECTED 2026-01-05: "after careful consideration... decided not to move forward." No separate confirmation email found. Retroactively logged 2026-09-18 — was missing from tracker entirely.</t>
        </is>
      </c>
      <c r="Q22" s="48" t="n"/>
      <c r="R22" s="48" t="n"/>
      <c r="S22" s="51" t="n"/>
      <c r="T22" s="52">
        <f>IF(G22="","",G22)</f>
        <v/>
      </c>
      <c r="U22" s="52">
        <f>IF(C22="","",IF(OR(ISNUMBER(SEARCH("Director",C22)),ISNUMBER(SEARCH("Lead",C22)),ISNUMBER(SEARCH("Senior",C22)),ISNUMBER(SEARCH("Sr.",C22))),90,IF(OR(ISNUMBER(SEARCH("Manager",C22)),ISNUMBER(SEARCH("Program",C22)),ISNUMBER(SEARCH("Portfolio",C22))),80,60)))</f>
        <v/>
      </c>
      <c r="V22" s="52">
        <f>IF(C22="","",IF(OR(ISNUMBER(SEARCH("AI",C22)),ISNUMBER(SEARCH("Data",C22)),ISNUMBER(SEARCH("Technology",C22)),ISNUMBER(SEARCH("Technical",C22)),ISNUMBER(SEARCH("Engineering",C22)),ISNUMBER(SEARCH("Platform",C22)),ISNUMBER(SEARCH("Portfolio",C22))),85,65))</f>
        <v/>
      </c>
      <c r="W22" s="52">
        <f>IF(C22="","",MIN(100,50+IF(S22&lt;&gt;"",25,0)+IF(R22&lt;&gt;"",15,0)+IF(P22&lt;&gt;"",10,0)))</f>
        <v/>
      </c>
      <c r="X22" s="52">
        <f>IF(E22="","",IF(OR(E22="Canada",E22="CA"),100,IF(OR(E22="United States",E22="USA",E22="US"),IF(J22="Yes",45,75),65)))</f>
        <v/>
      </c>
      <c r="Y22" s="52">
        <f>IF(C22="","",IF(OR(ISNUMBER(SEARCH("Program",C22)),ISNUMBER(SEARCH("Portfolio",C22)),ISNUMBER(SEARCH("Operations",C22)),ISNUMBER(SEARCH("Transformation",C22))),85,IF(ISNUMBER(SEARCH("Product Manager",C22)),55,70)))</f>
        <v/>
      </c>
      <c r="Z22" s="52">
        <f>IF(C22="","",MIN(100,IF(I22&lt;&gt;"",60,10)+IF(AA22&gt;0,MIN(40,AA22*20),0)))</f>
        <v/>
      </c>
      <c r="AA22" s="52">
        <f>IF(T22="","",ROUND(T22*25%+U22*15%+V22*10%+W22*15%+X22*15%+Y22*10%+Z22*10%,0))</f>
        <v/>
      </c>
      <c r="AB22" s="52">
        <f>IF(AA22="","",IF(X22&lt;50,"Selective / Barrier",IF(AA22&gt;=80,"Tier 1 - Pursue",IF(AA22&gt;=70,"Tier 2 - Pursue",IF(AA22&gt;=60,"Tier 3 - Selective","Do Not Pursue")))))</f>
        <v/>
      </c>
      <c r="AC22" s="52">
        <f>IF(C22="","",IF(I22&lt;&gt;"","Named Contact",IF(AA22&gt;0,"Outreach Logged","Cold")))</f>
        <v/>
      </c>
      <c r="AD22" s="52">
        <f>IF(B22="","",COUNTIF('Outreach Log'!$C:$C,B22))</f>
        <v/>
      </c>
      <c r="AE22" s="52">
        <f>IF(A22="","",IF(OR(K22="Rejected",K22="Closed"),IF(L22&lt;&gt;"",L22-A22,TODAY()-A22),TODAY()-A22))</f>
        <v/>
      </c>
      <c r="AF22" s="52">
        <f>IF(C22="","",IF(AND(AA22&gt;=70,AC22="Cold"),"High-fit but cold",IF(AND(AA22&lt;60,K22="Applied"),"Low-fit application",IF(AND(AA22&gt;=70,OR(AC22="Named Contact",AC22="Outreach Logged")),"Targeted pursuit","Review"))))</f>
        <v/>
      </c>
    </row>
    <row r="23" ht="15" customHeight="1" s="44">
      <c r="A23" s="48" t="n"/>
      <c r="B23" s="48" t="inlineStr">
        <is>
          <t>TELUS</t>
        </is>
      </c>
      <c r="C23" s="48" t="inlineStr">
        <is>
          <t>Manager - Program Office (52056)</t>
        </is>
      </c>
      <c r="D23" s="48" t="inlineStr">
        <is>
          <t>Manager</t>
        </is>
      </c>
      <c r="E23" s="48" t="inlineStr">
        <is>
          <t>Canada</t>
        </is>
      </c>
      <c r="F23" s="48" t="inlineStr">
        <is>
          <t>Toronto</t>
        </is>
      </c>
      <c r="G23" s="48" t="n">
        <v>65</v>
      </c>
      <c r="H23" s="48" t="inlineStr">
        <is>
          <t>Cold Portal</t>
        </is>
      </c>
      <c r="I23" s="48" t="n"/>
      <c r="J23" s="48" t="inlineStr">
        <is>
          <t>No</t>
        </is>
      </c>
      <c r="K23" s="49" t="inlineStr">
        <is>
          <t>Rejected</t>
        </is>
      </c>
      <c r="L23" s="50" t="n">
        <v>46051</v>
      </c>
      <c r="M23" s="48">
        <f>IF(OR(L286="",A286=""),"",L286-A286)</f>
        <v/>
      </c>
      <c r="N23" s="48" t="n"/>
      <c r="O23" s="48" t="n"/>
      <c r="P23" s="51" t="inlineStr">
        <is>
          <t>Applied date unknown (before 2026-01-29) — Elena to confirm. REJECTED 2026-01-29 (role filled): "position has now been filled." No separate confirmation email found. Retroactively logged 2026-09-18 — was missing from tracker entirely.</t>
        </is>
      </c>
      <c r="Q23" s="48" t="n"/>
      <c r="R23" s="48" t="n"/>
      <c r="S23" s="51" t="n"/>
      <c r="T23" s="52">
        <f>IF(G23="","",G23)</f>
        <v/>
      </c>
      <c r="U23" s="52">
        <f>IF(C23="","",IF(OR(ISNUMBER(SEARCH("Director",C23)),ISNUMBER(SEARCH("Lead",C23)),ISNUMBER(SEARCH("Senior",C23)),ISNUMBER(SEARCH("Sr.",C23))),90,IF(OR(ISNUMBER(SEARCH("Manager",C23)),ISNUMBER(SEARCH("Program",C23)),ISNUMBER(SEARCH("Portfolio",C23))),80,60)))</f>
        <v/>
      </c>
      <c r="V23" s="52">
        <f>IF(C23="","",IF(OR(ISNUMBER(SEARCH("AI",C23)),ISNUMBER(SEARCH("Data",C23)),ISNUMBER(SEARCH("Technology",C23)),ISNUMBER(SEARCH("Technical",C23)),ISNUMBER(SEARCH("Engineering",C23)),ISNUMBER(SEARCH("Platform",C23)),ISNUMBER(SEARCH("Portfolio",C23))),85,65))</f>
        <v/>
      </c>
      <c r="W23" s="52">
        <f>IF(C23="","",MIN(100,50+IF(S23&lt;&gt;"",25,0)+IF(R23&lt;&gt;"",15,0)+IF(P23&lt;&gt;"",10,0)))</f>
        <v/>
      </c>
      <c r="X23" s="52">
        <f>IF(E23="","",IF(OR(E23="Canada",E23="CA"),100,IF(OR(E23="United States",E23="USA",E23="US"),IF(J23="Yes",45,75),65)))</f>
        <v/>
      </c>
      <c r="Y23" s="52">
        <f>IF(C23="","",IF(OR(ISNUMBER(SEARCH("Program",C23)),ISNUMBER(SEARCH("Portfolio",C23)),ISNUMBER(SEARCH("Operations",C23)),ISNUMBER(SEARCH("Transformation",C23))),85,IF(ISNUMBER(SEARCH("Product Manager",C23)),55,70)))</f>
        <v/>
      </c>
      <c r="Z23" s="52">
        <f>IF(C23="","",MIN(100,IF(I23&lt;&gt;"",60,10)+IF(AA23&gt;0,MIN(40,AA23*20),0)))</f>
        <v/>
      </c>
      <c r="AA23" s="52">
        <f>IF(T23="","",ROUND(T23*25%+U23*15%+V23*10%+W23*15%+X23*15%+Y23*10%+Z23*10%,0))</f>
        <v/>
      </c>
      <c r="AB23" s="52">
        <f>IF(AA23="","",IF(X23&lt;50,"Selective / Barrier",IF(AA23&gt;=80,"Tier 1 - Pursue",IF(AA23&gt;=70,"Tier 2 - Pursue",IF(AA23&gt;=60,"Tier 3 - Selective","Do Not Pursue")))))</f>
        <v/>
      </c>
      <c r="AC23" s="52">
        <f>IF(C23="","",IF(I23&lt;&gt;"","Named Contact",IF(AA23&gt;0,"Outreach Logged","Cold")))</f>
        <v/>
      </c>
      <c r="AD23" s="52">
        <f>IF(B23="","",COUNTIF('Outreach Log'!$C:$C,B23))</f>
        <v/>
      </c>
      <c r="AE23" s="52">
        <f>IF(A23="","",IF(OR(K23="Rejected",K23="Closed"),IF(L23&lt;&gt;"",L23-A23,TODAY()-A23),TODAY()-A23))</f>
        <v/>
      </c>
      <c r="AF23" s="52">
        <f>IF(C23="","",IF(AND(AA23&gt;=70,AC23="Cold"),"High-fit but cold",IF(AND(AA23&lt;60,K23="Applied"),"Low-fit application",IF(AND(AA23&gt;=70,OR(AC23="Named Contact",AC23="Outreach Logged")),"Targeted pursuit","Review"))))</f>
        <v/>
      </c>
    </row>
    <row r="24" ht="15" customHeight="1" s="44">
      <c r="A24" s="48" t="n"/>
      <c r="B24" s="48" t="inlineStr">
        <is>
          <t>TELUS</t>
        </is>
      </c>
      <c r="C24" s="48" t="inlineStr">
        <is>
          <t>Manager - Program Office, Go-To-Market Governance (51554)</t>
        </is>
      </c>
      <c r="D24" s="48" t="inlineStr">
        <is>
          <t>Manager</t>
        </is>
      </c>
      <c r="E24" s="48" t="inlineStr">
        <is>
          <t>Canada</t>
        </is>
      </c>
      <c r="F24" s="48" t="inlineStr">
        <is>
          <t>Toronto</t>
        </is>
      </c>
      <c r="G24" s="48" t="n">
        <v>65</v>
      </c>
      <c r="H24" s="48" t="inlineStr">
        <is>
          <t>Cold Portal</t>
        </is>
      </c>
      <c r="I24" s="48" t="n"/>
      <c r="J24" s="48" t="inlineStr">
        <is>
          <t>No</t>
        </is>
      </c>
      <c r="K24" s="49" t="inlineStr">
        <is>
          <t>Rejected</t>
        </is>
      </c>
      <c r="L24" s="50" t="n">
        <v>46055</v>
      </c>
      <c r="M24" s="48">
        <f>IF(OR(L287="",A287=""),"",L287-A287)</f>
        <v/>
      </c>
      <c r="N24" s="48" t="n"/>
      <c r="O24" s="48" t="n"/>
      <c r="P24" s="51" t="inlineStr">
        <is>
          <t>Applied date unknown (before 2026-02-02) — Elena to confirm. REJECTED 2026-02-02 (role filled): "position has been filled." No separate confirmation email found. Retroactively logged 2026-09-18 — was missing from tracker entirely.</t>
        </is>
      </c>
      <c r="Q24" s="48" t="n"/>
      <c r="R24" s="48" t="n"/>
      <c r="S24" s="51" t="n"/>
      <c r="T24" s="52">
        <f>IF(G24="","",G24)</f>
        <v/>
      </c>
      <c r="U24" s="52">
        <f>IF(C24="","",IF(OR(ISNUMBER(SEARCH("Director",C24)),ISNUMBER(SEARCH("Lead",C24)),ISNUMBER(SEARCH("Senior",C24)),ISNUMBER(SEARCH("Sr.",C24))),90,IF(OR(ISNUMBER(SEARCH("Manager",C24)),ISNUMBER(SEARCH("Program",C24)),ISNUMBER(SEARCH("Portfolio",C24))),80,60)))</f>
        <v/>
      </c>
      <c r="V24" s="52">
        <f>IF(C24="","",IF(OR(ISNUMBER(SEARCH("AI",C24)),ISNUMBER(SEARCH("Data",C24)),ISNUMBER(SEARCH("Technology",C24)),ISNUMBER(SEARCH("Technical",C24)),ISNUMBER(SEARCH("Engineering",C24)),ISNUMBER(SEARCH("Platform",C24)),ISNUMBER(SEARCH("Portfolio",C24))),85,65))</f>
        <v/>
      </c>
      <c r="W24" s="52">
        <f>IF(C24="","",MIN(100,50+IF(S24&lt;&gt;"",25,0)+IF(R24&lt;&gt;"",15,0)+IF(P24&lt;&gt;"",10,0)))</f>
        <v/>
      </c>
      <c r="X24" s="52">
        <f>IF(E24="","",IF(OR(E24="Canada",E24="CA"),100,IF(OR(E24="United States",E24="USA",E24="US"),IF(J24="Yes",45,75),65)))</f>
        <v/>
      </c>
      <c r="Y24" s="52">
        <f>IF(C24="","",IF(OR(ISNUMBER(SEARCH("Program",C24)),ISNUMBER(SEARCH("Portfolio",C24)),ISNUMBER(SEARCH("Operations",C24)),ISNUMBER(SEARCH("Transformation",C24))),85,IF(ISNUMBER(SEARCH("Product Manager",C24)),55,70)))</f>
        <v/>
      </c>
      <c r="Z24" s="52">
        <f>IF(C24="","",MIN(100,IF(I24&lt;&gt;"",60,10)+IF(AA24&gt;0,MIN(40,AA24*20),0)))</f>
        <v/>
      </c>
      <c r="AA24" s="52">
        <f>IF(T24="","",ROUND(T24*25%+U24*15%+V24*10%+W24*15%+X24*15%+Y24*10%+Z24*10%,0))</f>
        <v/>
      </c>
      <c r="AB24" s="52">
        <f>IF(AA24="","",IF(X24&lt;50,"Selective / Barrier",IF(AA24&gt;=80,"Tier 1 - Pursue",IF(AA24&gt;=70,"Tier 2 - Pursue",IF(AA24&gt;=60,"Tier 3 - Selective","Do Not Pursue")))))</f>
        <v/>
      </c>
      <c r="AC24" s="52">
        <f>IF(C24="","",IF(I24&lt;&gt;"","Named Contact",IF(AA24&gt;0,"Outreach Logged","Cold")))</f>
        <v/>
      </c>
      <c r="AD24" s="52">
        <f>IF(B24="","",COUNTIF('Outreach Log'!$C:$C,B24))</f>
        <v/>
      </c>
      <c r="AE24" s="52">
        <f>IF(A24="","",IF(OR(K24="Rejected",K24="Closed"),IF(L24&lt;&gt;"",L24-A24,TODAY()-A24),TODAY()-A24))</f>
        <v/>
      </c>
      <c r="AF24" s="52">
        <f>IF(C24="","",IF(AND(AA24&gt;=70,AC24="Cold"),"High-fit but cold",IF(AND(AA24&lt;60,K24="Applied"),"Low-fit application",IF(AND(AA24&gt;=70,OR(AC24="Named Contact",AC24="Outreach Logged")),"Targeted pursuit","Review"))))</f>
        <v/>
      </c>
    </row>
    <row r="25" ht="15" customHeight="1" s="44">
      <c r="A25" s="48" t="n"/>
      <c r="B25" s="48" t="inlineStr">
        <is>
          <t>TELUS</t>
        </is>
      </c>
      <c r="C25" s="48" t="inlineStr">
        <is>
          <t>Manager, Mobile &amp; Home Program Management (51942)</t>
        </is>
      </c>
      <c r="D25" s="48" t="inlineStr">
        <is>
          <t>Manager</t>
        </is>
      </c>
      <c r="E25" s="48" t="inlineStr">
        <is>
          <t>Canada</t>
        </is>
      </c>
      <c r="F25" s="48" t="inlineStr">
        <is>
          <t>Toronto</t>
        </is>
      </c>
      <c r="G25" s="48" t="n">
        <v>60</v>
      </c>
      <c r="H25" s="48" t="inlineStr">
        <is>
          <t>Cold Portal</t>
        </is>
      </c>
      <c r="I25" s="48" t="n"/>
      <c r="J25" s="48" t="inlineStr">
        <is>
          <t>No</t>
        </is>
      </c>
      <c r="K25" s="49" t="inlineStr">
        <is>
          <t>Rejected</t>
        </is>
      </c>
      <c r="L25" s="50" t="n">
        <v>46058</v>
      </c>
      <c r="M25" s="48">
        <f>IF(OR(L288="",A288=""),"",L288-A288)</f>
        <v/>
      </c>
      <c r="N25" s="48" t="n"/>
      <c r="O25" s="48" t="n"/>
      <c r="P25" s="51" t="inlineStr">
        <is>
          <t>Applied date unknown (before 2026-02-05) — Elena to confirm. REJECTED 2026-02-05: "after careful consideration... decided not to move forward." No separate confirmation email found. Retroactively logged 2026-09-18 — was missing from tracker entirely.</t>
        </is>
      </c>
      <c r="Q25" s="48" t="n"/>
      <c r="R25" s="48" t="n"/>
      <c r="S25" s="51" t="n"/>
      <c r="T25" s="52">
        <f>IF(G25="","",G25)</f>
        <v/>
      </c>
      <c r="U25" s="52">
        <f>IF(C25="","",IF(OR(ISNUMBER(SEARCH("Director",C25)),ISNUMBER(SEARCH("Lead",C25)),ISNUMBER(SEARCH("Senior",C25)),ISNUMBER(SEARCH("Sr.",C25))),90,IF(OR(ISNUMBER(SEARCH("Manager",C25)),ISNUMBER(SEARCH("Program",C25)),ISNUMBER(SEARCH("Portfolio",C25))),80,60)))</f>
        <v/>
      </c>
      <c r="V25" s="52">
        <f>IF(C25="","",IF(OR(ISNUMBER(SEARCH("AI",C25)),ISNUMBER(SEARCH("Data",C25)),ISNUMBER(SEARCH("Technology",C25)),ISNUMBER(SEARCH("Technical",C25)),ISNUMBER(SEARCH("Engineering",C25)),ISNUMBER(SEARCH("Platform",C25)),ISNUMBER(SEARCH("Portfolio",C25))),85,65))</f>
        <v/>
      </c>
      <c r="W25" s="52">
        <f>IF(C25="","",MIN(100,50+IF(S25&lt;&gt;"",25,0)+IF(R25&lt;&gt;"",15,0)+IF(P25&lt;&gt;"",10,0)))</f>
        <v/>
      </c>
      <c r="X25" s="52">
        <f>IF(E25="","",IF(OR(E25="Canada",E25="CA"),100,IF(OR(E25="United States",E25="USA",E25="US"),IF(J25="Yes",45,75),65)))</f>
        <v/>
      </c>
      <c r="Y25" s="52">
        <f>IF(C25="","",IF(OR(ISNUMBER(SEARCH("Program",C25)),ISNUMBER(SEARCH("Portfolio",C25)),ISNUMBER(SEARCH("Operations",C25)),ISNUMBER(SEARCH("Transformation",C25))),85,IF(ISNUMBER(SEARCH("Product Manager",C25)),55,70)))</f>
        <v/>
      </c>
      <c r="Z25" s="52">
        <f>IF(C25="","",MIN(100,IF(I25&lt;&gt;"",60,10)+IF(AA25&gt;0,MIN(40,AA25*20),0)))</f>
        <v/>
      </c>
      <c r="AA25" s="52">
        <f>IF(T25="","",ROUND(T25*25%+U25*15%+V25*10%+W25*15%+X25*15%+Y25*10%+Z25*10%,0))</f>
        <v/>
      </c>
      <c r="AB25" s="52">
        <f>IF(AA25="","",IF(X25&lt;50,"Selective / Barrier",IF(AA25&gt;=80,"Tier 1 - Pursue",IF(AA25&gt;=70,"Tier 2 - Pursue",IF(AA25&gt;=60,"Tier 3 - Selective","Do Not Pursue")))))</f>
        <v/>
      </c>
      <c r="AC25" s="52">
        <f>IF(C25="","",IF(I25&lt;&gt;"","Named Contact",IF(AA25&gt;0,"Outreach Logged","Cold")))</f>
        <v/>
      </c>
      <c r="AD25" s="52">
        <f>IF(B25="","",COUNTIF('Outreach Log'!$C:$C,B25))</f>
        <v/>
      </c>
      <c r="AE25" s="52">
        <f>IF(A25="","",IF(OR(K25="Rejected",K25="Closed"),IF(L25&lt;&gt;"",L25-A25,TODAY()-A25),TODAY()-A25))</f>
        <v/>
      </c>
      <c r="AF25" s="52">
        <f>IF(C25="","",IF(AND(AA25&gt;=70,AC25="Cold"),"High-fit but cold",IF(AND(AA25&lt;60,K25="Applied"),"Low-fit application",IF(AND(AA25&gt;=70,OR(AC25="Named Contact",AC25="Outreach Logged")),"Targeted pursuit","Review"))))</f>
        <v/>
      </c>
    </row>
    <row r="26" ht="15" customHeight="1" s="44">
      <c r="A26" s="53" t="inlineStr">
        <is>
          <t>HOW TO USE: Fill one row per application (row 2 is an example — replace it). Yellow = cells you fill. "Days to Response" calculates automatically. Channel: how you applied. Sponsorship Question = did the application ask if you need visa sponsorship. Mark "Ghosted (30d+)" after 30 days of silence so the dashboard counts it.</t>
        </is>
      </c>
      <c r="B26" s="48" t="n"/>
      <c r="C26" s="48" t="n"/>
      <c r="D26" s="48" t="n"/>
      <c r="E26" s="48" t="n"/>
      <c r="F26" s="48" t="n"/>
      <c r="G26" s="48" t="n"/>
      <c r="H26" s="48" t="n"/>
      <c r="I26" s="48" t="n"/>
      <c r="J26" s="48" t="n"/>
      <c r="K26" s="54" t="n"/>
      <c r="L26" s="48" t="n"/>
      <c r="M26" s="48" t="n"/>
      <c r="N26" s="48" t="n"/>
      <c r="O26" s="48" t="n"/>
      <c r="P26" s="51" t="n"/>
      <c r="Q26" s="48" t="n"/>
      <c r="R26" s="48" t="n"/>
      <c r="S26" s="51" t="n"/>
      <c r="T26" s="52" t="n"/>
      <c r="U26" s="52" t="n"/>
      <c r="V26" s="52" t="n"/>
      <c r="W26" s="52" t="n"/>
      <c r="X26" s="52" t="n"/>
      <c r="Y26" s="52" t="n"/>
      <c r="Z26" s="52" t="n"/>
      <c r="AA26" s="52" t="n"/>
      <c r="AB26" s="52" t="n"/>
      <c r="AC26" s="52" t="n"/>
      <c r="AD26" s="52" t="n"/>
      <c r="AE26" s="52" t="n"/>
      <c r="AF26" s="52" t="n"/>
    </row>
    <row r="27" ht="15" customHeight="1" s="44">
      <c r="A27" s="48" t="n"/>
      <c r="B27" s="48" t="n"/>
      <c r="C27" s="48" t="n"/>
      <c r="D27" s="48" t="n"/>
      <c r="E27" s="48" t="n"/>
      <c r="F27" s="48" t="n"/>
      <c r="G27" s="48" t="n"/>
      <c r="H27" s="48" t="n"/>
      <c r="I27" s="48" t="n"/>
      <c r="J27" s="48" t="n"/>
      <c r="K27" s="54" t="n"/>
      <c r="L27" s="48" t="n"/>
      <c r="M27" s="48" t="n"/>
      <c r="N27" s="48" t="n"/>
      <c r="O27" s="48" t="n"/>
      <c r="P27" s="51" t="n"/>
      <c r="Q27" s="48" t="n"/>
      <c r="R27" s="48" t="n"/>
      <c r="S27" s="51" t="n"/>
      <c r="T27" s="52" t="n"/>
      <c r="U27" s="52" t="n"/>
      <c r="V27" s="52" t="n"/>
      <c r="W27" s="52" t="n"/>
      <c r="X27" s="52" t="n"/>
      <c r="Y27" s="52" t="n"/>
      <c r="Z27" s="52" t="n"/>
      <c r="AA27" s="52" t="n"/>
      <c r="AB27" s="52" t="n"/>
      <c r="AC27" s="52" t="n"/>
      <c r="AD27" s="52" t="n"/>
      <c r="AE27" s="52" t="n"/>
      <c r="AF27" s="52" t="n"/>
    </row>
    <row r="28" ht="15" customHeight="1" s="44">
      <c r="A28" s="48" t="n"/>
      <c r="B28" s="48" t="n"/>
      <c r="C28" s="48" t="n"/>
      <c r="D28" s="48" t="n"/>
      <c r="E28" s="48" t="n"/>
      <c r="F28" s="48" t="n"/>
      <c r="G28" s="48" t="n"/>
      <c r="H28" s="48" t="n"/>
      <c r="I28" s="48" t="n"/>
      <c r="J28" s="48" t="n"/>
      <c r="K28" s="54" t="n"/>
      <c r="L28" s="48" t="n"/>
      <c r="M28" s="48" t="n"/>
      <c r="N28" s="48" t="n"/>
      <c r="O28" s="48" t="n"/>
      <c r="P28" s="51" t="n"/>
      <c r="Q28" s="48" t="n"/>
      <c r="R28" s="48" t="n"/>
      <c r="S28" s="51" t="n"/>
      <c r="T28" s="52" t="n"/>
      <c r="U28" s="52" t="n"/>
      <c r="V28" s="52" t="n"/>
      <c r="W28" s="52" t="n"/>
      <c r="X28" s="52" t="n"/>
      <c r="Y28" s="52" t="n"/>
      <c r="Z28" s="52" t="n"/>
      <c r="AA28" s="52" t="n"/>
      <c r="AB28" s="52" t="n"/>
      <c r="AC28" s="52" t="n"/>
      <c r="AD28" s="52" t="n"/>
      <c r="AE28" s="52" t="n"/>
      <c r="AF28" s="52" t="n"/>
    </row>
    <row r="29" ht="15" customHeight="1" s="44">
      <c r="A29" s="48" t="n"/>
      <c r="B29" s="48" t="n"/>
      <c r="C29" s="48" t="n"/>
      <c r="D29" s="48" t="n"/>
      <c r="E29" s="48" t="n"/>
      <c r="F29" s="48" t="n"/>
      <c r="G29" s="48" t="n"/>
      <c r="H29" s="48" t="n"/>
      <c r="I29" s="48" t="n"/>
      <c r="J29" s="48" t="n"/>
      <c r="K29" s="54" t="n"/>
      <c r="L29" s="48" t="n"/>
      <c r="M29" s="48" t="n"/>
      <c r="N29" s="48" t="n"/>
      <c r="O29" s="48" t="n"/>
      <c r="P29" s="51" t="n"/>
      <c r="Q29" s="48" t="n"/>
      <c r="R29" s="48" t="n"/>
      <c r="S29" s="51" t="n"/>
      <c r="T29" s="52" t="n"/>
      <c r="U29" s="52" t="n"/>
      <c r="V29" s="52" t="n"/>
      <c r="W29" s="52" t="n"/>
      <c r="X29" s="52" t="n"/>
      <c r="Y29" s="52" t="n"/>
      <c r="Z29" s="52" t="n"/>
      <c r="AA29" s="52" t="n"/>
      <c r="AB29" s="52" t="n"/>
      <c r="AC29" s="52" t="n"/>
      <c r="AD29" s="52" t="n"/>
      <c r="AE29" s="52" t="n"/>
      <c r="AF29" s="52" t="n"/>
    </row>
    <row r="30" ht="15" customHeight="1" s="44">
      <c r="A30" s="53" t="inlineStr">
        <is>
          <t>2025-09-20</t>
        </is>
      </c>
      <c r="B30" s="48" t="inlineStr">
        <is>
          <t>Block</t>
        </is>
      </c>
      <c r="C30" s="48" t="inlineStr">
        <is>
          <t>Program Delivery Manager, Releases GTM</t>
        </is>
      </c>
      <c r="D30" s="48" t="inlineStr">
        <is>
          <t>Senior</t>
        </is>
      </c>
      <c r="E30" s="48" t="inlineStr">
        <is>
          <t>US</t>
        </is>
      </c>
      <c r="F30" s="48" t="inlineStr">
        <is>
          <t>Bay Area, CA</t>
        </is>
      </c>
      <c r="G30" s="48" t="n">
        <v>71</v>
      </c>
      <c r="H30" s="48" t="inlineStr">
        <is>
          <t>Cold Portal</t>
        </is>
      </c>
      <c r="I30" s="48" t="n"/>
      <c r="J30" s="48" t="inlineStr">
        <is>
          <t>Yes</t>
        </is>
      </c>
      <c r="K30" s="49" t="inlineStr">
        <is>
          <t>Rejected</t>
        </is>
      </c>
      <c r="L30" s="48" t="n"/>
      <c r="M30" s="48" t="n"/>
      <c r="N30" s="48" t="n"/>
      <c r="O30" s="48" t="n"/>
      <c r="P30" s="51" t="inlineStr">
        <is>
          <t>Leads Square's biannual Releases GTM program (product launch execution) within Business Operations; executive stakeholder management, Go/No-go decisions, cross-disciplinary leadership (design/product/eng/marketing/legal/finance). 12+ years program management/consulting in Fintech/Financial Services. Good fit: strong senior program leadership and executive interaction overlap; GTM/product-launch specificity and direct Fintech/Payments experience are the main gaps. Zone-based pay $217,800-$326,800 USD.</t>
        </is>
      </c>
      <c r="Q30" s="48" t="n"/>
      <c r="R30" s="48" t="inlineStr">
        <is>
          <t>Good fit — GTM/product-launch specificity and direct Fintech/Payments experience are gaps</t>
        </is>
      </c>
      <c r="S30" s="51" t="inlineStr">
        <is>
          <t>12+ yrs program mgmt/consulting in Fintech/Financial Services. Executive interaction. Cross-disciplinary GTM leadership (design/product/eng/marketing/legal/finance). Change management.</t>
        </is>
      </c>
      <c r="T30" s="52">
        <f>IF(G30="","",G30)</f>
        <v/>
      </c>
      <c r="U30" s="52">
        <f>IF(C30="","",IF(OR(ISNUMBER(SEARCH("Director",C30)),ISNUMBER(SEARCH("Lead",C30)),ISNUMBER(SEARCH("Senior",C30)),ISNUMBER(SEARCH("Sr.",C30))),90,IF(OR(ISNUMBER(SEARCH("Manager",C30)),ISNUMBER(SEARCH("Program",C30)),ISNUMBER(SEARCH("Portfolio",C30))),80,60)))</f>
        <v/>
      </c>
      <c r="V30" s="52">
        <f>IF(C30="","",IF(OR(ISNUMBER(SEARCH("AI",C30)),ISNUMBER(SEARCH("Data",C30)),ISNUMBER(SEARCH("Technology",C30)),ISNUMBER(SEARCH("Technical",C30)),ISNUMBER(SEARCH("Engineering",C30)),ISNUMBER(SEARCH("Platform",C30)),ISNUMBER(SEARCH("Portfolio",C30))),85,65))</f>
        <v/>
      </c>
      <c r="W30" s="52">
        <f>IF(C30="","",MIN(100,50+IF(S30&lt;&gt;"",25,0)+IF(R30&lt;&gt;"",15,0)+IF(P30&lt;&gt;"",10,0)))</f>
        <v/>
      </c>
      <c r="X30" s="52">
        <f>IF(E30="","",IF(OR(E30="Canada",E30="CA"),100,IF(OR(E30="United States",E30="USA",E30="US"),IF(J30="Yes",45,75),65)))</f>
        <v/>
      </c>
      <c r="Y30" s="52">
        <f>IF(C30="","",IF(OR(ISNUMBER(SEARCH("Program",C30)),ISNUMBER(SEARCH("Portfolio",C30)),ISNUMBER(SEARCH("Operations",C30)),ISNUMBER(SEARCH("Transformation",C30))),85,IF(ISNUMBER(SEARCH("Product Manager",C30)),55,70)))</f>
        <v/>
      </c>
      <c r="Z30" s="52">
        <f>IF(C30="","",MIN(100,IF(I30&lt;&gt;"",60,10)+IF(AA30&gt;0,MIN(40,AA30*20),0)))</f>
        <v/>
      </c>
      <c r="AA30" s="52">
        <f>IF(T30="","",ROUND(T30*25%+U30*15%+V30*10%+W30*15%+X30*15%+Y30*10%+Z30*10%,0))</f>
        <v/>
      </c>
      <c r="AB30" s="52">
        <f>IF(AA30="","",IF(X30&lt;50,"Selective / Barrier",IF(AA30&gt;=80,"Tier 1 - Pursue",IF(AA30&gt;=70,"Tier 2 - Pursue",IF(AA30&gt;=60,"Tier 3 - Selective","Do Not Pursue")))))</f>
        <v/>
      </c>
      <c r="AC30" s="52">
        <f>IF(C30="","",IF(I30&lt;&gt;"","Named Contact",IF(AA30&gt;0,"Outreach Logged","Cold")))</f>
        <v/>
      </c>
      <c r="AD30" s="52">
        <f>IF(B30="","",COUNTIF('Outreach Log'!$C:$C,B30))</f>
        <v/>
      </c>
      <c r="AE30" s="52">
        <f>IF(A30="","",IF(OR(K30="Rejected",K30="Closed"),IF(L30&lt;&gt;"",L30-A30,TODAY()-A30),TODAY()-A30))</f>
        <v/>
      </c>
      <c r="AF30" s="52">
        <f>IF(C30="","",IF(AND(AA30&gt;=70,AC30="Cold"),"High-fit but cold",IF(AND(AA30&lt;60,K30="Applied"),"Low-fit application",IF(AND(AA30&gt;=70,OR(AC30="Named Contact",AC30="Outreach Logged")),"Targeted pursuit","Review"))))</f>
        <v/>
      </c>
    </row>
    <row r="31" ht="15" customHeight="1" s="44">
      <c r="A31" s="53" t="n">
        <v>45889</v>
      </c>
      <c r="B31" s="48" t="inlineStr">
        <is>
          <t>DeepMind</t>
        </is>
      </c>
      <c r="C31" s="48" t="inlineStr">
        <is>
          <t>Program Manager (Legal Team, CORE Programs)</t>
        </is>
      </c>
      <c r="D31" s="48" t="inlineStr">
        <is>
          <t>Senior</t>
        </is>
      </c>
      <c r="E31" s="48" t="inlineStr">
        <is>
          <t>US</t>
        </is>
      </c>
      <c r="F31" s="48" t="inlineStr">
        <is>
          <t>Mountain View, CA</t>
        </is>
      </c>
      <c r="G31" s="48" t="n">
        <v>42</v>
      </c>
      <c r="H31" s="48" t="inlineStr">
        <is>
          <t>Cold Portal</t>
        </is>
      </c>
      <c r="I31" s="48" t="n"/>
      <c r="J31" s="48" t="inlineStr">
        <is>
          <t>Yes</t>
        </is>
      </c>
      <c r="K31" s="49" t="inlineStr">
        <is>
          <t>Rejected</t>
        </is>
      </c>
      <c r="L31" s="48" t="n"/>
      <c r="M31" s="48">
        <f>IF(OR(L30="",A30=""),"",L30-A30)</f>
        <v/>
      </c>
      <c r="N31" s="48" t="n"/>
      <c r="O31" s="48" t="n"/>
      <c r="P31" s="51" t="inlineStr">
        <is>
          <t>From Greenhouse portal: 'Applied 13 months ago' (Mountain View, CA); date approximate, not found in Gmail search window | User confirmed: Inactive status in Greenhouse = Rejected. | CORE Programs team (Operations Group); owns Legal Team portfolio management, business case building, program delivery for legal/compliance/regulatory initiatives. Requires extensive legal program delivery experience, AI-related legal matters background preferred. Low fit: strong program management skills but no legal/compliance domain background — this is the primary mismatch driver. Base salary $147,000-$216,000 +bonus+equity.</t>
        </is>
      </c>
      <c r="Q31" s="48" t="n"/>
      <c r="R31" s="48" t="inlineStr">
        <is>
          <t>Domain mismatch (Legal/compliance background required) — lowest fit</t>
        </is>
      </c>
      <c r="S31" s="51" t="inlineStr">
        <is>
          <t>Extensive legal program delivery experience (AI-legal preferred). Portfolio mgmt for Legal Team. Business case building. Senior stakeholder partnering.</t>
        </is>
      </c>
      <c r="T31" s="52">
        <f>IF(G31="","",G31)</f>
        <v/>
      </c>
      <c r="U31" s="52">
        <f>IF(C31="","",IF(OR(ISNUMBER(SEARCH("Director",C31)),ISNUMBER(SEARCH("Lead",C31)),ISNUMBER(SEARCH("Senior",C31)),ISNUMBER(SEARCH("Sr.",C31))),90,IF(OR(ISNUMBER(SEARCH("Manager",C31)),ISNUMBER(SEARCH("Program",C31)),ISNUMBER(SEARCH("Portfolio",C31))),80,60)))</f>
        <v/>
      </c>
      <c r="V31" s="52">
        <f>IF(C31="","",IF(OR(ISNUMBER(SEARCH("AI",C31)),ISNUMBER(SEARCH("Data",C31)),ISNUMBER(SEARCH("Technology",C31)),ISNUMBER(SEARCH("Technical",C31)),ISNUMBER(SEARCH("Engineering",C31)),ISNUMBER(SEARCH("Platform",C31)),ISNUMBER(SEARCH("Portfolio",C31))),85,65))</f>
        <v/>
      </c>
      <c r="W31" s="52">
        <f>IF(C31="","",MIN(100,50+IF(S31&lt;&gt;"",25,0)+IF(R31&lt;&gt;"",15,0)+IF(P31&lt;&gt;"",10,0)))</f>
        <v/>
      </c>
      <c r="X31" s="52">
        <f>IF(E31="","",IF(OR(E31="Canada",E31="CA"),100,IF(OR(E31="United States",E31="USA",E31="US"),IF(J31="Yes",45,75),65)))</f>
        <v/>
      </c>
      <c r="Y31" s="52">
        <f>IF(C31="","",IF(OR(ISNUMBER(SEARCH("Program",C31)),ISNUMBER(SEARCH("Portfolio",C31)),ISNUMBER(SEARCH("Operations",C31)),ISNUMBER(SEARCH("Transformation",C31))),85,IF(ISNUMBER(SEARCH("Product Manager",C31)),55,70)))</f>
        <v/>
      </c>
      <c r="Z31" s="52">
        <f>IF(C31="","",MIN(100,IF(I31&lt;&gt;"",60,10)+IF(AA31&gt;0,MIN(40,AA31*20),0)))</f>
        <v/>
      </c>
      <c r="AA31" s="52">
        <f>IF(T31="","",ROUND(T31*25%+U31*15%+V31*10%+W31*15%+X31*15%+Y31*10%+Z31*10%,0))</f>
        <v/>
      </c>
      <c r="AB31" s="52">
        <f>IF(AA31="","",IF(X31&lt;50,"Selective / Barrier",IF(AA31&gt;=80,"Tier 1 - Pursue",IF(AA31&gt;=70,"Tier 2 - Pursue",IF(AA31&gt;=60,"Tier 3 - Selective","Do Not Pursue")))))</f>
        <v/>
      </c>
      <c r="AC31" s="52">
        <f>IF(C31="","",IF(I31&lt;&gt;"","Named Contact",IF(AA31&gt;0,"Outreach Logged","Cold")))</f>
        <v/>
      </c>
      <c r="AD31" s="52">
        <f>IF(B31="","",COUNTIF('Outreach Log'!$C:$C,B31))</f>
        <v/>
      </c>
      <c r="AE31" s="52">
        <f>IF(A31="","",IF(OR(K31="Rejected",K31="Closed"),IF(L31&lt;&gt;"",L31-A31,TODAY()-A31),TODAY()-A31))</f>
        <v/>
      </c>
      <c r="AF31" s="52">
        <f>IF(C31="","",IF(AND(AA31&gt;=70,AC31="Cold"),"High-fit but cold",IF(AND(AA31&lt;60,K31="Applied"),"Low-fit application",IF(AND(AA31&gt;=70,OR(AC31="Named Contact",AC31="Outreach Logged")),"Targeted pursuit","Review"))))</f>
        <v/>
      </c>
    </row>
    <row r="32" ht="15" customHeight="1" s="44">
      <c r="A32" s="53" t="n">
        <v>45920</v>
      </c>
      <c r="B32" s="48" t="inlineStr">
        <is>
          <t>Anthropic</t>
        </is>
      </c>
      <c r="C32" s="48" t="inlineStr">
        <is>
          <t>Technical Program Manager, Compute Partnerships</t>
        </is>
      </c>
      <c r="D32" s="48" t="inlineStr">
        <is>
          <t>Senior</t>
        </is>
      </c>
      <c r="E32" s="48" t="inlineStr">
        <is>
          <t>US</t>
        </is>
      </c>
      <c r="F32" s="48" t="inlineStr">
        <is>
          <t>San Francisco, CA / New York City, NY</t>
        </is>
      </c>
      <c r="G32" s="48" t="n">
        <v>72</v>
      </c>
      <c r="H32" s="48" t="inlineStr">
        <is>
          <t>Cold Portal</t>
        </is>
      </c>
      <c r="I32" s="48" t="n"/>
      <c r="J32" s="48" t="inlineStr">
        <is>
          <t>Yes</t>
        </is>
      </c>
      <c r="K32" s="49" t="inlineStr">
        <is>
          <t>Rejected</t>
        </is>
      </c>
      <c r="L32" s="48" t="n"/>
      <c r="M32" s="48">
        <f>IF(OR(L31="",A31=""),"",L31-A31)</f>
        <v/>
      </c>
      <c r="N32" s="48" t="n"/>
      <c r="O32" s="48" t="n"/>
      <c r="P32" s="51" t="inlineStr">
        <is>
          <t>From Greenhouse portal: 'Applied 12 months ago'; distinct from Sep 2026 Anthropic TPM Apps Platform application already in tracker; date approximate | Status corrected to Rejected per user verification (Sep 20, 2026). | Centralized TPM team; owns compute-partner relationships (AWS Bedrock, Google Vertex), aligns technical roadmaps between Anthropic and cloud partner engineering teams. 10+ years TPM/business-ops leadership, complex external partnership management, cloud/AI infra understanding. Good fit: strong overlap with executive stakeholder management and cross-functional program ownership; external partnership depth at this specific scale is the main unverified gap.</t>
        </is>
      </c>
      <c r="Q32" s="48" t="n"/>
      <c r="R32" s="48" t="inlineStr">
        <is>
          <t>Good fit — external cloud-partnership scale is the main unverified gap</t>
        </is>
      </c>
      <c r="S32" s="51" t="inlineStr">
        <is>
          <t>10+ yrs TPM/biz-ops leadership. Complex external partnership mgmt (cloud providers). Cloud computing/AI infra understanding. Executive-level cross-functional coordination (GTM/Finance/Comms/Eng/Product).</t>
        </is>
      </c>
      <c r="T32" s="52">
        <f>IF(G32="","",G32)</f>
        <v/>
      </c>
      <c r="U32" s="52">
        <f>IF(C32="","",IF(OR(ISNUMBER(SEARCH("Director",C32)),ISNUMBER(SEARCH("Lead",C32)),ISNUMBER(SEARCH("Senior",C32)),ISNUMBER(SEARCH("Sr.",C32))),90,IF(OR(ISNUMBER(SEARCH("Manager",C32)),ISNUMBER(SEARCH("Program",C32)),ISNUMBER(SEARCH("Portfolio",C32))),80,60)))</f>
        <v/>
      </c>
      <c r="V32" s="52">
        <f>IF(C32="","",IF(OR(ISNUMBER(SEARCH("AI",C32)),ISNUMBER(SEARCH("Data",C32)),ISNUMBER(SEARCH("Technology",C32)),ISNUMBER(SEARCH("Technical",C32)),ISNUMBER(SEARCH("Engineering",C32)),ISNUMBER(SEARCH("Platform",C32)),ISNUMBER(SEARCH("Portfolio",C32))),85,65))</f>
        <v/>
      </c>
      <c r="W32" s="52">
        <f>IF(C32="","",MIN(100,50+IF(S32&lt;&gt;"",25,0)+IF(R32&lt;&gt;"",15,0)+IF(P32&lt;&gt;"",10,0)))</f>
        <v/>
      </c>
      <c r="X32" s="52">
        <f>IF(E32="","",IF(OR(E32="Canada",E32="CA"),100,IF(OR(E32="United States",E32="USA",E32="US"),IF(J32="Yes",45,75),65)))</f>
        <v/>
      </c>
      <c r="Y32" s="52">
        <f>IF(C32="","",IF(OR(ISNUMBER(SEARCH("Program",C32)),ISNUMBER(SEARCH("Portfolio",C32)),ISNUMBER(SEARCH("Operations",C32)),ISNUMBER(SEARCH("Transformation",C32))),85,IF(ISNUMBER(SEARCH("Product Manager",C32)),55,70)))</f>
        <v/>
      </c>
      <c r="Z32" s="52">
        <f>IF(C32="","",MIN(100,IF(I32&lt;&gt;"",60,10)+IF(AA32&gt;0,MIN(40,AA32*20),0)))</f>
        <v/>
      </c>
      <c r="AA32" s="52">
        <f>IF(T32="","",ROUND(T32*25%+U32*15%+V32*10%+W32*15%+X32*15%+Y32*10%+Z32*10%,0))</f>
        <v/>
      </c>
      <c r="AB32" s="52">
        <f>IF(AA32="","",IF(X32&lt;50,"Selective / Barrier",IF(AA32&gt;=80,"Tier 1 - Pursue",IF(AA32&gt;=70,"Tier 2 - Pursue",IF(AA32&gt;=60,"Tier 3 - Selective","Do Not Pursue")))))</f>
        <v/>
      </c>
      <c r="AC32" s="52">
        <f>IF(C32="","",IF(I32&lt;&gt;"","Named Contact",IF(AA32&gt;0,"Outreach Logged","Cold")))</f>
        <v/>
      </c>
      <c r="AD32" s="52">
        <f>IF(B32="","",COUNTIF('Outreach Log'!$C:$C,B32))</f>
        <v/>
      </c>
      <c r="AE32" s="52">
        <f>IF(A32="","",IF(OR(K32="Rejected",K32="Closed"),IF(L32&lt;&gt;"",L32-A32,TODAY()-A32),TODAY()-A32))</f>
        <v/>
      </c>
      <c r="AF32" s="52">
        <f>IF(C32="","",IF(AND(AA32&gt;=70,AC32="Cold"),"High-fit but cold",IF(AND(AA32&lt;60,K32="Applied"),"Low-fit application",IF(AND(AA32&gt;=70,OR(AC32="Named Contact",AC32="Outreach Logged")),"Targeted pursuit","Review"))))</f>
        <v/>
      </c>
    </row>
    <row r="33" ht="15" customHeight="1" s="44">
      <c r="A33" s="53" t="n">
        <v>45920</v>
      </c>
      <c r="B33" s="48" t="inlineStr">
        <is>
          <t>Databricks</t>
        </is>
      </c>
      <c r="C33" s="48" t="inlineStr">
        <is>
          <t>Staff Technical Project Manager - AI/ML</t>
        </is>
      </c>
      <c r="D33" s="48" t="inlineStr">
        <is>
          <t>Staff</t>
        </is>
      </c>
      <c r="E33" s="48" t="inlineStr">
        <is>
          <t>US</t>
        </is>
      </c>
      <c r="F33" s="48" t="inlineStr">
        <is>
          <t>US-Remote</t>
        </is>
      </c>
      <c r="G33" s="48" t="n">
        <v>68</v>
      </c>
      <c r="H33" s="48" t="inlineStr">
        <is>
          <t>Cold Portal</t>
        </is>
      </c>
      <c r="I33" s="48" t="n"/>
      <c r="J33" s="48" t="inlineStr">
        <is>
          <t>Yes</t>
        </is>
      </c>
      <c r="K33" s="49" t="inlineStr">
        <is>
          <t>Rejected</t>
        </is>
      </c>
      <c r="L33" s="48" t="n"/>
      <c r="M33" s="48">
        <f>IF(OR(L32="",A32=""),"",L32-A32)</f>
        <v/>
      </c>
      <c r="N33" s="48" t="n"/>
      <c r="O33" s="48" t="n"/>
      <c r="P33" s="51" t="inlineStr">
        <is>
          <t>From Greenhouse portal: 'Applied 12 months ago'; date approximate | Status corrected to Rejected per user verification (Sep 20, 2026). | Leads post-sales delivery of strategic AI/ML Professional Services projects (GenAI, Production ML/MLOps); global scope, teams up to 10, contracts $1M+. 5+ years PM, deep ML lifecycle knowledge, AGILE/PMI certification desirable. Moderate fit: strong stakeholder/executive delivery overlap, but requires deep hands-on ML/MLOps technical depth beyond enterprise portfolio background. Pay $102,800-$179,875 USD by zone.</t>
        </is>
      </c>
      <c r="Q33" s="48" t="n"/>
      <c r="R33" s="48" t="inlineStr">
        <is>
          <t>Technical depth gap (hands-on ML/MLOps)</t>
        </is>
      </c>
      <c r="S33" s="51" t="inlineStr">
        <is>
          <t>5+ yrs PM, ML lifecycle knowledge (MLOps). Cloud AI platforms (SageMaker/Vertex/Azure ML). Global scope, $1M+ contracts. AGILE/PMI cert desirable.</t>
        </is>
      </c>
      <c r="T33" s="52">
        <f>IF(G33="","",G33)</f>
        <v/>
      </c>
      <c r="U33" s="52">
        <f>IF(C33="","",IF(OR(ISNUMBER(SEARCH("Director",C33)),ISNUMBER(SEARCH("Lead",C33)),ISNUMBER(SEARCH("Senior",C33)),ISNUMBER(SEARCH("Sr.",C33))),90,IF(OR(ISNUMBER(SEARCH("Manager",C33)),ISNUMBER(SEARCH("Program",C33)),ISNUMBER(SEARCH("Portfolio",C33))),80,60)))</f>
        <v/>
      </c>
      <c r="V33" s="52">
        <f>IF(C33="","",IF(OR(ISNUMBER(SEARCH("AI",C33)),ISNUMBER(SEARCH("Data",C33)),ISNUMBER(SEARCH("Technology",C33)),ISNUMBER(SEARCH("Technical",C33)),ISNUMBER(SEARCH("Engineering",C33)),ISNUMBER(SEARCH("Platform",C33)),ISNUMBER(SEARCH("Portfolio",C33))),85,65))</f>
        <v/>
      </c>
      <c r="W33" s="52">
        <f>IF(C33="","",MIN(100,50+IF(S33&lt;&gt;"",25,0)+IF(R33&lt;&gt;"",15,0)+IF(P33&lt;&gt;"",10,0)))</f>
        <v/>
      </c>
      <c r="X33" s="52">
        <f>IF(E33="","",IF(OR(E33="Canada",E33="CA"),100,IF(OR(E33="United States",E33="USA",E33="US"),IF(J33="Yes",45,75),65)))</f>
        <v/>
      </c>
      <c r="Y33" s="52">
        <f>IF(C33="","",IF(OR(ISNUMBER(SEARCH("Program",C33)),ISNUMBER(SEARCH("Portfolio",C33)),ISNUMBER(SEARCH("Operations",C33)),ISNUMBER(SEARCH("Transformation",C33))),85,IF(ISNUMBER(SEARCH("Product Manager",C33)),55,70)))</f>
        <v/>
      </c>
      <c r="Z33" s="52">
        <f>IF(C33="","",MIN(100,IF(I33&lt;&gt;"",60,10)+IF(AA33&gt;0,MIN(40,AA33*20),0)))</f>
        <v/>
      </c>
      <c r="AA33" s="52">
        <f>IF(T33="","",ROUND(T33*25%+U33*15%+V33*10%+W33*15%+X33*15%+Y33*10%+Z33*10%,0))</f>
        <v/>
      </c>
      <c r="AB33" s="52">
        <f>IF(AA33="","",IF(X33&lt;50,"Selective / Barrier",IF(AA33&gt;=80,"Tier 1 - Pursue",IF(AA33&gt;=70,"Tier 2 - Pursue",IF(AA33&gt;=60,"Tier 3 - Selective","Do Not Pursue")))))</f>
        <v/>
      </c>
      <c r="AC33" s="52">
        <f>IF(C33="","",IF(I33&lt;&gt;"","Named Contact",IF(AA33&gt;0,"Outreach Logged","Cold")))</f>
        <v/>
      </c>
      <c r="AD33" s="52">
        <f>IF(B33="","",COUNTIF('Outreach Log'!$C:$C,B33))</f>
        <v/>
      </c>
      <c r="AE33" s="52">
        <f>IF(A33="","",IF(OR(K33="Rejected",K33="Closed"),IF(L33&lt;&gt;"",L33-A33,TODAY()-A33),TODAY()-A33))</f>
        <v/>
      </c>
      <c r="AF33" s="52">
        <f>IF(C33="","",IF(AND(AA33&gt;=70,AC33="Cold"),"High-fit but cold",IF(AND(AA33&lt;60,K33="Applied"),"Low-fit application",IF(AND(AA33&gt;=70,OR(AC33="Named Contact",AC33="Outreach Logged")),"Targeted pursuit","Review"))))</f>
        <v/>
      </c>
    </row>
    <row r="34" ht="15" customHeight="1" s="44">
      <c r="A34" s="53" t="n">
        <v>45920</v>
      </c>
      <c r="B34" s="48" t="inlineStr">
        <is>
          <t>PlayStation Global</t>
        </is>
      </c>
      <c r="C34" s="48" t="inlineStr">
        <is>
          <t>Staff Program Manager, Data &amp; AI</t>
        </is>
      </c>
      <c r="D34" s="48" t="inlineStr">
        <is>
          <t>Staff</t>
        </is>
      </c>
      <c r="E34" s="48" t="inlineStr">
        <is>
          <t>US</t>
        </is>
      </c>
      <c r="F34" s="48" t="inlineStr">
        <is>
          <t>San Diego, CA / San Mateo, CA</t>
        </is>
      </c>
      <c r="G34" s="48" t="n">
        <v>79</v>
      </c>
      <c r="H34" s="48" t="inlineStr">
        <is>
          <t>Cold Portal</t>
        </is>
      </c>
      <c r="I34" s="48" t="n"/>
      <c r="J34" s="48" t="inlineStr">
        <is>
          <t>Yes</t>
        </is>
      </c>
      <c r="K34" s="49" t="inlineStr">
        <is>
          <t>Rejected</t>
        </is>
      </c>
      <c r="L34" s="48" t="n"/>
      <c r="M34" s="48">
        <f>IF(OR(L33="",A33=""),"",L33-A33)</f>
        <v/>
      </c>
      <c r="N34" s="48" t="n"/>
      <c r="O34" s="48" t="n"/>
      <c r="P34" s="51" t="inlineStr">
        <is>
          <t>Staff TPM leading global-scale Data &amp; AI programs cross-functionally (product, eng, design, biz ops, marketing, legal, finance) from concept to worldwide deployment. 15+ years enterprise program delivery, hands-on GenAI/agentic AI leadership, strong data platform/ML fluency. Strong fit: closely mirrors Bell Canada Data &amp; AI Enterprise Architecture portfolio background and senior TPM experience; specific tool stack (expert JIRA, Tableau, Power BI, Domo, Databricks, SageMaker, Azure ML) is the main unverified gap.</t>
        </is>
      </c>
      <c r="Q34" s="48" t="n"/>
      <c r="R34" s="48" t="inlineStr">
        <is>
          <t>Strong fit — tool-stack depth (JIRA/BI platforms) unverified gap</t>
        </is>
      </c>
      <c r="S34" s="51" t="inlineStr">
        <is>
          <t>15+ yrs enterprise program/project mgmt. Hands-on GenAI/agentic AI delivery. Data platform/ML fluency. Expert JIRA. Tools: Tableau, Power BI, Domo, Databricks, AWS SageMaker, Azure ML.</t>
        </is>
      </c>
      <c r="T34" s="52">
        <f>IF(G34="","",G34)</f>
        <v/>
      </c>
      <c r="U34" s="52">
        <f>IF(C34="","",IF(OR(ISNUMBER(SEARCH("Director",C34)),ISNUMBER(SEARCH("Lead",C34)),ISNUMBER(SEARCH("Senior",C34)),ISNUMBER(SEARCH("Sr.",C34))),90,IF(OR(ISNUMBER(SEARCH("Manager",C34)),ISNUMBER(SEARCH("Program",C34)),ISNUMBER(SEARCH("Portfolio",C34))),80,60)))</f>
        <v/>
      </c>
      <c r="V34" s="52">
        <f>IF(C34="","",IF(OR(ISNUMBER(SEARCH("AI",C34)),ISNUMBER(SEARCH("Data",C34)),ISNUMBER(SEARCH("Technology",C34)),ISNUMBER(SEARCH("Technical",C34)),ISNUMBER(SEARCH("Engineering",C34)),ISNUMBER(SEARCH("Platform",C34)),ISNUMBER(SEARCH("Portfolio",C34))),85,65))</f>
        <v/>
      </c>
      <c r="W34" s="52">
        <f>IF(C34="","",MIN(100,50+IF(S34&lt;&gt;"",25,0)+IF(R34&lt;&gt;"",15,0)+IF(P34&lt;&gt;"",10,0)))</f>
        <v/>
      </c>
      <c r="X34" s="52">
        <f>IF(E34="","",IF(OR(E34="Canada",E34="CA"),100,IF(OR(E34="United States",E34="USA",E34="US"),IF(J34="Yes",45,75),65)))</f>
        <v/>
      </c>
      <c r="Y34" s="52">
        <f>IF(C34="","",IF(OR(ISNUMBER(SEARCH("Program",C34)),ISNUMBER(SEARCH("Portfolio",C34)),ISNUMBER(SEARCH("Operations",C34)),ISNUMBER(SEARCH("Transformation",C34))),85,IF(ISNUMBER(SEARCH("Product Manager",C34)),55,70)))</f>
        <v/>
      </c>
      <c r="Z34" s="52">
        <f>IF(C34="","",MIN(100,IF(I34&lt;&gt;"",60,10)+IF(AA34&gt;0,MIN(40,AA34*20),0)))</f>
        <v/>
      </c>
      <c r="AA34" s="52">
        <f>IF(T34="","",ROUND(T34*25%+U34*15%+V34*10%+W34*15%+X34*15%+Y34*10%+Z34*10%,0))</f>
        <v/>
      </c>
      <c r="AB34" s="52">
        <f>IF(AA34="","",IF(X34&lt;50,"Selective / Barrier",IF(AA34&gt;=80,"Tier 1 - Pursue",IF(AA34&gt;=70,"Tier 2 - Pursue",IF(AA34&gt;=60,"Tier 3 - Selective","Do Not Pursue")))))</f>
        <v/>
      </c>
      <c r="AC34" s="52">
        <f>IF(C34="","",IF(I34&lt;&gt;"","Named Contact",IF(AA34&gt;0,"Outreach Logged","Cold")))</f>
        <v/>
      </c>
      <c r="AD34" s="52">
        <f>IF(B34="","",COUNTIF('Outreach Log'!$C:$C,B34))</f>
        <v/>
      </c>
      <c r="AE34" s="52">
        <f>IF(A34="","",IF(OR(K34="Rejected",K34="Closed"),IF(L34&lt;&gt;"",L34-A34,TODAY()-A34),TODAY()-A34))</f>
        <v/>
      </c>
      <c r="AF34" s="52">
        <f>IF(C34="","",IF(AND(AA34&gt;=70,AC34="Cold"),"High-fit but cold",IF(AND(AA34&lt;60,K34="Applied"),"Low-fit application",IF(AND(AA34&gt;=70,OR(AC34="Named Contact",AC34="Outreach Logged")),"Targeted pursuit","Review"))))</f>
        <v/>
      </c>
    </row>
    <row r="35" ht="15" customHeight="1" s="44">
      <c r="A35" s="53" t="n">
        <v>45920</v>
      </c>
      <c r="B35" s="48" t="inlineStr">
        <is>
          <t>DeepMind</t>
        </is>
      </c>
      <c r="C35" s="48" t="inlineStr">
        <is>
          <t>Technical Program Manager, Post-Training</t>
        </is>
      </c>
      <c r="D35" s="48" t="inlineStr">
        <is>
          <t>Senior/Staff</t>
        </is>
      </c>
      <c r="E35" s="48" t="inlineStr">
        <is>
          <t>US</t>
        </is>
      </c>
      <c r="F35" s="48" t="inlineStr">
        <is>
          <t>Mountain View, CA / New York City, NY</t>
        </is>
      </c>
      <c r="G35" s="48" t="n">
        <v>58</v>
      </c>
      <c r="H35" s="48" t="inlineStr">
        <is>
          <t>Cold Portal</t>
        </is>
      </c>
      <c r="I35" s="48" t="n"/>
      <c r="J35" s="48" t="inlineStr">
        <is>
          <t>Yes</t>
        </is>
      </c>
      <c r="K35" s="49" t="inlineStr">
        <is>
          <t>Rejected</t>
        </is>
      </c>
      <c r="L35" s="48" t="n"/>
      <c r="M35" s="48">
        <f>IF(OR(L34="",A34=""),"",L34-A34)</f>
        <v/>
      </c>
      <c r="N35" s="48" t="n"/>
      <c r="O35" s="48" t="n"/>
      <c r="P35" s="51" t="inlineStr">
        <is>
          <t>From Greenhouse portal: 'Applied 12 months ago'; distinct from DeepMind 'Program Manager' role already logged; date approximate | Status corrected to Rejected per user verification (Sep 20, 2026). | Post-training programs team (GenAI); drives Gemini Tool Use and Agents programs across full lifecycle (data quality, tool integration, eval). 8+ years leading large-scale engineering projects, strong technical/ML acumen, hands-on AI model training experience preferred. Moderate fit: strong program execution and stakeholder influence overlap, but requires deeper hands-on AI/ML technical depth than portfolio-level experience provides. Base salary $183,000-$271,000 +bonus+equity.</t>
        </is>
      </c>
      <c r="Q35" s="48" t="n"/>
      <c r="R35" s="48" t="inlineStr">
        <is>
          <t>Technical depth gap (hands-on AI/ML model training)</t>
        </is>
      </c>
      <c r="S35" s="51" t="inlineStr">
        <is>
          <t>BS CS/Eng. 8+ yrs leading large-scale eng projects. Strong technical acumen (API/Tool Use/Agent space). ML/AI principles understanding preferred.</t>
        </is>
      </c>
      <c r="T35" s="52">
        <f>IF(G35="","",G35)</f>
        <v/>
      </c>
      <c r="U35" s="52">
        <f>IF(C35="","",IF(OR(ISNUMBER(SEARCH("Director",C35)),ISNUMBER(SEARCH("Lead",C35)),ISNUMBER(SEARCH("Senior",C35)),ISNUMBER(SEARCH("Sr.",C35))),90,IF(OR(ISNUMBER(SEARCH("Manager",C35)),ISNUMBER(SEARCH("Program",C35)),ISNUMBER(SEARCH("Portfolio",C35))),80,60)))</f>
        <v/>
      </c>
      <c r="V35" s="52">
        <f>IF(C35="","",IF(OR(ISNUMBER(SEARCH("AI",C35)),ISNUMBER(SEARCH("Data",C35)),ISNUMBER(SEARCH("Technology",C35)),ISNUMBER(SEARCH("Technical",C35)),ISNUMBER(SEARCH("Engineering",C35)),ISNUMBER(SEARCH("Platform",C35)),ISNUMBER(SEARCH("Portfolio",C35))),85,65))</f>
        <v/>
      </c>
      <c r="W35" s="52">
        <f>IF(C35="","",MIN(100,50+IF(S35&lt;&gt;"",25,0)+IF(R35&lt;&gt;"",15,0)+IF(P35&lt;&gt;"",10,0)))</f>
        <v/>
      </c>
      <c r="X35" s="52">
        <f>IF(E35="","",IF(OR(E35="Canada",E35="CA"),100,IF(OR(E35="United States",E35="USA",E35="US"),IF(J35="Yes",45,75),65)))</f>
        <v/>
      </c>
      <c r="Y35" s="52">
        <f>IF(C35="","",IF(OR(ISNUMBER(SEARCH("Program",C35)),ISNUMBER(SEARCH("Portfolio",C35)),ISNUMBER(SEARCH("Operations",C35)),ISNUMBER(SEARCH("Transformation",C35))),85,IF(ISNUMBER(SEARCH("Product Manager",C35)),55,70)))</f>
        <v/>
      </c>
      <c r="Z35" s="52">
        <f>IF(C35="","",MIN(100,IF(I35&lt;&gt;"",60,10)+IF(AA35&gt;0,MIN(40,AA35*20),0)))</f>
        <v/>
      </c>
      <c r="AA35" s="52">
        <f>IF(T35="","",ROUND(T35*25%+U35*15%+V35*10%+W35*15%+X35*15%+Y35*10%+Z35*10%,0))</f>
        <v/>
      </c>
      <c r="AB35" s="52">
        <f>IF(AA35="","",IF(X35&lt;50,"Selective / Barrier",IF(AA35&gt;=80,"Tier 1 - Pursue",IF(AA35&gt;=70,"Tier 2 - Pursue",IF(AA35&gt;=60,"Tier 3 - Selective","Do Not Pursue")))))</f>
        <v/>
      </c>
      <c r="AC35" s="52">
        <f>IF(C35="","",IF(I35&lt;&gt;"","Named Contact",IF(AA35&gt;0,"Outreach Logged","Cold")))</f>
        <v/>
      </c>
      <c r="AD35" s="52">
        <f>IF(B35="","",COUNTIF('Outreach Log'!$C:$C,B35))</f>
        <v/>
      </c>
      <c r="AE35" s="52">
        <f>IF(A35="","",IF(OR(K35="Rejected",K35="Closed"),IF(L35&lt;&gt;"",L35-A35,TODAY()-A35),TODAY()-A35))</f>
        <v/>
      </c>
      <c r="AF35" s="52">
        <f>IF(C35="","",IF(AND(AA35&gt;=70,AC35="Cold"),"High-fit but cold",IF(AND(AA35&lt;60,K35="Applied"),"Low-fit application",IF(AND(AA35&gt;=70,OR(AC35="Named Contact",AC35="Outreach Logged")),"Targeted pursuit","Review"))))</f>
        <v/>
      </c>
    </row>
    <row r="36" ht="15" customHeight="1" s="44">
      <c r="A36" s="53" t="n">
        <v>45950</v>
      </c>
      <c r="B36" s="48" t="inlineStr">
        <is>
          <t>Five9</t>
        </is>
      </c>
      <c r="C36" s="48" t="inlineStr">
        <is>
          <t>Manager, AIA Program Management</t>
        </is>
      </c>
      <c r="D36" s="48" t="inlineStr">
        <is>
          <t>Manager (people manager)</t>
        </is>
      </c>
      <c r="E36" s="48" t="inlineStr">
        <is>
          <t>US</t>
        </is>
      </c>
      <c r="F36" s="48" t="inlineStr">
        <is>
          <t>US-Remote (Hybrid if near San Ramon, CA)</t>
        </is>
      </c>
      <c r="G36" s="48" t="n">
        <v>61</v>
      </c>
      <c r="H36" s="48" t="inlineStr">
        <is>
          <t>Cold Portal</t>
        </is>
      </c>
      <c r="I36" s="48" t="n"/>
      <c r="J36" s="48" t="inlineStr">
        <is>
          <t>Yes</t>
        </is>
      </c>
      <c r="K36" s="49" t="inlineStr">
        <is>
          <t>Rejected</t>
        </is>
      </c>
      <c r="L36" s="48" t="n"/>
      <c r="M36" s="48">
        <f>IF(OR(L35="",A35=""),"",L35-A35)</f>
        <v/>
      </c>
      <c r="N36" s="48" t="n"/>
      <c r="O36" s="48" t="n"/>
      <c r="P36" s="51" t="inlineStr">
        <is>
          <t>Leads AI &amp; Automation Program Management team within Professional Services; directly supervises Program Managers (hiring, performance reviews, coaching), owns portfolio financial management and executive client relationships. 5+ years management/leadership in AI/technical/cloud/contact center PS environment. Moderate fit: strong people-leadership and financial/program governance overlap, but contact-center/PS industry domain is a gap. Base salary $90,000-$216,000 USD.</t>
        </is>
      </c>
      <c r="Q36" s="48" t="n"/>
      <c r="R36" s="48" t="inlineStr">
        <is>
          <t>Industry domain gap (contact center/PS) — people-manager role</t>
        </is>
      </c>
      <c r="S36" s="51" t="inlineStr">
        <is>
          <t>5+ yrs management/leadership, AI/technical/cloud/contact center PS pref. Directly supervises PM team (hiring/reviews/coaching). Financial mgmt, executive stakeholder relationships.</t>
        </is>
      </c>
      <c r="T36" s="52">
        <f>IF(G36="","",G36)</f>
        <v/>
      </c>
      <c r="U36" s="52">
        <f>IF(C36="","",IF(OR(ISNUMBER(SEARCH("Director",C36)),ISNUMBER(SEARCH("Lead",C36)),ISNUMBER(SEARCH("Senior",C36)),ISNUMBER(SEARCH("Sr.",C36))),90,IF(OR(ISNUMBER(SEARCH("Manager",C36)),ISNUMBER(SEARCH("Program",C36)),ISNUMBER(SEARCH("Portfolio",C36))),80,60)))</f>
        <v/>
      </c>
      <c r="V36" s="52">
        <f>IF(C36="","",IF(OR(ISNUMBER(SEARCH("AI",C36)),ISNUMBER(SEARCH("Data",C36)),ISNUMBER(SEARCH("Technology",C36)),ISNUMBER(SEARCH("Technical",C36)),ISNUMBER(SEARCH("Engineering",C36)),ISNUMBER(SEARCH("Platform",C36)),ISNUMBER(SEARCH("Portfolio",C36))),85,65))</f>
        <v/>
      </c>
      <c r="W36" s="52">
        <f>IF(C36="","",MIN(100,50+IF(S36&lt;&gt;"",25,0)+IF(R36&lt;&gt;"",15,0)+IF(P36&lt;&gt;"",10,0)))</f>
        <v/>
      </c>
      <c r="X36" s="52">
        <f>IF(E36="","",IF(OR(E36="Canada",E36="CA"),100,IF(OR(E36="United States",E36="USA",E36="US"),IF(J36="Yes",45,75),65)))</f>
        <v/>
      </c>
      <c r="Y36" s="52">
        <f>IF(C36="","",IF(OR(ISNUMBER(SEARCH("Program",C36)),ISNUMBER(SEARCH("Portfolio",C36)),ISNUMBER(SEARCH("Operations",C36)),ISNUMBER(SEARCH("Transformation",C36))),85,IF(ISNUMBER(SEARCH("Product Manager",C36)),55,70)))</f>
        <v/>
      </c>
      <c r="Z36" s="52">
        <f>IF(C36="","",MIN(100,IF(I36&lt;&gt;"",60,10)+IF(AA36&gt;0,MIN(40,AA36*20),0)))</f>
        <v/>
      </c>
      <c r="AA36" s="52">
        <f>IF(T36="","",ROUND(T36*25%+U36*15%+V36*10%+W36*15%+X36*15%+Y36*10%+Z36*10%,0))</f>
        <v/>
      </c>
      <c r="AB36" s="52">
        <f>IF(AA36="","",IF(X36&lt;50,"Selective / Barrier",IF(AA36&gt;=80,"Tier 1 - Pursue",IF(AA36&gt;=70,"Tier 2 - Pursue",IF(AA36&gt;=60,"Tier 3 - Selective","Do Not Pursue")))))</f>
        <v/>
      </c>
      <c r="AC36" s="52">
        <f>IF(C36="","",IF(I36&lt;&gt;"","Named Contact",IF(AA36&gt;0,"Outreach Logged","Cold")))</f>
        <v/>
      </c>
      <c r="AD36" s="52">
        <f>IF(B36="","",COUNTIF('Outreach Log'!$C:$C,B36))</f>
        <v/>
      </c>
      <c r="AE36" s="52">
        <f>IF(A36="","",IF(OR(K36="Rejected",K36="Closed"),IF(L36&lt;&gt;"",L36-A36,TODAY()-A36),TODAY()-A36))</f>
        <v/>
      </c>
      <c r="AF36" s="52">
        <f>IF(C36="","",IF(AND(AA36&gt;=70,AC36="Cold"),"High-fit but cold",IF(AND(AA36&lt;60,K36="Applied"),"Low-fit application",IF(AND(AA36&gt;=70,OR(AC36="Named Contact",AC36="Outreach Logged")),"Targeted pursuit","Review"))))</f>
        <v/>
      </c>
    </row>
    <row r="37" ht="15" customHeight="1" s="44">
      <c r="A37" s="53" t="n">
        <v>45981</v>
      </c>
      <c r="B37" s="48" t="inlineStr">
        <is>
          <t>Lyft</t>
        </is>
      </c>
      <c r="C37" s="48" t="inlineStr">
        <is>
          <t>Senior Program Manager (TechOps)</t>
        </is>
      </c>
      <c r="D37" s="48" t="inlineStr">
        <is>
          <t>Senior</t>
        </is>
      </c>
      <c r="E37" s="48" t="inlineStr">
        <is>
          <t>Canada</t>
        </is>
      </c>
      <c r="F37" s="48" t="inlineStr">
        <is>
          <t>Toronto</t>
        </is>
      </c>
      <c r="G37" s="48" t="n">
        <v>74</v>
      </c>
      <c r="H37" s="48" t="inlineStr">
        <is>
          <t>Cold Portal</t>
        </is>
      </c>
      <c r="I37" s="48" t="n"/>
      <c r="J37" s="48" t="inlineStr">
        <is>
          <t>No</t>
        </is>
      </c>
      <c r="K37" s="49" t="inlineStr">
        <is>
          <t>Rejected</t>
        </is>
      </c>
      <c r="L37" s="48" t="n"/>
      <c r="M37" s="48">
        <f>IF(OR(L36="",A36=""),"",L36-A36)</f>
        <v/>
      </c>
      <c r="N37" s="48" t="n"/>
      <c r="O37" s="48" t="n"/>
      <c r="P37" s="51" t="inlineStr">
        <is>
          <t>Corporate Engineering/IT/Privacy/Security TechOps program leadership: multi-year ERP/HCM/CRM transformations (Oracle, Anaplan, Workday, Salesforce), privacy compliance (GDPR/CCPA), security implementations. 8+ years complex transformation programs, 6+ years enterprise tech program delivery, $1M+ vendor budget management. Strong fit: closely mirrors enterprise portfolio/program leadership, governance, and executive reporting background. Hybrid 3 days/week. Base pay CAD $122,000-$152,500. From Greenhouse portal review. Rejected.</t>
        </is>
      </c>
      <c r="Q37" s="48" t="n"/>
      <c r="R37" s="48" t="inlineStr">
        <is>
          <t>Strong fit — enterprise TPM/governance match</t>
        </is>
      </c>
      <c r="S37" s="51" t="inlineStr">
        <is>
          <t>8+ yrs transformation programs. 6+ yrs enterprise tech delivery (ERP/HCM/CRM: Oracle/Workday/Salesforce). Privacy/security compliance (GDPR/CCPA). $1M+ vendor budgets.</t>
        </is>
      </c>
      <c r="T37" s="52">
        <f>IF(G37="","",G37)</f>
        <v/>
      </c>
      <c r="U37" s="52">
        <f>IF(C37="","",IF(OR(ISNUMBER(SEARCH("Director",C37)),ISNUMBER(SEARCH("Lead",C37)),ISNUMBER(SEARCH("Senior",C37)),ISNUMBER(SEARCH("Sr.",C37))),90,IF(OR(ISNUMBER(SEARCH("Manager",C37)),ISNUMBER(SEARCH("Program",C37)),ISNUMBER(SEARCH("Portfolio",C37))),80,60)))</f>
        <v/>
      </c>
      <c r="V37" s="52">
        <f>IF(C37="","",IF(OR(ISNUMBER(SEARCH("AI",C37)),ISNUMBER(SEARCH("Data",C37)),ISNUMBER(SEARCH("Technology",C37)),ISNUMBER(SEARCH("Technical",C37)),ISNUMBER(SEARCH("Engineering",C37)),ISNUMBER(SEARCH("Platform",C37)),ISNUMBER(SEARCH("Portfolio",C37))),85,65))</f>
        <v/>
      </c>
      <c r="W37" s="52">
        <f>IF(C37="","",MIN(100,50+IF(S37&lt;&gt;"",25,0)+IF(R37&lt;&gt;"",15,0)+IF(P37&lt;&gt;"",10,0)))</f>
        <v/>
      </c>
      <c r="X37" s="52">
        <f>IF(E37="","",IF(OR(E37="Canada",E37="CA"),100,IF(OR(E37="United States",E37="USA",E37="US"),IF(J37="Yes",45,75),65)))</f>
        <v/>
      </c>
      <c r="Y37" s="52">
        <f>IF(C37="","",IF(OR(ISNUMBER(SEARCH("Program",C37)),ISNUMBER(SEARCH("Portfolio",C37)),ISNUMBER(SEARCH("Operations",C37)),ISNUMBER(SEARCH("Transformation",C37))),85,IF(ISNUMBER(SEARCH("Product Manager",C37)),55,70)))</f>
        <v/>
      </c>
      <c r="Z37" s="52">
        <f>IF(C37="","",MIN(100,IF(I37&lt;&gt;"",60,10)+IF(AA37&gt;0,MIN(40,AA37*20),0)))</f>
        <v/>
      </c>
      <c r="AA37" s="52">
        <f>IF(T37="","",ROUND(T37*25%+U37*15%+V37*10%+W37*15%+X37*15%+Y37*10%+Z37*10%,0))</f>
        <v/>
      </c>
      <c r="AB37" s="52">
        <f>IF(AA37="","",IF(X37&lt;50,"Selective / Barrier",IF(AA37&gt;=80,"Tier 1 - Pursue",IF(AA37&gt;=70,"Tier 2 - Pursue",IF(AA37&gt;=60,"Tier 3 - Selective","Do Not Pursue")))))</f>
        <v/>
      </c>
      <c r="AC37" s="52">
        <f>IF(C37="","",IF(I37&lt;&gt;"","Named Contact",IF(AA37&gt;0,"Outreach Logged","Cold")))</f>
        <v/>
      </c>
      <c r="AD37" s="52">
        <f>IF(B37="","",COUNTIF('Outreach Log'!$C:$C,B37))</f>
        <v/>
      </c>
      <c r="AE37" s="52">
        <f>IF(A37="","",IF(OR(K37="Rejected",K37="Closed"),IF(L37&lt;&gt;"",L37-A37,TODAY()-A37),TODAY()-A37))</f>
        <v/>
      </c>
      <c r="AF37" s="52">
        <f>IF(C37="","",IF(AND(AA37&gt;=70,AC37="Cold"),"High-fit but cold",IF(AND(AA37&lt;60,K37="Applied"),"Low-fit application",IF(AND(AA37&gt;=70,OR(AC37="Named Contact",AC37="Outreach Logged")),"Targeted pursuit","Review"))))</f>
        <v/>
      </c>
    </row>
    <row r="38" ht="15" customHeight="1" s="44">
      <c r="A38" s="53" t="n">
        <v>45981</v>
      </c>
      <c r="B38" s="48" t="inlineStr">
        <is>
          <t>DeepMind</t>
        </is>
      </c>
      <c r="C38" s="48" t="inlineStr">
        <is>
          <t>Senior Program Manager, Central Programs</t>
        </is>
      </c>
      <c r="D38" s="48" t="inlineStr">
        <is>
          <t>Senior</t>
        </is>
      </c>
      <c r="E38" s="48" t="inlineStr">
        <is>
          <t>US</t>
        </is>
      </c>
      <c r="F38" s="48" t="inlineStr">
        <is>
          <t>Mountain View, CA</t>
        </is>
      </c>
      <c r="G38" s="48" t="n">
        <v>68</v>
      </c>
      <c r="H38" s="48" t="inlineStr">
        <is>
          <t>Cold Portal</t>
        </is>
      </c>
      <c r="I38" s="48" t="n"/>
      <c r="J38" s="48" t="inlineStr">
        <is>
          <t>Yes</t>
        </is>
      </c>
      <c r="K38" s="49" t="inlineStr">
        <is>
          <t>Rejected</t>
        </is>
      </c>
      <c r="L38" s="48" t="n"/>
      <c r="M38" s="48">
        <f>IF(OR(L37="",A37=""),"",L37-A37)</f>
        <v/>
      </c>
      <c r="N38" s="48" t="n"/>
      <c r="O38" s="48" t="n"/>
      <c r="P38" s="51" t="inlineStr">
        <is>
          <t>From Greenhouse portal: 'Applied 10 months ago' (Mountain View, CA); distinct from Program Manager and TPM Post-Training roles already logged; date approximate | User confirmed rejected (Sep 20, 2026). | Central Programs team (Operations Group); leads large-scale, cross-functional company-wide strategic programs, partners with senior stakeholders across all GDM functions. No specific domain requirement — general large-scale program leadership. Good fit: strong overlap with enterprise portfolio/program leadership and executive stakeholder management background. Base salary $147,000-$216,000 +bonus+equity. Base salary $174,000-$258,000 +bonus+equity.</t>
        </is>
      </c>
      <c r="Q38" s="48" t="n"/>
      <c r="R38" s="48" t="inlineStr">
        <is>
          <t>Strong fit — general large-scale program leadership</t>
        </is>
      </c>
      <c r="S38" s="51" t="inlineStr">
        <is>
          <t>Large-scale cross-functional program leadership. Critical path/dependency mgmt. Senior stakeholder influence. Research/Product/Tech environment experience preferred.</t>
        </is>
      </c>
      <c r="T38" s="52">
        <f>IF(G38="","",G38)</f>
        <v/>
      </c>
      <c r="U38" s="52">
        <f>IF(C38="","",IF(OR(ISNUMBER(SEARCH("Director",C38)),ISNUMBER(SEARCH("Lead",C38)),ISNUMBER(SEARCH("Senior",C38)),ISNUMBER(SEARCH("Sr.",C38))),90,IF(OR(ISNUMBER(SEARCH("Manager",C38)),ISNUMBER(SEARCH("Program",C38)),ISNUMBER(SEARCH("Portfolio",C38))),80,60)))</f>
        <v/>
      </c>
      <c r="V38" s="52">
        <f>IF(C38="","",IF(OR(ISNUMBER(SEARCH("AI",C38)),ISNUMBER(SEARCH("Data",C38)),ISNUMBER(SEARCH("Technology",C38)),ISNUMBER(SEARCH("Technical",C38)),ISNUMBER(SEARCH("Engineering",C38)),ISNUMBER(SEARCH("Platform",C38)),ISNUMBER(SEARCH("Portfolio",C38))),85,65))</f>
        <v/>
      </c>
      <c r="W38" s="52">
        <f>IF(C38="","",MIN(100,50+IF(S38&lt;&gt;"",25,0)+IF(R38&lt;&gt;"",15,0)+IF(P38&lt;&gt;"",10,0)))</f>
        <v/>
      </c>
      <c r="X38" s="52">
        <f>IF(E38="","",IF(OR(E38="Canada",E38="CA"),100,IF(OR(E38="United States",E38="USA",E38="US"),IF(J38="Yes",45,75),65)))</f>
        <v/>
      </c>
      <c r="Y38" s="52">
        <f>IF(C38="","",IF(OR(ISNUMBER(SEARCH("Program",C38)),ISNUMBER(SEARCH("Portfolio",C38)),ISNUMBER(SEARCH("Operations",C38)),ISNUMBER(SEARCH("Transformation",C38))),85,IF(ISNUMBER(SEARCH("Product Manager",C38)),55,70)))</f>
        <v/>
      </c>
      <c r="Z38" s="52">
        <f>IF(C38="","",MIN(100,IF(I38&lt;&gt;"",60,10)+IF(AA38&gt;0,MIN(40,AA38*20),0)))</f>
        <v/>
      </c>
      <c r="AA38" s="52">
        <f>IF(T38="","",ROUND(T38*25%+U38*15%+V38*10%+W38*15%+X38*15%+Y38*10%+Z38*10%,0))</f>
        <v/>
      </c>
      <c r="AB38" s="52">
        <f>IF(AA38="","",IF(X38&lt;50,"Selective / Barrier",IF(AA38&gt;=80,"Tier 1 - Pursue",IF(AA38&gt;=70,"Tier 2 - Pursue",IF(AA38&gt;=60,"Tier 3 - Selective","Do Not Pursue")))))</f>
        <v/>
      </c>
      <c r="AC38" s="52">
        <f>IF(C38="","",IF(I38&lt;&gt;"","Named Contact",IF(AA38&gt;0,"Outreach Logged","Cold")))</f>
        <v/>
      </c>
      <c r="AD38" s="52">
        <f>IF(B38="","",COUNTIF('Outreach Log'!$C:$C,B38))</f>
        <v/>
      </c>
      <c r="AE38" s="52">
        <f>IF(A38="","",IF(OR(K38="Rejected",K38="Closed"),IF(L38&lt;&gt;"",L38-A38,TODAY()-A38),TODAY()-A38))</f>
        <v/>
      </c>
      <c r="AF38" s="52">
        <f>IF(C38="","",IF(AND(AA38&gt;=70,AC38="Cold"),"High-fit but cold",IF(AND(AA38&lt;60,K38="Applied"),"Low-fit application",IF(AND(AA38&gt;=70,OR(AC38="Named Contact",AC38="Outreach Logged")),"Targeted pursuit","Review"))))</f>
        <v/>
      </c>
    </row>
    <row r="39" ht="15" customHeight="1" s="44">
      <c r="A39" s="53" t="n">
        <v>45981</v>
      </c>
      <c r="B39" s="48" t="inlineStr">
        <is>
          <t>SoFi</t>
        </is>
      </c>
      <c r="C39" s="48" t="inlineStr">
        <is>
          <t>AI Transformation Manager</t>
        </is>
      </c>
      <c r="D39" s="48" t="inlineStr">
        <is>
          <t>Senior/Manager</t>
        </is>
      </c>
      <c r="E39" s="48" t="inlineStr">
        <is>
          <t>US</t>
        </is>
      </c>
      <c r="F39" s="48" t="inlineStr">
        <is>
          <t>Multiple US locations (UT/CA/TX/WA/NC/NY/FL)</t>
        </is>
      </c>
      <c r="G39" s="48" t="n">
        <v>63</v>
      </c>
      <c r="H39" s="48" t="inlineStr">
        <is>
          <t>Cold Portal</t>
        </is>
      </c>
      <c r="I39" s="48" t="n"/>
      <c r="J39" s="48" t="inlineStr">
        <is>
          <t>Yes</t>
        </is>
      </c>
      <c r="K39" s="49" t="inlineStr">
        <is>
          <t>Rejected</t>
        </is>
      </c>
      <c r="L39" s="48" t="n"/>
      <c r="M39" s="48">
        <f>IF(OR(L38="",A38=""),"",L38-A38)</f>
        <v/>
      </c>
      <c r="N39" s="48" t="n"/>
      <c r="O39" s="48" t="n"/>
      <c r="P39" s="51" t="inlineStr">
        <is>
          <t>From Greenhouse portal: 'Applied 10 months ago'; date approximate | User confirmed rejected (Sep 20, 2026). | Leads AI-enabled Finance/Accounting/Procurement transformation initiatives at national bank; owns projects concept-to-operationalization, ERP integration (Workday preferred), change management. 8+ years Finance-transformation experience with AI/ML exposure. Moderate fit: strong AI transformation and change management overlap with enterprise portfolio background, but requires deep Finance/Accounting domain expertise (internal controls, accounting principles) outside core experience.</t>
        </is>
      </c>
      <c r="Q39" s="48" t="n"/>
      <c r="R39" s="48" t="inlineStr">
        <is>
          <t>Domain mismatch (Finance/Accounting expertise required)</t>
        </is>
      </c>
      <c r="S39" s="51" t="inlineStr">
        <is>
          <t>8+ yrs Finance transformation w/ AI/ML. Accounting principles/internal controls. ERP integration (Workday). Change management. Cross-functional Finance/Tech partnership.</t>
        </is>
      </c>
      <c r="T39" s="52">
        <f>IF(G39="","",G39)</f>
        <v/>
      </c>
      <c r="U39" s="52">
        <f>IF(C39="","",IF(OR(ISNUMBER(SEARCH("Director",C39)),ISNUMBER(SEARCH("Lead",C39)),ISNUMBER(SEARCH("Senior",C39)),ISNUMBER(SEARCH("Sr.",C39))),90,IF(OR(ISNUMBER(SEARCH("Manager",C39)),ISNUMBER(SEARCH("Program",C39)),ISNUMBER(SEARCH("Portfolio",C39))),80,60)))</f>
        <v/>
      </c>
      <c r="V39" s="52">
        <f>IF(C39="","",IF(OR(ISNUMBER(SEARCH("AI",C39)),ISNUMBER(SEARCH("Data",C39)),ISNUMBER(SEARCH("Technology",C39)),ISNUMBER(SEARCH("Technical",C39)),ISNUMBER(SEARCH("Engineering",C39)),ISNUMBER(SEARCH("Platform",C39)),ISNUMBER(SEARCH("Portfolio",C39))),85,65))</f>
        <v/>
      </c>
      <c r="W39" s="52">
        <f>IF(C39="","",MIN(100,50+IF(S39&lt;&gt;"",25,0)+IF(R39&lt;&gt;"",15,0)+IF(P39&lt;&gt;"",10,0)))</f>
        <v/>
      </c>
      <c r="X39" s="52">
        <f>IF(E39="","",IF(OR(E39="Canada",E39="CA"),100,IF(OR(E39="United States",E39="USA",E39="US"),IF(J39="Yes",45,75),65)))</f>
        <v/>
      </c>
      <c r="Y39" s="52">
        <f>IF(C39="","",IF(OR(ISNUMBER(SEARCH("Program",C39)),ISNUMBER(SEARCH("Portfolio",C39)),ISNUMBER(SEARCH("Operations",C39)),ISNUMBER(SEARCH("Transformation",C39))),85,IF(ISNUMBER(SEARCH("Product Manager",C39)),55,70)))</f>
        <v/>
      </c>
      <c r="Z39" s="52">
        <f>IF(C39="","",MIN(100,IF(I39&lt;&gt;"",60,10)+IF(AA39&gt;0,MIN(40,AA39*20),0)))</f>
        <v/>
      </c>
      <c r="AA39" s="52">
        <f>IF(T39="","",ROUND(T39*25%+U39*15%+V39*10%+W39*15%+X39*15%+Y39*10%+Z39*10%,0))</f>
        <v/>
      </c>
      <c r="AB39" s="52">
        <f>IF(AA39="","",IF(X39&lt;50,"Selective / Barrier",IF(AA39&gt;=80,"Tier 1 - Pursue",IF(AA39&gt;=70,"Tier 2 - Pursue",IF(AA39&gt;=60,"Tier 3 - Selective","Do Not Pursue")))))</f>
        <v/>
      </c>
      <c r="AC39" s="52">
        <f>IF(C39="","",IF(I39&lt;&gt;"","Named Contact",IF(AA39&gt;0,"Outreach Logged","Cold")))</f>
        <v/>
      </c>
      <c r="AD39" s="52">
        <f>IF(B39="","",COUNTIF('Outreach Log'!$C:$C,B39))</f>
        <v/>
      </c>
      <c r="AE39" s="52">
        <f>IF(A39="","",IF(OR(K39="Rejected",K39="Closed"),IF(L39&lt;&gt;"",L39-A39,TODAY()-A39),TODAY()-A39))</f>
        <v/>
      </c>
      <c r="AF39" s="52">
        <f>IF(C39="","",IF(AND(AA39&gt;=70,AC39="Cold"),"High-fit but cold",IF(AND(AA39&lt;60,K39="Applied"),"Low-fit application",IF(AND(AA39&gt;=70,OR(AC39="Named Contact",AC39="Outreach Logged")),"Targeted pursuit","Review"))))</f>
        <v/>
      </c>
    </row>
    <row r="40" ht="15" customHeight="1" s="44">
      <c r="A40" s="53" t="n">
        <v>45981</v>
      </c>
      <c r="B40" s="48" t="inlineStr">
        <is>
          <t>TELUS Digital</t>
        </is>
      </c>
      <c r="C40" s="48" t="inlineStr">
        <is>
          <t>Director, Google Customer Engagement Services Practice</t>
        </is>
      </c>
      <c r="D40" s="48" t="inlineStr">
        <is>
          <t>Director</t>
        </is>
      </c>
      <c r="E40" s="48" t="inlineStr">
        <is>
          <t>Canada</t>
        </is>
      </c>
      <c r="F40" s="48" t="inlineStr">
        <is>
          <t>Remote Canada / Toronto / Vancouver</t>
        </is>
      </c>
      <c r="G40" s="48" t="n">
        <v>55</v>
      </c>
      <c r="H40" s="48" t="inlineStr">
        <is>
          <t>Cold Portal</t>
        </is>
      </c>
      <c r="I40" s="48" t="n"/>
      <c r="J40" s="48" t="inlineStr">
        <is>
          <t>No</t>
        </is>
      </c>
      <c r="K40" s="49" t="inlineStr">
        <is>
          <t>Rejected</t>
        </is>
      </c>
      <c r="L40" s="48" t="n"/>
      <c r="M40" s="48">
        <f>IF(OR(L39="",A39=""),"",L39-A39)</f>
        <v/>
      </c>
      <c r="N40" s="48" t="n"/>
      <c r="O40" s="48" t="n"/>
      <c r="P40" s="51" t="inlineStr">
        <is>
          <t>From Greenhouse portal: 'Applied 10 months ago'; title cut off in screenshot; date approximate | User confirmed rejected (Sep 20, 2026). | Leads global Google Customer Engagement Services (CES/CCAI) practice: Conversational Agents (Dialogflow, GenAI Agents), Agent Assist, Conversational Insights. 10+ years tech consulting/digital transformation with AI/ML focus, 5+ years team leadership, hands-on Google CES/CCAI expertise required, strong contact-center domain knowledge. Moderate-low fit: strong AI leadership and consulting delivery overlap, but requires specific hands-on Google CES product expertise and contact-center domain depth not in background. Base salary $148,000-$185,000 CAD +bonus.</t>
        </is>
      </c>
      <c r="Q40" s="48" t="n"/>
      <c r="R40" s="48" t="inlineStr">
        <is>
          <t>Domain mismatch (contact-center/Google CES product expertise required)</t>
        </is>
      </c>
      <c r="S40" s="51" t="inlineStr">
        <is>
          <t>10+ yrs tech consulting/digital transformation w/ AI/ML. 5+ yrs team leadership. Hands-on Google CES/CCAI (Dialogflow, Agent Assist). Contact-center ops/CX metrics knowledge.</t>
        </is>
      </c>
      <c r="T40" s="52">
        <f>IF(G40="","",G40)</f>
        <v/>
      </c>
      <c r="U40" s="52">
        <f>IF(C40="","",IF(OR(ISNUMBER(SEARCH("Director",C40)),ISNUMBER(SEARCH("Lead",C40)),ISNUMBER(SEARCH("Senior",C40)),ISNUMBER(SEARCH("Sr.",C40))),90,IF(OR(ISNUMBER(SEARCH("Manager",C40)),ISNUMBER(SEARCH("Program",C40)),ISNUMBER(SEARCH("Portfolio",C40))),80,60)))</f>
        <v/>
      </c>
      <c r="V40" s="52">
        <f>IF(C40="","",IF(OR(ISNUMBER(SEARCH("AI",C40)),ISNUMBER(SEARCH("Data",C40)),ISNUMBER(SEARCH("Technology",C40)),ISNUMBER(SEARCH("Technical",C40)),ISNUMBER(SEARCH("Engineering",C40)),ISNUMBER(SEARCH("Platform",C40)),ISNUMBER(SEARCH("Portfolio",C40))),85,65))</f>
        <v/>
      </c>
      <c r="W40" s="52">
        <f>IF(C40="","",MIN(100,50+IF(S40&lt;&gt;"",25,0)+IF(R40&lt;&gt;"",15,0)+IF(P40&lt;&gt;"",10,0)))</f>
        <v/>
      </c>
      <c r="X40" s="52">
        <f>IF(E40="","",IF(OR(E40="Canada",E40="CA"),100,IF(OR(E40="United States",E40="USA",E40="US"),IF(J40="Yes",45,75),65)))</f>
        <v/>
      </c>
      <c r="Y40" s="52">
        <f>IF(C40="","",IF(OR(ISNUMBER(SEARCH("Program",C40)),ISNUMBER(SEARCH("Portfolio",C40)),ISNUMBER(SEARCH("Operations",C40)),ISNUMBER(SEARCH("Transformation",C40))),85,IF(ISNUMBER(SEARCH("Product Manager",C40)),55,70)))</f>
        <v/>
      </c>
      <c r="Z40" s="52">
        <f>IF(C40="","",MIN(100,IF(I40&lt;&gt;"",60,10)+IF(AA40&gt;0,MIN(40,AA40*20),0)))</f>
        <v/>
      </c>
      <c r="AA40" s="52">
        <f>IF(T40="","",ROUND(T40*25%+U40*15%+V40*10%+W40*15%+X40*15%+Y40*10%+Z40*10%,0))</f>
        <v/>
      </c>
      <c r="AB40" s="52">
        <f>IF(AA40="","",IF(X40&lt;50,"Selective / Barrier",IF(AA40&gt;=80,"Tier 1 - Pursue",IF(AA40&gt;=70,"Tier 2 - Pursue",IF(AA40&gt;=60,"Tier 3 - Selective","Do Not Pursue")))))</f>
        <v/>
      </c>
      <c r="AC40" s="52">
        <f>IF(C40="","",IF(I40&lt;&gt;"","Named Contact",IF(AA40&gt;0,"Outreach Logged","Cold")))</f>
        <v/>
      </c>
      <c r="AD40" s="52">
        <f>IF(B40="","",COUNTIF('Outreach Log'!$C:$C,B40))</f>
        <v/>
      </c>
      <c r="AE40" s="52">
        <f>IF(A40="","",IF(OR(K40="Rejected",K40="Closed"),IF(L40&lt;&gt;"",L40-A40,TODAY()-A40),TODAY()-A40))</f>
        <v/>
      </c>
      <c r="AF40" s="52">
        <f>IF(C40="","",IF(AND(AA40&gt;=70,AC40="Cold"),"High-fit but cold",IF(AND(AA40&lt;60,K40="Applied"),"Low-fit application",IF(AND(AA40&gt;=70,OR(AC40="Named Contact",AC40="Outreach Logged")),"Targeted pursuit","Review"))))</f>
        <v/>
      </c>
    </row>
    <row r="41" ht="15" customHeight="1" s="44">
      <c r="A41" s="53" t="n">
        <v>45981</v>
      </c>
      <c r="B41" s="48" t="inlineStr">
        <is>
          <t>Upstart</t>
        </is>
      </c>
      <c r="C41" s="48" t="inlineStr">
        <is>
          <t>Senior Program Manager</t>
        </is>
      </c>
      <c r="D41" s="48" t="inlineStr">
        <is>
          <t>Senior</t>
        </is>
      </c>
      <c r="E41" s="48" t="inlineStr">
        <is>
          <t>US</t>
        </is>
      </c>
      <c r="F41" s="48" t="inlineStr">
        <is>
          <t>US-Remote</t>
        </is>
      </c>
      <c r="G41" s="48" t="n">
        <v>66</v>
      </c>
      <c r="H41" s="48" t="inlineStr">
        <is>
          <t>Cold Portal</t>
        </is>
      </c>
      <c r="I41" s="48" t="n"/>
      <c r="J41" s="48" t="inlineStr">
        <is>
          <t>Yes</t>
        </is>
      </c>
      <c r="K41" s="49" t="inlineStr">
        <is>
          <t>Rejected</t>
        </is>
      </c>
      <c r="L41" s="48" t="n"/>
      <c r="M41" s="48">
        <f>IF(OR(L40="",A40=""),"",L40-A40)</f>
        <v/>
      </c>
      <c r="N41" s="48" t="n"/>
      <c r="O41" s="48" t="n"/>
      <c r="P41" s="51" t="inlineStr">
        <is>
          <t>From Greenhouse portal: 'Applied 10 months ago'; date approximate | User confirmed rejected (Sep 20, 2026). | Servicing &amp; Enablement team at AI lending marketplace; owns programs across operational systems/governance, employee/vendor engagement, accelerator program leadership, or borrower success. 6-8+ years program management/ops/strategy, preferably fintech/financial services/customer ops. Good fit: strong program governance, playbook-building, and cross-functional stakeholder alignment overlap; deep servicing/collections/lending-compliance domain knowledge (preferred, not required) is the gap. Base salary $100,000-$182,000 USD.</t>
        </is>
      </c>
      <c r="Q41" s="48" t="n"/>
      <c r="R41" s="48" t="inlineStr">
        <is>
          <t>Good fit — servicing/lending domain depth is a preferred-not-required gap</t>
        </is>
      </c>
      <c r="S41" s="51" t="inlineStr">
        <is>
          <t>6-8+ yrs program mgmt/ops/strategy, fintech/financial services pref. Cross-functional Product/Eng/Risk/Compliance. Governance frameworks/playbooks. Servicing/collections domain a plus.</t>
        </is>
      </c>
      <c r="T41" s="52">
        <f>IF(G41="","",G41)</f>
        <v/>
      </c>
      <c r="U41" s="52">
        <f>IF(C41="","",IF(OR(ISNUMBER(SEARCH("Director",C41)),ISNUMBER(SEARCH("Lead",C41)),ISNUMBER(SEARCH("Senior",C41)),ISNUMBER(SEARCH("Sr.",C41))),90,IF(OR(ISNUMBER(SEARCH("Manager",C41)),ISNUMBER(SEARCH("Program",C41)),ISNUMBER(SEARCH("Portfolio",C41))),80,60)))</f>
        <v/>
      </c>
      <c r="V41" s="52">
        <f>IF(C41="","",IF(OR(ISNUMBER(SEARCH("AI",C41)),ISNUMBER(SEARCH("Data",C41)),ISNUMBER(SEARCH("Technology",C41)),ISNUMBER(SEARCH("Technical",C41)),ISNUMBER(SEARCH("Engineering",C41)),ISNUMBER(SEARCH("Platform",C41)),ISNUMBER(SEARCH("Portfolio",C41))),85,65))</f>
        <v/>
      </c>
      <c r="W41" s="52">
        <f>IF(C41="","",MIN(100,50+IF(S41&lt;&gt;"",25,0)+IF(R41&lt;&gt;"",15,0)+IF(P41&lt;&gt;"",10,0)))</f>
        <v/>
      </c>
      <c r="X41" s="52">
        <f>IF(E41="","",IF(OR(E41="Canada",E41="CA"),100,IF(OR(E41="United States",E41="USA",E41="US"),IF(J41="Yes",45,75),65)))</f>
        <v/>
      </c>
      <c r="Y41" s="52">
        <f>IF(C41="","",IF(OR(ISNUMBER(SEARCH("Program",C41)),ISNUMBER(SEARCH("Portfolio",C41)),ISNUMBER(SEARCH("Operations",C41)),ISNUMBER(SEARCH("Transformation",C41))),85,IF(ISNUMBER(SEARCH("Product Manager",C41)),55,70)))</f>
        <v/>
      </c>
      <c r="Z41" s="52">
        <f>IF(C41="","",MIN(100,IF(I41&lt;&gt;"",60,10)+IF(AA41&gt;0,MIN(40,AA41*20),0)))</f>
        <v/>
      </c>
      <c r="AA41" s="52">
        <f>IF(T41="","",ROUND(T41*25%+U41*15%+V41*10%+W41*15%+X41*15%+Y41*10%+Z41*10%,0))</f>
        <v/>
      </c>
      <c r="AB41" s="52">
        <f>IF(AA41="","",IF(X41&lt;50,"Selective / Barrier",IF(AA41&gt;=80,"Tier 1 - Pursue",IF(AA41&gt;=70,"Tier 2 - Pursue",IF(AA41&gt;=60,"Tier 3 - Selective","Do Not Pursue")))))</f>
        <v/>
      </c>
      <c r="AC41" s="52">
        <f>IF(C41="","",IF(I41&lt;&gt;"","Named Contact",IF(AA41&gt;0,"Outreach Logged","Cold")))</f>
        <v/>
      </c>
      <c r="AD41" s="52">
        <f>IF(B41="","",COUNTIF('Outreach Log'!$C:$C,B41))</f>
        <v/>
      </c>
      <c r="AE41" s="52">
        <f>IF(A41="","",IF(OR(K41="Rejected",K41="Closed"),IF(L41&lt;&gt;"",L41-A41,TODAY()-A41),TODAY()-A41))</f>
        <v/>
      </c>
      <c r="AF41" s="52">
        <f>IF(C41="","",IF(AND(AA41&gt;=70,AC41="Cold"),"High-fit but cold",IF(AND(AA41&lt;60,K41="Applied"),"Low-fit application",IF(AND(AA41&gt;=70,OR(AC41="Named Contact",AC41="Outreach Logged")),"Targeted pursuit","Review"))))</f>
        <v/>
      </c>
    </row>
    <row r="42" ht="15" customHeight="1" s="44">
      <c r="A42" s="53" t="n">
        <v>46011</v>
      </c>
      <c r="B42" s="48" t="inlineStr">
        <is>
          <t>Affirm</t>
        </is>
      </c>
      <c r="C42" s="48" t="inlineStr">
        <is>
          <t>Senior Technical Program Manager</t>
        </is>
      </c>
      <c r="D42" s="48" t="inlineStr">
        <is>
          <t>Senior</t>
        </is>
      </c>
      <c r="E42" s="48" t="inlineStr">
        <is>
          <t>Canada</t>
        </is>
      </c>
      <c r="F42" s="48" t="inlineStr">
        <is>
          <t>Remote Canada</t>
        </is>
      </c>
      <c r="G42" s="48" t="n">
        <v>67</v>
      </c>
      <c r="H42" s="48" t="inlineStr">
        <is>
          <t>Cold Portal</t>
        </is>
      </c>
      <c r="I42" s="48" t="n"/>
      <c r="J42" s="48" t="inlineStr">
        <is>
          <t>No</t>
        </is>
      </c>
      <c r="K42" s="49" t="inlineStr">
        <is>
          <t>Rejected</t>
        </is>
      </c>
      <c r="L42" s="48" t="n"/>
      <c r="M42" s="48">
        <f>IF(OR(L41="",A41=""),"",L41-A41)</f>
        <v/>
      </c>
      <c r="N42" s="48" t="n"/>
      <c r="O42" s="48" t="n"/>
      <c r="P42" s="51" t="inlineStr">
        <is>
          <t>From Greenhouse portal: 'Applied 9 months ago'; distinct from later 2026 Affirm applications already in tracker; date approximate | User confirmed: Inactive status in Greenhouse = Rejected. | Drives complex, multi-disciplinary technical programs for consumer product suite (BNPL platform); coordinates Engineering/Product/Design/Analytics through full program lifecycle. 5 years technical program management, CS/EE degree or equivalent, FinTech/Payments/Commerce a plus (not required). Good fit: strong stakeholder management and program lifecycle overlap; role expects technical architecture-level fluency which is a moderate gap versus portfolio-level technical exposure. Base pay CAD $125,000-$175,000.</t>
        </is>
      </c>
      <c r="Q42" s="48" t="n"/>
      <c r="R42" s="48" t="inlineStr">
        <is>
          <t>Good fit — technical architecture-level depth is a moderate gap</t>
        </is>
      </c>
      <c r="S42" s="51" t="inlineStr">
        <is>
          <t>5 yrs technical PM. CS/EE degree or equivalent. Architecture-level technical understanding. Distributed backend systems. FinTech/Payments a plus, not required.</t>
        </is>
      </c>
      <c r="T42" s="52">
        <f>IF(G42="","",G42)</f>
        <v/>
      </c>
      <c r="U42" s="52">
        <f>IF(C42="","",IF(OR(ISNUMBER(SEARCH("Director",C42)),ISNUMBER(SEARCH("Lead",C42)),ISNUMBER(SEARCH("Senior",C42)),ISNUMBER(SEARCH("Sr.",C42))),90,IF(OR(ISNUMBER(SEARCH("Manager",C42)),ISNUMBER(SEARCH("Program",C42)),ISNUMBER(SEARCH("Portfolio",C42))),80,60)))</f>
        <v/>
      </c>
      <c r="V42" s="52">
        <f>IF(C42="","",IF(OR(ISNUMBER(SEARCH("AI",C42)),ISNUMBER(SEARCH("Data",C42)),ISNUMBER(SEARCH("Technology",C42)),ISNUMBER(SEARCH("Technical",C42)),ISNUMBER(SEARCH("Engineering",C42)),ISNUMBER(SEARCH("Platform",C42)),ISNUMBER(SEARCH("Portfolio",C42))),85,65))</f>
        <v/>
      </c>
      <c r="W42" s="52">
        <f>IF(C42="","",MIN(100,50+IF(S42&lt;&gt;"",25,0)+IF(R42&lt;&gt;"",15,0)+IF(P42&lt;&gt;"",10,0)))</f>
        <v/>
      </c>
      <c r="X42" s="52">
        <f>IF(E42="","",IF(OR(E42="Canada",E42="CA"),100,IF(OR(E42="United States",E42="USA",E42="US"),IF(J42="Yes",45,75),65)))</f>
        <v/>
      </c>
      <c r="Y42" s="52">
        <f>IF(C42="","",IF(OR(ISNUMBER(SEARCH("Program",C42)),ISNUMBER(SEARCH("Portfolio",C42)),ISNUMBER(SEARCH("Operations",C42)),ISNUMBER(SEARCH("Transformation",C42))),85,IF(ISNUMBER(SEARCH("Product Manager",C42)),55,70)))</f>
        <v/>
      </c>
      <c r="Z42" s="52">
        <f>IF(C42="","",MIN(100,IF(I42&lt;&gt;"",60,10)+IF(AA42&gt;0,MIN(40,AA42*20),0)))</f>
        <v/>
      </c>
      <c r="AA42" s="52">
        <f>IF(T42="","",ROUND(T42*25%+U42*15%+V42*10%+W42*15%+X42*15%+Y42*10%+Z42*10%,0))</f>
        <v/>
      </c>
      <c r="AB42" s="52">
        <f>IF(AA42="","",IF(X42&lt;50,"Selective / Barrier",IF(AA42&gt;=80,"Tier 1 - Pursue",IF(AA42&gt;=70,"Tier 2 - Pursue",IF(AA42&gt;=60,"Tier 3 - Selective","Do Not Pursue")))))</f>
        <v/>
      </c>
      <c r="AC42" s="52">
        <f>IF(C42="","",IF(I42&lt;&gt;"","Named Contact",IF(AA42&gt;0,"Outreach Logged","Cold")))</f>
        <v/>
      </c>
      <c r="AD42" s="52">
        <f>IF(B42="","",COUNTIF('Outreach Log'!$C:$C,B42))</f>
        <v/>
      </c>
      <c r="AE42" s="52">
        <f>IF(A42="","",IF(OR(K42="Rejected",K42="Closed"),IF(L42&lt;&gt;"",L42-A42,TODAY()-A42),TODAY()-A42))</f>
        <v/>
      </c>
      <c r="AF42" s="52">
        <f>IF(C42="","",IF(AND(AA42&gt;=70,AC42="Cold"),"High-fit but cold",IF(AND(AA42&lt;60,K42="Applied"),"Low-fit application",IF(AND(AA42&gt;=70,OR(AC42="Named Contact",AC42="Outreach Logged")),"Targeted pursuit","Review"))))</f>
        <v/>
      </c>
    </row>
    <row r="43" ht="15" customHeight="1" s="44">
      <c r="A43" s="53" t="n">
        <v>46011</v>
      </c>
      <c r="B43" s="48" t="inlineStr">
        <is>
          <t>MongoDB</t>
        </is>
      </c>
      <c r="C43" s="48" t="inlineStr">
        <is>
          <t>Senior Customer Success Manager</t>
        </is>
      </c>
      <c r="D43" s="48" t="inlineStr">
        <is>
          <t>Senior</t>
        </is>
      </c>
      <c r="E43" s="48" t="inlineStr">
        <is>
          <t>Canada</t>
        </is>
      </c>
      <c r="F43" s="48" t="inlineStr">
        <is>
          <t>Toronto (Hybrid)</t>
        </is>
      </c>
      <c r="G43" s="48" t="n">
        <v>47</v>
      </c>
      <c r="H43" s="48" t="inlineStr">
        <is>
          <t>Cold Portal</t>
        </is>
      </c>
      <c r="I43" s="48" t="n"/>
      <c r="J43" s="48" t="inlineStr">
        <is>
          <t>No</t>
        </is>
      </c>
      <c r="K43" s="49" t="inlineStr">
        <is>
          <t>Rejected</t>
        </is>
      </c>
      <c r="L43" s="48" t="n"/>
      <c r="M43" s="48">
        <f>IF(OR(L42="",A42=""),"",L42-A42)</f>
        <v/>
      </c>
      <c r="N43" s="48" t="n"/>
      <c r="O43" s="48" t="n"/>
      <c r="P43" s="51" t="inlineStr">
        <is>
          <t>From Greenhouse portal: 'Applied 9 months ago'; title cut off in screenshot; date approximate | User confirmed rejected (Sep 20, 2026). | Strategic advisor/account owner for MongoDB's largest customers; portfolio ownership, executive business reviews, churn/growth forecasting, C-suite escalation management. 7+ years Customer Success/Account Management/Client Services. Low fit: this is a Customer Success/Account Management discipline role, not program/portfolio management — a different job family entirely despite similar seniority and stakeholder-management skills. Base salary $107,000-$148,000 CAD.</t>
        </is>
      </c>
      <c r="Q43" s="48" t="n"/>
      <c r="R43" s="48" t="inlineStr">
        <is>
          <t>Discipline mismatch (Customer Success/Account Management, not program management)</t>
        </is>
      </c>
      <c r="S43" s="51" t="inlineStr">
        <is>
          <t>7+ yrs Customer Success/Account Mgmt/Client Services. Portfolio ownership, executive business reviews. Churn/growth forecasting. Gainsight/Salesforce.com documentation.</t>
        </is>
      </c>
      <c r="T43" s="52">
        <f>IF(G43="","",G43)</f>
        <v/>
      </c>
      <c r="U43" s="52">
        <f>IF(C43="","",IF(OR(ISNUMBER(SEARCH("Director",C43)),ISNUMBER(SEARCH("Lead",C43)),ISNUMBER(SEARCH("Senior",C43)),ISNUMBER(SEARCH("Sr.",C43))),90,IF(OR(ISNUMBER(SEARCH("Manager",C43)),ISNUMBER(SEARCH("Program",C43)),ISNUMBER(SEARCH("Portfolio",C43))),80,60)))</f>
        <v/>
      </c>
      <c r="V43" s="52">
        <f>IF(C43="","",IF(OR(ISNUMBER(SEARCH("AI",C43)),ISNUMBER(SEARCH("Data",C43)),ISNUMBER(SEARCH("Technology",C43)),ISNUMBER(SEARCH("Technical",C43)),ISNUMBER(SEARCH("Engineering",C43)),ISNUMBER(SEARCH("Platform",C43)),ISNUMBER(SEARCH("Portfolio",C43))),85,65))</f>
        <v/>
      </c>
      <c r="W43" s="52">
        <f>IF(C43="","",MIN(100,50+IF(S43&lt;&gt;"",25,0)+IF(R43&lt;&gt;"",15,0)+IF(P43&lt;&gt;"",10,0)))</f>
        <v/>
      </c>
      <c r="X43" s="52">
        <f>IF(E43="","",IF(OR(E43="Canada",E43="CA"),100,IF(OR(E43="United States",E43="USA",E43="US"),IF(J43="Yes",45,75),65)))</f>
        <v/>
      </c>
      <c r="Y43" s="52">
        <f>IF(C43="","",IF(OR(ISNUMBER(SEARCH("Program",C43)),ISNUMBER(SEARCH("Portfolio",C43)),ISNUMBER(SEARCH("Operations",C43)),ISNUMBER(SEARCH("Transformation",C43))),85,IF(ISNUMBER(SEARCH("Product Manager",C43)),55,70)))</f>
        <v/>
      </c>
      <c r="Z43" s="52">
        <f>IF(C43="","",MIN(100,IF(I43&lt;&gt;"",60,10)+IF(AA43&gt;0,MIN(40,AA43*20),0)))</f>
        <v/>
      </c>
      <c r="AA43" s="52">
        <f>IF(T43="","",ROUND(T43*25%+U43*15%+V43*10%+W43*15%+X43*15%+Y43*10%+Z43*10%,0))</f>
        <v/>
      </c>
      <c r="AB43" s="52">
        <f>IF(AA43="","",IF(X43&lt;50,"Selective / Barrier",IF(AA43&gt;=80,"Tier 1 - Pursue",IF(AA43&gt;=70,"Tier 2 - Pursue",IF(AA43&gt;=60,"Tier 3 - Selective","Do Not Pursue")))))</f>
        <v/>
      </c>
      <c r="AC43" s="52">
        <f>IF(C43="","",IF(I43&lt;&gt;"","Named Contact",IF(AA43&gt;0,"Outreach Logged","Cold")))</f>
        <v/>
      </c>
      <c r="AD43" s="52">
        <f>IF(B43="","",COUNTIF('Outreach Log'!$C:$C,B43))</f>
        <v/>
      </c>
      <c r="AE43" s="52">
        <f>IF(A43="","",IF(OR(K43="Rejected",K43="Closed"),IF(L43&lt;&gt;"",L43-A43,TODAY()-A43),TODAY()-A43))</f>
        <v/>
      </c>
      <c r="AF43" s="52">
        <f>IF(C43="","",IF(AND(AA43&gt;=70,AC43="Cold"),"High-fit but cold",IF(AND(AA43&lt;60,K43="Applied"),"Low-fit application",IF(AND(AA43&gt;=70,OR(AC43="Named Contact",AC43="Outreach Logged")),"Targeted pursuit","Review"))))</f>
        <v/>
      </c>
    </row>
    <row r="44" ht="15" customHeight="1" s="44">
      <c r="A44" s="53" t="n">
        <v>46011</v>
      </c>
      <c r="B44" s="48" t="inlineStr">
        <is>
          <t>Charles River Associates</t>
        </is>
      </c>
      <c r="C44" s="48" t="inlineStr">
        <is>
          <t>Manager, Client Programs and Business Development</t>
        </is>
      </c>
      <c r="D44" s="48" t="inlineStr">
        <is>
          <t>Manager</t>
        </is>
      </c>
      <c r="E44" s="48" t="inlineStr">
        <is>
          <t>US/Canada</t>
        </is>
      </c>
      <c r="F44" s="48" t="inlineStr">
        <is>
          <t>Boston, MA / Chicago, IL / New York, NY / Toronto, ON</t>
        </is>
      </c>
      <c r="G44" s="48" t="n">
        <v>51</v>
      </c>
      <c r="H44" s="48" t="inlineStr">
        <is>
          <t>Cold Portal</t>
        </is>
      </c>
      <c r="I44" s="48" t="n"/>
      <c r="J44" s="48" t="inlineStr">
        <is>
          <t>Yes</t>
        </is>
      </c>
      <c r="K44" s="49" t="inlineStr">
        <is>
          <t>Rejected</t>
        </is>
      </c>
      <c r="L44" s="48" t="n"/>
      <c r="M44" s="48">
        <f>IF(OR(L43="",A43=""),"",L43-A43)</f>
        <v/>
      </c>
      <c r="N44" s="48" t="n"/>
      <c r="O44" s="48" t="n"/>
      <c r="P44" s="51" t="inlineStr">
        <is>
          <t>From Greenhouse portal: 'Applied 9 months ago'; title cut off in screenshot; date approximate | User confirmed rejected (Sep 20, 2026). | Sits within Marketing team at economic/financial consulting firm; drives revenue growth through cross-practice client relationship frameworks and business development coordination, reports to CMO. 5-8 years business development/client relationship/program management, preferably professional services. Low-moderate fit: role is Marketing/Business Development discipline (revenue-generation focused, CRM/whitespace analysis) rather than technical/enterprise program management — a different job family despite 'program management' in the requirements list. In-office 3-4 days/week.</t>
        </is>
      </c>
      <c r="Q44" s="48" t="n"/>
      <c r="R44" s="48" t="inlineStr">
        <is>
          <t>Discipline mismatch (Marketing/Business Development, not enterprise program management)</t>
        </is>
      </c>
      <c r="S44" s="51" t="inlineStr">
        <is>
          <t>5-8 yrs biz dev/client relationship mgmt/PM, professional services pref. CRM/BI tools. Whitespace analysis. Cross-practice coordination for revenue growth. Reports to CMO.</t>
        </is>
      </c>
      <c r="T44" s="52">
        <f>IF(G44="","",G44)</f>
        <v/>
      </c>
      <c r="U44" s="52">
        <f>IF(C44="","",IF(OR(ISNUMBER(SEARCH("Director",C44)),ISNUMBER(SEARCH("Lead",C44)),ISNUMBER(SEARCH("Senior",C44)),ISNUMBER(SEARCH("Sr.",C44))),90,IF(OR(ISNUMBER(SEARCH("Manager",C44)),ISNUMBER(SEARCH("Program",C44)),ISNUMBER(SEARCH("Portfolio",C44))),80,60)))</f>
        <v/>
      </c>
      <c r="V44" s="52">
        <f>IF(C44="","",IF(OR(ISNUMBER(SEARCH("AI",C44)),ISNUMBER(SEARCH("Data",C44)),ISNUMBER(SEARCH("Technology",C44)),ISNUMBER(SEARCH("Technical",C44)),ISNUMBER(SEARCH("Engineering",C44)),ISNUMBER(SEARCH("Platform",C44)),ISNUMBER(SEARCH("Portfolio",C44))),85,65))</f>
        <v/>
      </c>
      <c r="W44" s="52">
        <f>IF(C44="","",MIN(100,50+IF(S44&lt;&gt;"",25,0)+IF(R44&lt;&gt;"",15,0)+IF(P44&lt;&gt;"",10,0)))</f>
        <v/>
      </c>
      <c r="X44" s="52">
        <f>IF(E44="","",IF(OR(E44="Canada",E44="CA"),100,IF(OR(E44="United States",E44="USA",E44="US"),IF(J44="Yes",45,75),65)))</f>
        <v/>
      </c>
      <c r="Y44" s="52">
        <f>IF(C44="","",IF(OR(ISNUMBER(SEARCH("Program",C44)),ISNUMBER(SEARCH("Portfolio",C44)),ISNUMBER(SEARCH("Operations",C44)),ISNUMBER(SEARCH("Transformation",C44))),85,IF(ISNUMBER(SEARCH("Product Manager",C44)),55,70)))</f>
        <v/>
      </c>
      <c r="Z44" s="52">
        <f>IF(C44="","",MIN(100,IF(I44&lt;&gt;"",60,10)+IF(AA44&gt;0,MIN(40,AA44*20),0)))</f>
        <v/>
      </c>
      <c r="AA44" s="52">
        <f>IF(T44="","",ROUND(T44*25%+U44*15%+V44*10%+W44*15%+X44*15%+Y44*10%+Z44*10%,0))</f>
        <v/>
      </c>
      <c r="AB44" s="52">
        <f>IF(AA44="","",IF(X44&lt;50,"Selective / Barrier",IF(AA44&gt;=80,"Tier 1 - Pursue",IF(AA44&gt;=70,"Tier 2 - Pursue",IF(AA44&gt;=60,"Tier 3 - Selective","Do Not Pursue")))))</f>
        <v/>
      </c>
      <c r="AC44" s="52">
        <f>IF(C44="","",IF(I44&lt;&gt;"","Named Contact",IF(AA44&gt;0,"Outreach Logged","Cold")))</f>
        <v/>
      </c>
      <c r="AD44" s="52">
        <f>IF(B44="","",COUNTIF('Outreach Log'!$C:$C,B44))</f>
        <v/>
      </c>
      <c r="AE44" s="52">
        <f>IF(A44="","",IF(OR(K44="Rejected",K44="Closed"),IF(L44&lt;&gt;"",L44-A44,TODAY()-A44),TODAY()-A44))</f>
        <v/>
      </c>
      <c r="AF44" s="52">
        <f>IF(C44="","",IF(AND(AA44&gt;=70,AC44="Cold"),"High-fit but cold",IF(AND(AA44&lt;60,K44="Applied"),"Low-fit application",IF(AND(AA44&gt;=70,OR(AC44="Named Contact",AC44="Outreach Logged")),"Targeted pursuit","Review"))))</f>
        <v/>
      </c>
    </row>
    <row r="45" ht="15" customHeight="1" s="44">
      <c r="A45" s="53" t="n">
        <v>46011</v>
      </c>
      <c r="B45" s="48" t="inlineStr">
        <is>
          <t>Maven Clinic</t>
        </is>
      </c>
      <c r="C45" s="48" t="inlineStr">
        <is>
          <t>Client Delivery Manager (Technical)</t>
        </is>
      </c>
      <c r="D45" s="48" t="inlineStr">
        <is>
          <t>Mid-level</t>
        </is>
      </c>
      <c r="E45" s="48" t="inlineStr">
        <is>
          <t>US</t>
        </is>
      </c>
      <c r="F45" s="48" t="inlineStr">
        <is>
          <t>New York, NY / Remote</t>
        </is>
      </c>
      <c r="G45" s="48" t="n">
        <v>43</v>
      </c>
      <c r="H45" s="48" t="inlineStr">
        <is>
          <t>Cold Portal</t>
        </is>
      </c>
      <c r="I45" s="48" t="n"/>
      <c r="J45" s="48" t="inlineStr">
        <is>
          <t>Yes</t>
        </is>
      </c>
      <c r="K45" s="49" t="inlineStr">
        <is>
          <t>Rejected</t>
        </is>
      </c>
      <c r="L45" s="48" t="n"/>
      <c r="M45" s="48">
        <f>IF(OR(L44="",A44=""),"",L44-A44)</f>
        <v/>
      </c>
      <c r="N45" s="48" t="n"/>
      <c r="O45" s="48" t="n"/>
      <c r="P45" s="51" t="inlineStr">
        <is>
          <t>From Greenhouse portal: 'Applied 9 months ago'; title cut off in screenshot; date approximate | User confirmed rejected (Sep 20, 2026). | Client Delivery Team; leads client onboarding/implementation requirements sessions (data mapping, file-based integrations, SFTP), troubleshoots test accounts, coordinates product/engineering/ops teams. Only 3-5 years experience required — a mid-level implementation role. Low fit: seniority mismatch (overqualified, well below 20+ years experience) plus healthcare/health-plan domain specificity; role is more hands-on technical implementation/integrations coordinator than senior program/portfolio leadership. Base salary $123,000-$135,000 USD.</t>
        </is>
      </c>
      <c r="Q45" s="48" t="n"/>
      <c r="R45" s="48" t="inlineStr">
        <is>
          <t>Seniority mismatch (overqualified, mid-level role) + healthcare domain gap</t>
        </is>
      </c>
      <c r="S45" s="51" t="inlineStr">
        <is>
          <t>3-5 yrs integrations/ops/PM. Healthcare/health-plan ecosystem knowledge. Data mapping, SFTP, SQL/SSO/APIs a plus. Client-facing requirements gathering.</t>
        </is>
      </c>
      <c r="T45" s="52">
        <f>IF(G45="","",G45)</f>
        <v/>
      </c>
      <c r="U45" s="52">
        <f>IF(C45="","",IF(OR(ISNUMBER(SEARCH("Director",C45)),ISNUMBER(SEARCH("Lead",C45)),ISNUMBER(SEARCH("Senior",C45)),ISNUMBER(SEARCH("Sr.",C45))),90,IF(OR(ISNUMBER(SEARCH("Manager",C45)),ISNUMBER(SEARCH("Program",C45)),ISNUMBER(SEARCH("Portfolio",C45))),80,60)))</f>
        <v/>
      </c>
      <c r="V45" s="52">
        <f>IF(C45="","",IF(OR(ISNUMBER(SEARCH("AI",C45)),ISNUMBER(SEARCH("Data",C45)),ISNUMBER(SEARCH("Technology",C45)),ISNUMBER(SEARCH("Technical",C45)),ISNUMBER(SEARCH("Engineering",C45)),ISNUMBER(SEARCH("Platform",C45)),ISNUMBER(SEARCH("Portfolio",C45))),85,65))</f>
        <v/>
      </c>
      <c r="W45" s="52">
        <f>IF(C45="","",MIN(100,50+IF(S45&lt;&gt;"",25,0)+IF(R45&lt;&gt;"",15,0)+IF(P45&lt;&gt;"",10,0)))</f>
        <v/>
      </c>
      <c r="X45" s="52">
        <f>IF(E45="","",IF(OR(E45="Canada",E45="CA"),100,IF(OR(E45="United States",E45="USA",E45="US"),IF(J45="Yes",45,75),65)))</f>
        <v/>
      </c>
      <c r="Y45" s="52">
        <f>IF(C45="","",IF(OR(ISNUMBER(SEARCH("Program",C45)),ISNUMBER(SEARCH("Portfolio",C45)),ISNUMBER(SEARCH("Operations",C45)),ISNUMBER(SEARCH("Transformation",C45))),85,IF(ISNUMBER(SEARCH("Product Manager",C45)),55,70)))</f>
        <v/>
      </c>
      <c r="Z45" s="52">
        <f>IF(C45="","",MIN(100,IF(I45&lt;&gt;"",60,10)+IF(AA45&gt;0,MIN(40,AA45*20),0)))</f>
        <v/>
      </c>
      <c r="AA45" s="52">
        <f>IF(T45="","",ROUND(T45*25%+U45*15%+V45*10%+W45*15%+X45*15%+Y45*10%+Z45*10%,0))</f>
        <v/>
      </c>
      <c r="AB45" s="52">
        <f>IF(AA45="","",IF(X45&lt;50,"Selective / Barrier",IF(AA45&gt;=80,"Tier 1 - Pursue",IF(AA45&gt;=70,"Tier 2 - Pursue",IF(AA45&gt;=60,"Tier 3 - Selective","Do Not Pursue")))))</f>
        <v/>
      </c>
      <c r="AC45" s="52">
        <f>IF(C45="","",IF(I45&lt;&gt;"","Named Contact",IF(AA45&gt;0,"Outreach Logged","Cold")))</f>
        <v/>
      </c>
      <c r="AD45" s="52">
        <f>IF(B45="","",COUNTIF('Outreach Log'!$C:$C,B45))</f>
        <v/>
      </c>
      <c r="AE45" s="52">
        <f>IF(A45="","",IF(OR(K45="Rejected",K45="Closed"),IF(L45&lt;&gt;"",L45-A45,TODAY()-A45),TODAY()-A45))</f>
        <v/>
      </c>
      <c r="AF45" s="52">
        <f>IF(C45="","",IF(AND(AA45&gt;=70,AC45="Cold"),"High-fit but cold",IF(AND(AA45&lt;60,K45="Applied"),"Low-fit application",IF(AND(AA45&gt;=70,OR(AC45="Named Contact",AC45="Outreach Logged")),"Targeted pursuit","Review"))))</f>
        <v/>
      </c>
    </row>
    <row r="46" ht="15" customHeight="1" s="44">
      <c r="A46" s="53" t="n">
        <v>46040</v>
      </c>
      <c r="B46" s="48" t="inlineStr">
        <is>
          <t>Manulife</t>
        </is>
      </c>
      <c r="C46" s="48" t="inlineStr">
        <is>
          <t>Technical Product Owner - US Insurance Technology</t>
        </is>
      </c>
      <c r="D46" s="48" t="inlineStr">
        <is>
          <t>IC/Owner</t>
        </is>
      </c>
      <c r="E46" s="48" t="inlineStr">
        <is>
          <t>Canada</t>
        </is>
      </c>
      <c r="F46" s="48" t="inlineStr">
        <is>
          <t>Toronto</t>
        </is>
      </c>
      <c r="G46" s="48" t="n">
        <v>55</v>
      </c>
      <c r="H46" s="48" t="inlineStr">
        <is>
          <t>Cold Portal</t>
        </is>
      </c>
      <c r="I46" s="48" t="n"/>
      <c r="J46" s="48" t="inlineStr">
        <is>
          <t>No</t>
        </is>
      </c>
      <c r="K46" s="55" t="inlineStr">
        <is>
          <t>Applied</t>
        </is>
      </c>
      <c r="L46" s="48" t="n"/>
      <c r="M46" s="48">
        <f>IF(OR(L2="",A2=""),"",L2-A2)</f>
        <v/>
      </c>
      <c r="N46" s="48" t="n"/>
      <c r="O46" s="48" t="n"/>
      <c r="P46" s="51" t="inlineStr">
        <is>
          <t>Applied 2026-01-18 (Workday confirmation). No response found on file — likely Ghosted (30d+), but leaving as Applied since no explicit silence-tracking date was set at the time. Retroactively logged via full Manulife Gmail history review 2026-09-16 — was missing from tracker.</t>
        </is>
      </c>
      <c r="Q46" s="48" t="n"/>
      <c r="R46" s="48" t="n"/>
      <c r="S46" s="51" t="n"/>
      <c r="T46" s="52">
        <f>IF(G46="","",G46)</f>
        <v/>
      </c>
      <c r="U46" s="52">
        <f>IF(C46="","",IF(OR(ISNUMBER(SEARCH("Director",C46)),ISNUMBER(SEARCH("Lead",C46)),ISNUMBER(SEARCH("Senior",C46)),ISNUMBER(SEARCH("Sr.",C46))),90,IF(OR(ISNUMBER(SEARCH("Manager",C46)),ISNUMBER(SEARCH("Program",C46)),ISNUMBER(SEARCH("Portfolio",C46))),80,60)))</f>
        <v/>
      </c>
      <c r="V46" s="52">
        <f>IF(C46="","",IF(OR(ISNUMBER(SEARCH("AI",C46)),ISNUMBER(SEARCH("Data",C46)),ISNUMBER(SEARCH("Technology",C46)),ISNUMBER(SEARCH("Technical",C46)),ISNUMBER(SEARCH("Engineering",C46)),ISNUMBER(SEARCH("Platform",C46)),ISNUMBER(SEARCH("Portfolio",C46))),85,65))</f>
        <v/>
      </c>
      <c r="W46" s="52">
        <f>IF(C46="","",MIN(100,50+IF(S46&lt;&gt;"",25,0)+IF(R46&lt;&gt;"",15,0)+IF(P46&lt;&gt;"",10,0)))</f>
        <v/>
      </c>
      <c r="X46" s="52">
        <f>IF(E46="","",IF(OR(E46="Canada",E46="CA"),100,IF(OR(E46="United States",E46="USA",E46="US"),IF(J46="Yes",45,75),65)))</f>
        <v/>
      </c>
      <c r="Y46" s="52">
        <f>IF(C46="","",IF(OR(ISNUMBER(SEARCH("Program",C46)),ISNUMBER(SEARCH("Portfolio",C46)),ISNUMBER(SEARCH("Operations",C46)),ISNUMBER(SEARCH("Transformation",C46))),85,IF(ISNUMBER(SEARCH("Product Manager",C46)),55,70)))</f>
        <v/>
      </c>
      <c r="Z46" s="52">
        <f>IF(C46="","",MIN(100,IF(I46&lt;&gt;"",60,10)+IF(AA46&gt;0,MIN(40,AA46*20),0)))</f>
        <v/>
      </c>
      <c r="AA46" s="52">
        <f>IF(T46="","",ROUND(T46*25%+U46*15%+V46*10%+W46*15%+X46*15%+Y46*10%+Z46*10%,0))</f>
        <v/>
      </c>
      <c r="AB46" s="52">
        <f>IF(AA46="","",IF(X46&lt;50,"Selective / Barrier",IF(AA46&gt;=80,"Tier 1 - Pursue",IF(AA46&gt;=70,"Tier 2 - Pursue",IF(AA46&gt;=60,"Tier 3 - Selective","Do Not Pursue")))))</f>
        <v/>
      </c>
      <c r="AC46" s="52">
        <f>IF(C46="","",IF(I46&lt;&gt;"","Named Contact",IF(AA46&gt;0,"Outreach Logged","Cold")))</f>
        <v/>
      </c>
      <c r="AD46" s="52">
        <f>IF(B46="","",COUNTIF('Outreach Log'!$C:$C,B46))</f>
        <v/>
      </c>
      <c r="AE46" s="52">
        <f>IF(A46="","",IF(OR(K46="Rejected",K46="Closed"),IF(L46&lt;&gt;"",L46-A46,TODAY()-A46),TODAY()-A46))</f>
        <v/>
      </c>
      <c r="AF46" s="52">
        <f>IF(C46="","",IF(AND(AA46&gt;=70,AC46="Cold"),"High-fit but cold",IF(AND(AA46&lt;60,K46="Applied"),"Low-fit application",IF(AND(AA46&gt;=70,OR(AC46="Named Contact",AC46="Outreach Logged")),"Targeted pursuit","Review"))))</f>
        <v/>
      </c>
    </row>
    <row r="47" ht="15" customHeight="1" s="44">
      <c r="A47" s="53" t="n">
        <v>46041</v>
      </c>
      <c r="B47" s="48" t="inlineStr">
        <is>
          <t>Manulife</t>
        </is>
      </c>
      <c r="C47" s="48" t="inlineStr">
        <is>
          <t>Director, Global Technology Strategy</t>
        </is>
      </c>
      <c r="D47" s="48" t="inlineStr">
        <is>
          <t>Director</t>
        </is>
      </c>
      <c r="E47" s="48" t="inlineStr">
        <is>
          <t>Canada</t>
        </is>
      </c>
      <c r="F47" s="48" t="inlineStr">
        <is>
          <t>Toronto</t>
        </is>
      </c>
      <c r="G47" s="48" t="n">
        <v>78</v>
      </c>
      <c r="H47" s="48" t="inlineStr">
        <is>
          <t>Cold Portal</t>
        </is>
      </c>
      <c r="I47" s="48" t="n"/>
      <c r="J47" s="48" t="inlineStr">
        <is>
          <t>No</t>
        </is>
      </c>
      <c r="K47" s="49" t="inlineStr">
        <is>
          <t>Rejected</t>
        </is>
      </c>
      <c r="L47" s="50" t="n">
        <v>46076</v>
      </c>
      <c r="M47" s="48">
        <f>IF(OR(L3="",A3=""),"",L3-A3)</f>
        <v/>
      </c>
      <c r="N47" s="48" t="n"/>
      <c r="O47" s="48" t="n"/>
      <c r="P47" s="51" t="inlineStr">
        <is>
          <t>Applied 2026-01-19. REJECTED 2026-02-23: "decided to pursue other candidates whose experience more closely..." Retroactively logged via full Manulife Gmail history review 2026-09-16.</t>
        </is>
      </c>
      <c r="Q47" s="48" t="n"/>
      <c r="R47" s="48" t="n"/>
      <c r="S47" s="51" t="n"/>
      <c r="T47" s="52">
        <f>IF(G47="","",G47)</f>
        <v/>
      </c>
      <c r="U47" s="52">
        <f>IF(C47="","",IF(OR(ISNUMBER(SEARCH("Director",C47)),ISNUMBER(SEARCH("Lead",C47)),ISNUMBER(SEARCH("Senior",C47)),ISNUMBER(SEARCH("Sr.",C47))),90,IF(OR(ISNUMBER(SEARCH("Manager",C47)),ISNUMBER(SEARCH("Program",C47)),ISNUMBER(SEARCH("Portfolio",C47))),80,60)))</f>
        <v/>
      </c>
      <c r="V47" s="52">
        <f>IF(C47="","",IF(OR(ISNUMBER(SEARCH("AI",C47)),ISNUMBER(SEARCH("Data",C47)),ISNUMBER(SEARCH("Technology",C47)),ISNUMBER(SEARCH("Technical",C47)),ISNUMBER(SEARCH("Engineering",C47)),ISNUMBER(SEARCH("Platform",C47)),ISNUMBER(SEARCH("Portfolio",C47))),85,65))</f>
        <v/>
      </c>
      <c r="W47" s="52">
        <f>IF(C47="","",MIN(100,50+IF(S47&lt;&gt;"",25,0)+IF(R47&lt;&gt;"",15,0)+IF(P47&lt;&gt;"",10,0)))</f>
        <v/>
      </c>
      <c r="X47" s="52">
        <f>IF(E47="","",IF(OR(E47="Canada",E47="CA"),100,IF(OR(E47="United States",E47="USA",E47="US"),IF(J47="Yes",45,75),65)))</f>
        <v/>
      </c>
      <c r="Y47" s="52">
        <f>IF(C47="","",IF(OR(ISNUMBER(SEARCH("Program",C47)),ISNUMBER(SEARCH("Portfolio",C47)),ISNUMBER(SEARCH("Operations",C47)),ISNUMBER(SEARCH("Transformation",C47))),85,IF(ISNUMBER(SEARCH("Product Manager",C47)),55,70)))</f>
        <v/>
      </c>
      <c r="Z47" s="52">
        <f>IF(C47="","",MIN(100,IF(I47&lt;&gt;"",60,10)+IF(AA47&gt;0,MIN(40,AA47*20),0)))</f>
        <v/>
      </c>
      <c r="AA47" s="52">
        <f>IF(T47="","",ROUND(T47*25%+U47*15%+V47*10%+W47*15%+X47*15%+Y47*10%+Z47*10%,0))</f>
        <v/>
      </c>
      <c r="AB47" s="52">
        <f>IF(AA47="","",IF(X47&lt;50,"Selective / Barrier",IF(AA47&gt;=80,"Tier 1 - Pursue",IF(AA47&gt;=70,"Tier 2 - Pursue",IF(AA47&gt;=60,"Tier 3 - Selective","Do Not Pursue")))))</f>
        <v/>
      </c>
      <c r="AC47" s="52">
        <f>IF(C47="","",IF(I47&lt;&gt;"","Named Contact",IF(AA47&gt;0,"Outreach Logged","Cold")))</f>
        <v/>
      </c>
      <c r="AD47" s="52">
        <f>IF(B47="","",COUNTIF('Outreach Log'!$C:$C,B47))</f>
        <v/>
      </c>
      <c r="AE47" s="52">
        <f>IF(A47="","",IF(OR(K47="Rejected",K47="Closed"),IF(L47&lt;&gt;"",L47-A47,TODAY()-A47),TODAY()-A47))</f>
        <v/>
      </c>
      <c r="AF47" s="52">
        <f>IF(C47="","",IF(AND(AA47&gt;=70,AC47="Cold"),"High-fit but cold",IF(AND(AA47&lt;60,K47="Applied"),"Low-fit application",IF(AND(AA47&gt;=70,OR(AC47="Named Contact",AC47="Outreach Logged")),"Targeted pursuit","Review"))))</f>
        <v/>
      </c>
    </row>
    <row r="48" ht="15" customHeight="1" s="44">
      <c r="A48" s="53" t="n">
        <v>46041</v>
      </c>
      <c r="B48" s="48" t="inlineStr">
        <is>
          <t>TELUS</t>
        </is>
      </c>
      <c r="C48" s="48" t="inlineStr">
        <is>
          <t>Program Manager II (51946)</t>
        </is>
      </c>
      <c r="D48" s="48" t="inlineStr">
        <is>
          <t>Manager</t>
        </is>
      </c>
      <c r="E48" s="48" t="inlineStr">
        <is>
          <t>Canada</t>
        </is>
      </c>
      <c r="F48" s="48" t="inlineStr">
        <is>
          <t>Toronto</t>
        </is>
      </c>
      <c r="G48" s="48" t="n">
        <v>62</v>
      </c>
      <c r="H48" s="48" t="inlineStr">
        <is>
          <t>Cold Portal</t>
        </is>
      </c>
      <c r="I48" s="48" t="n"/>
      <c r="J48" s="48" t="inlineStr">
        <is>
          <t>No</t>
        </is>
      </c>
      <c r="K48" s="49" t="inlineStr">
        <is>
          <t>Rejected</t>
        </is>
      </c>
      <c r="L48" s="50" t="n">
        <v>46051</v>
      </c>
      <c r="M48" s="48">
        <f>IF(OR(L4="",A4=""),"",L4-A4)</f>
        <v/>
      </c>
      <c r="N48" s="48" t="n"/>
      <c r="O48" s="48" t="n"/>
      <c r="P48" s="51" t="inlineStr">
        <is>
          <t>Applied 2026-01-19 (confirmed via Workday confirmation email). REJECTED 2026-01-29: "after careful consideration... decided not to move forward." Retroactively logged 2026-09-18 — was missing from tracker entirely.</t>
        </is>
      </c>
      <c r="Q48" s="48" t="n"/>
      <c r="R48" s="48" t="n"/>
      <c r="S48" s="51" t="n"/>
      <c r="T48" s="52">
        <f>IF(G48="","",G48)</f>
        <v/>
      </c>
      <c r="U48" s="52">
        <f>IF(C48="","",IF(OR(ISNUMBER(SEARCH("Director",C48)),ISNUMBER(SEARCH("Lead",C48)),ISNUMBER(SEARCH("Senior",C48)),ISNUMBER(SEARCH("Sr.",C48))),90,IF(OR(ISNUMBER(SEARCH("Manager",C48)),ISNUMBER(SEARCH("Program",C48)),ISNUMBER(SEARCH("Portfolio",C48))),80,60)))</f>
        <v/>
      </c>
      <c r="V48" s="52">
        <f>IF(C48="","",IF(OR(ISNUMBER(SEARCH("AI",C48)),ISNUMBER(SEARCH("Data",C48)),ISNUMBER(SEARCH("Technology",C48)),ISNUMBER(SEARCH("Technical",C48)),ISNUMBER(SEARCH("Engineering",C48)),ISNUMBER(SEARCH("Platform",C48)),ISNUMBER(SEARCH("Portfolio",C48))),85,65))</f>
        <v/>
      </c>
      <c r="W48" s="52">
        <f>IF(C48="","",MIN(100,50+IF(S48&lt;&gt;"",25,0)+IF(R48&lt;&gt;"",15,0)+IF(P48&lt;&gt;"",10,0)))</f>
        <v/>
      </c>
      <c r="X48" s="52">
        <f>IF(E48="","",IF(OR(E48="Canada",E48="CA"),100,IF(OR(E48="United States",E48="USA",E48="US"),IF(J48="Yes",45,75),65)))</f>
        <v/>
      </c>
      <c r="Y48" s="52">
        <f>IF(C48="","",IF(OR(ISNUMBER(SEARCH("Program",C48)),ISNUMBER(SEARCH("Portfolio",C48)),ISNUMBER(SEARCH("Operations",C48)),ISNUMBER(SEARCH("Transformation",C48))),85,IF(ISNUMBER(SEARCH("Product Manager",C48)),55,70)))</f>
        <v/>
      </c>
      <c r="Z48" s="52">
        <f>IF(C48="","",MIN(100,IF(I48&lt;&gt;"",60,10)+IF(AA48&gt;0,MIN(40,AA48*20),0)))</f>
        <v/>
      </c>
      <c r="AA48" s="52">
        <f>IF(T48="","",ROUND(T48*25%+U48*15%+V48*10%+W48*15%+X48*15%+Y48*10%+Z48*10%,0))</f>
        <v/>
      </c>
      <c r="AB48" s="52">
        <f>IF(AA48="","",IF(X48&lt;50,"Selective / Barrier",IF(AA48&gt;=80,"Tier 1 - Pursue",IF(AA48&gt;=70,"Tier 2 - Pursue",IF(AA48&gt;=60,"Tier 3 - Selective","Do Not Pursue")))))</f>
        <v/>
      </c>
      <c r="AC48" s="52">
        <f>IF(C48="","",IF(I48&lt;&gt;"","Named Contact",IF(AA48&gt;0,"Outreach Logged","Cold")))</f>
        <v/>
      </c>
      <c r="AD48" s="52">
        <f>IF(B48="","",COUNTIF('Outreach Log'!$C:$C,B48))</f>
        <v/>
      </c>
      <c r="AE48" s="52">
        <f>IF(A48="","",IF(OR(K48="Rejected",K48="Closed"),IF(L48&lt;&gt;"",L48-A48,TODAY()-A48),TODAY()-A48))</f>
        <v/>
      </c>
      <c r="AF48" s="52">
        <f>IF(C48="","",IF(AND(AA48&gt;=70,AC48="Cold"),"High-fit but cold",IF(AND(AA48&lt;60,K48="Applied"),"Low-fit application",IF(AND(AA48&gt;=70,OR(AC48="Named Contact",AC48="Outreach Logged")),"Targeted pursuit","Review"))))</f>
        <v/>
      </c>
    </row>
    <row r="49" ht="15" customHeight="1" s="44">
      <c r="A49" s="53" t="n">
        <v>46042</v>
      </c>
      <c r="B49" s="48" t="inlineStr">
        <is>
          <t>Capco</t>
        </is>
      </c>
      <c r="C49" s="48" t="inlineStr">
        <is>
          <t>Senior Program Manager - Enterprise Data Transformation</t>
        </is>
      </c>
      <c r="D49" s="48" t="inlineStr">
        <is>
          <t>Senior</t>
        </is>
      </c>
      <c r="E49" s="48" t="inlineStr">
        <is>
          <t>Canada</t>
        </is>
      </c>
      <c r="F49" s="48" t="inlineStr">
        <is>
          <t>Toronto</t>
        </is>
      </c>
      <c r="G49" s="48" t="n">
        <v>68</v>
      </c>
      <c r="H49" s="48" t="inlineStr">
        <is>
          <t>Cold Portal</t>
        </is>
      </c>
      <c r="I49" s="48" t="n"/>
      <c r="J49" s="48" t="inlineStr">
        <is>
          <t>No</t>
        </is>
      </c>
      <c r="K49" s="49" t="inlineStr">
        <is>
          <t>Rejected</t>
        </is>
      </c>
      <c r="L49" s="48" t="n"/>
      <c r="M49" s="48">
        <f>IF(OR(L48="",A48=""),"",L48-A48)</f>
        <v/>
      </c>
      <c r="N49" s="48" t="n"/>
      <c r="O49" s="48" t="n"/>
      <c r="P49" s="51" t="inlineStr">
        <is>
          <t>Banking &amp; Payments, Permanent. Leads Enterprise Data Management (EDM) transformation: data governance, quality, metadata, lineage, reference/master data across multiple workstreams/vendors for Tier 1 financial institutions. Regulatory-driven (e.g. BCBS 239-type frameworks); senior stakeholder/steering committee engagement. From Greenhouse portal review; distinct from other Capco applications. Rejected.</t>
        </is>
      </c>
      <c r="Q49" s="48" t="n"/>
      <c r="R49" s="48" t="inlineStr">
        <is>
          <t>Industry mismatch (Banking/Payments domain)</t>
        </is>
      </c>
      <c r="S49" s="51" t="inlineStr">
        <is>
          <t>Enterprise Data Management (EDM): governance, quality, metadata, lineage, MDM. Multi-vendor delivery. Regulatory frameworks (BCBS 239). Senior stakeholder/steering committee.</t>
        </is>
      </c>
      <c r="T49" s="52">
        <f>IF(G49="","",G49)</f>
        <v/>
      </c>
      <c r="U49" s="52">
        <f>IF(C49="","",IF(OR(ISNUMBER(SEARCH("Director",C49)),ISNUMBER(SEARCH("Lead",C49)),ISNUMBER(SEARCH("Senior",C49)),ISNUMBER(SEARCH("Sr.",C49))),90,IF(OR(ISNUMBER(SEARCH("Manager",C49)),ISNUMBER(SEARCH("Program",C49)),ISNUMBER(SEARCH("Portfolio",C49))),80,60)))</f>
        <v/>
      </c>
      <c r="V49" s="52">
        <f>IF(C49="","",IF(OR(ISNUMBER(SEARCH("AI",C49)),ISNUMBER(SEARCH("Data",C49)),ISNUMBER(SEARCH("Technology",C49)),ISNUMBER(SEARCH("Technical",C49)),ISNUMBER(SEARCH("Engineering",C49)),ISNUMBER(SEARCH("Platform",C49)),ISNUMBER(SEARCH("Portfolio",C49))),85,65))</f>
        <v/>
      </c>
      <c r="W49" s="52">
        <f>IF(C49="","",MIN(100,50+IF(S49&lt;&gt;"",25,0)+IF(R49&lt;&gt;"",15,0)+IF(P49&lt;&gt;"",10,0)))</f>
        <v/>
      </c>
      <c r="X49" s="52">
        <f>IF(E49="","",IF(OR(E49="Canada",E49="CA"),100,IF(OR(E49="United States",E49="USA",E49="US"),IF(J49="Yes",45,75),65)))</f>
        <v/>
      </c>
      <c r="Y49" s="52">
        <f>IF(C49="","",IF(OR(ISNUMBER(SEARCH("Program",C49)),ISNUMBER(SEARCH("Portfolio",C49)),ISNUMBER(SEARCH("Operations",C49)),ISNUMBER(SEARCH("Transformation",C49))),85,IF(ISNUMBER(SEARCH("Product Manager",C49)),55,70)))</f>
        <v/>
      </c>
      <c r="Z49" s="52">
        <f>IF(C49="","",MIN(100,IF(I49&lt;&gt;"",60,10)+IF(AA49&gt;0,MIN(40,AA49*20),0)))</f>
        <v/>
      </c>
      <c r="AA49" s="52">
        <f>IF(T49="","",ROUND(T49*25%+U49*15%+V49*10%+W49*15%+X49*15%+Y49*10%+Z49*10%,0))</f>
        <v/>
      </c>
      <c r="AB49" s="52">
        <f>IF(AA49="","",IF(X49&lt;50,"Selective / Barrier",IF(AA49&gt;=80,"Tier 1 - Pursue",IF(AA49&gt;=70,"Tier 2 - Pursue",IF(AA49&gt;=60,"Tier 3 - Selective","Do Not Pursue")))))</f>
        <v/>
      </c>
      <c r="AC49" s="52">
        <f>IF(C49="","",IF(I49&lt;&gt;"","Named Contact",IF(AA49&gt;0,"Outreach Logged","Cold")))</f>
        <v/>
      </c>
      <c r="AD49" s="52">
        <f>IF(B49="","",COUNTIF('Outreach Log'!$C:$C,B49))</f>
        <v/>
      </c>
      <c r="AE49" s="52">
        <f>IF(A49="","",IF(OR(K49="Rejected",K49="Closed"),IF(L49&lt;&gt;"",L49-A49,TODAY()-A49),TODAY()-A49))</f>
        <v/>
      </c>
      <c r="AF49" s="52">
        <f>IF(C49="","",IF(AND(AA49&gt;=70,AC49="Cold"),"High-fit but cold",IF(AND(AA49&lt;60,K49="Applied"),"Low-fit application",IF(AND(AA49&gt;=70,OR(AC49="Named Contact",AC49="Outreach Logged")),"Targeted pursuit","Review"))))</f>
        <v/>
      </c>
    </row>
    <row r="50" ht="15" customHeight="1" s="44">
      <c r="A50" s="53" t="n">
        <v>46042</v>
      </c>
      <c r="B50" s="48" t="inlineStr">
        <is>
          <t>DeepMind</t>
        </is>
      </c>
      <c r="C50" s="48" t="inlineStr">
        <is>
          <t>Program Manager, GeminiApp Data Science</t>
        </is>
      </c>
      <c r="D50" s="48" t="inlineStr">
        <is>
          <t>Mid-level (4+ yrs)</t>
        </is>
      </c>
      <c r="E50" s="48" t="inlineStr">
        <is>
          <t>US</t>
        </is>
      </c>
      <c r="F50" s="48" t="inlineStr">
        <is>
          <t>New York City, NY</t>
        </is>
      </c>
      <c r="G50" s="48" t="n">
        <v>47</v>
      </c>
      <c r="H50" s="48" t="inlineStr">
        <is>
          <t>Cold Portal</t>
        </is>
      </c>
      <c r="I50" s="48" t="n"/>
      <c r="J50" s="48" t="inlineStr">
        <is>
          <t>Yes</t>
        </is>
      </c>
      <c r="K50" s="49" t="inlineStr">
        <is>
          <t>Rejected</t>
        </is>
      </c>
      <c r="L50" s="48" t="n"/>
      <c r="M50" s="48">
        <f>IF(OR(L49="",A49=""),"",L49-A49)</f>
        <v/>
      </c>
      <c r="N50" s="48" t="n"/>
      <c r="O50" s="48" t="n"/>
      <c r="P50" s="51" t="inlineStr">
        <is>
          <t>GeminiApp Data Science team operational lead: workflow efficiency, review cadence/governance, team culture building, onboarding, comms/branding support. Only 4 years PM experience required — a mid-level/junior operational coordinator role. Low-moderate fit: seniority mismatch (overqualified) rather than a skills gap — role level sits well below 20+ years senior portfolio experience. Base salary $126,000-$181,000 +bonus+equity.</t>
        </is>
      </c>
      <c r="Q50" s="48" t="n"/>
      <c r="R50" s="48" t="inlineStr">
        <is>
          <t>Seniority mismatch (junior/mid-level role, overqualified)</t>
        </is>
      </c>
      <c r="S50" s="51" t="inlineStr">
        <is>
          <t>BA/BS + 4 yrs PM/project mgmt. Agile fast-paced product environment. Highly organized, self-starter. MBA/data-science PM experience a plus.</t>
        </is>
      </c>
      <c r="T50" s="52">
        <f>IF(G50="","",G50)</f>
        <v/>
      </c>
      <c r="U50" s="52">
        <f>IF(C50="","",IF(OR(ISNUMBER(SEARCH("Director",C50)),ISNUMBER(SEARCH("Lead",C50)),ISNUMBER(SEARCH("Senior",C50)),ISNUMBER(SEARCH("Sr.",C50))),90,IF(OR(ISNUMBER(SEARCH("Manager",C50)),ISNUMBER(SEARCH("Program",C50)),ISNUMBER(SEARCH("Portfolio",C50))),80,60)))</f>
        <v/>
      </c>
      <c r="V50" s="52">
        <f>IF(C50="","",IF(OR(ISNUMBER(SEARCH("AI",C50)),ISNUMBER(SEARCH("Data",C50)),ISNUMBER(SEARCH("Technology",C50)),ISNUMBER(SEARCH("Technical",C50)),ISNUMBER(SEARCH("Engineering",C50)),ISNUMBER(SEARCH("Platform",C50)),ISNUMBER(SEARCH("Portfolio",C50))),85,65))</f>
        <v/>
      </c>
      <c r="W50" s="52">
        <f>IF(C50="","",MIN(100,50+IF(S50&lt;&gt;"",25,0)+IF(R50&lt;&gt;"",15,0)+IF(P50&lt;&gt;"",10,0)))</f>
        <v/>
      </c>
      <c r="X50" s="52">
        <f>IF(E50="","",IF(OR(E50="Canada",E50="CA"),100,IF(OR(E50="United States",E50="USA",E50="US"),IF(J50="Yes",45,75),65)))</f>
        <v/>
      </c>
      <c r="Y50" s="52">
        <f>IF(C50="","",IF(OR(ISNUMBER(SEARCH("Program",C50)),ISNUMBER(SEARCH("Portfolio",C50)),ISNUMBER(SEARCH("Operations",C50)),ISNUMBER(SEARCH("Transformation",C50))),85,IF(ISNUMBER(SEARCH("Product Manager",C50)),55,70)))</f>
        <v/>
      </c>
      <c r="Z50" s="52">
        <f>IF(C50="","",MIN(100,IF(I50&lt;&gt;"",60,10)+IF(AA50&gt;0,MIN(40,AA50*20),0)))</f>
        <v/>
      </c>
      <c r="AA50" s="52">
        <f>IF(T50="","",ROUND(T50*25%+U50*15%+V50*10%+W50*15%+X50*15%+Y50*10%+Z50*10%,0))</f>
        <v/>
      </c>
      <c r="AB50" s="52">
        <f>IF(AA50="","",IF(X50&lt;50,"Selective / Barrier",IF(AA50&gt;=80,"Tier 1 - Pursue",IF(AA50&gt;=70,"Tier 2 - Pursue",IF(AA50&gt;=60,"Tier 3 - Selective","Do Not Pursue")))))</f>
        <v/>
      </c>
      <c r="AC50" s="52">
        <f>IF(C50="","",IF(I50&lt;&gt;"","Named Contact",IF(AA50&gt;0,"Outreach Logged","Cold")))</f>
        <v/>
      </c>
      <c r="AD50" s="52">
        <f>IF(B50="","",COUNTIF('Outreach Log'!$C:$C,B50))</f>
        <v/>
      </c>
      <c r="AE50" s="52">
        <f>IF(A50="","",IF(OR(K50="Rejected",K50="Closed"),IF(L50&lt;&gt;"",L50-A50,TODAY()-A50),TODAY()-A50))</f>
        <v/>
      </c>
      <c r="AF50" s="52">
        <f>IF(C50="","",IF(AND(AA50&gt;=70,AC50="Cold"),"High-fit but cold",IF(AND(AA50&lt;60,K50="Applied"),"Low-fit application",IF(AND(AA50&gt;=70,OR(AC50="Named Contact",AC50="Outreach Logged")),"Targeted pursuit","Review"))))</f>
        <v/>
      </c>
    </row>
    <row r="51" ht="15" customHeight="1" s="44">
      <c r="A51" s="53" t="n">
        <v>46042</v>
      </c>
      <c r="B51" s="48" t="inlineStr">
        <is>
          <t>Capco</t>
        </is>
      </c>
      <c r="C51" s="48" t="inlineStr">
        <is>
          <t>Project Manager - Real Time Agent Assist</t>
        </is>
      </c>
      <c r="D51" s="48" t="inlineStr">
        <is>
          <t>Senior/Manager</t>
        </is>
      </c>
      <c r="E51" s="48" t="inlineStr">
        <is>
          <t>Canada</t>
        </is>
      </c>
      <c r="F51" s="48" t="inlineStr">
        <is>
          <t>Toronto</t>
        </is>
      </c>
      <c r="G51" s="48" t="n">
        <v>73</v>
      </c>
      <c r="H51" s="48" t="inlineStr">
        <is>
          <t>Cold Portal</t>
        </is>
      </c>
      <c r="I51" s="48" t="n"/>
      <c r="J51" s="48" t="inlineStr">
        <is>
          <t>No</t>
        </is>
      </c>
      <c r="K51" s="49" t="inlineStr">
        <is>
          <t>Rejected</t>
        </is>
      </c>
      <c r="L51" s="48" t="n"/>
      <c r="M51" s="48">
        <f>IF(OR(L50="",A50=""),"",L50-A50)</f>
        <v/>
      </c>
      <c r="N51" s="48" t="n"/>
      <c r="O51" s="48" t="n"/>
      <c r="P51" s="51" t="inlineStr">
        <is>
          <t>Technology &amp; Engineering, Permanent. Leads delivery of AI-powered Real Time Agent Assist capability (contact centre) from design through implementation, working with a third-party vendor; owns RAID log, financials/forecasting, and senior stakeholder engagement. Strong alignment with AI implementation and vendor-management background. From Greenhouse portal review; distinct from other Capco applications. Rejected.</t>
        </is>
      </c>
      <c r="Q51" s="48" t="n"/>
      <c r="R51" s="48" t="inlineStr">
        <is>
          <t>Good fit — AI/vendor management overlap strong</t>
        </is>
      </c>
      <c r="S51" s="51" t="inlineStr">
        <is>
          <t>AI-powered agent-assist delivery. RAID/financials ownership. Vendor management. Senior stakeholder engagement.</t>
        </is>
      </c>
      <c r="T51" s="52">
        <f>IF(G51="","",G51)</f>
        <v/>
      </c>
      <c r="U51" s="52">
        <f>IF(C51="","",IF(OR(ISNUMBER(SEARCH("Director",C51)),ISNUMBER(SEARCH("Lead",C51)),ISNUMBER(SEARCH("Senior",C51)),ISNUMBER(SEARCH("Sr.",C51))),90,IF(OR(ISNUMBER(SEARCH("Manager",C51)),ISNUMBER(SEARCH("Program",C51)),ISNUMBER(SEARCH("Portfolio",C51))),80,60)))</f>
        <v/>
      </c>
      <c r="V51" s="52">
        <f>IF(C51="","",IF(OR(ISNUMBER(SEARCH("AI",C51)),ISNUMBER(SEARCH("Data",C51)),ISNUMBER(SEARCH("Technology",C51)),ISNUMBER(SEARCH("Technical",C51)),ISNUMBER(SEARCH("Engineering",C51)),ISNUMBER(SEARCH("Platform",C51)),ISNUMBER(SEARCH("Portfolio",C51))),85,65))</f>
        <v/>
      </c>
      <c r="W51" s="52">
        <f>IF(C51="","",MIN(100,50+IF(S51&lt;&gt;"",25,0)+IF(R51&lt;&gt;"",15,0)+IF(P51&lt;&gt;"",10,0)))</f>
        <v/>
      </c>
      <c r="X51" s="52">
        <f>IF(E51="","",IF(OR(E51="Canada",E51="CA"),100,IF(OR(E51="United States",E51="USA",E51="US"),IF(J51="Yes",45,75),65)))</f>
        <v/>
      </c>
      <c r="Y51" s="52">
        <f>IF(C51="","",IF(OR(ISNUMBER(SEARCH("Program",C51)),ISNUMBER(SEARCH("Portfolio",C51)),ISNUMBER(SEARCH("Operations",C51)),ISNUMBER(SEARCH("Transformation",C51))),85,IF(ISNUMBER(SEARCH("Product Manager",C51)),55,70)))</f>
        <v/>
      </c>
      <c r="Z51" s="52">
        <f>IF(C51="","",MIN(100,IF(I51&lt;&gt;"",60,10)+IF(AA51&gt;0,MIN(40,AA51*20),0)))</f>
        <v/>
      </c>
      <c r="AA51" s="52">
        <f>IF(T51="","",ROUND(T51*25%+U51*15%+V51*10%+W51*15%+X51*15%+Y51*10%+Z51*10%,0))</f>
        <v/>
      </c>
      <c r="AB51" s="52">
        <f>IF(AA51="","",IF(X51&lt;50,"Selective / Barrier",IF(AA51&gt;=80,"Tier 1 - Pursue",IF(AA51&gt;=70,"Tier 2 - Pursue",IF(AA51&gt;=60,"Tier 3 - Selective","Do Not Pursue")))))</f>
        <v/>
      </c>
      <c r="AC51" s="52">
        <f>IF(C51="","",IF(I51&lt;&gt;"","Named Contact",IF(AA51&gt;0,"Outreach Logged","Cold")))</f>
        <v/>
      </c>
      <c r="AD51" s="52">
        <f>IF(B51="","",COUNTIF('Outreach Log'!$C:$C,B51))</f>
        <v/>
      </c>
      <c r="AE51" s="52">
        <f>IF(A51="","",IF(OR(K51="Rejected",K51="Closed"),IF(L51&lt;&gt;"",L51-A51,TODAY()-A51),TODAY()-A51))</f>
        <v/>
      </c>
      <c r="AF51" s="52">
        <f>IF(C51="","",IF(AND(AA51&gt;=70,AC51="Cold"),"High-fit but cold",IF(AND(AA51&lt;60,K51="Applied"),"Low-fit application",IF(AND(AA51&gt;=70,OR(AC51="Named Contact",AC51="Outreach Logged")),"Targeted pursuit","Review"))))</f>
        <v/>
      </c>
    </row>
    <row r="52" ht="15" customHeight="1" s="44">
      <c r="A52" s="53" t="n">
        <v>46042</v>
      </c>
      <c r="B52" s="48" t="inlineStr">
        <is>
          <t>Databricks</t>
        </is>
      </c>
      <c r="C52" s="48" t="inlineStr">
        <is>
          <t>Staff Project Manager, Professional Services</t>
        </is>
      </c>
      <c r="D52" s="48" t="inlineStr">
        <is>
          <t>Staff</t>
        </is>
      </c>
      <c r="E52" s="48" t="inlineStr">
        <is>
          <t>US</t>
        </is>
      </c>
      <c r="F52" s="48" t="inlineStr">
        <is>
          <t>Northeast US</t>
        </is>
      </c>
      <c r="G52" s="48" t="n">
        <v>71</v>
      </c>
      <c r="H52" s="48" t="inlineStr">
        <is>
          <t>Cold Portal</t>
        </is>
      </c>
      <c r="I52" s="48" t="n"/>
      <c r="J52" s="48" t="inlineStr">
        <is>
          <t>Yes</t>
        </is>
      </c>
      <c r="K52" s="49" t="inlineStr">
        <is>
          <t>Rejected</t>
        </is>
      </c>
      <c r="L52" s="48" t="n"/>
      <c r="M52" s="48">
        <f>IF(OR(L51="",A51=""),"",L51-A51)</f>
        <v/>
      </c>
      <c r="N52" s="48" t="n"/>
      <c r="O52" s="48" t="n"/>
      <c r="P52" s="51" t="inlineStr">
        <is>
          <t>From Greenhouse portal: 'Applied 8 months ago'; date approximate | User confirmed rejected/closed (Sep 20, 2026). | Field Engineering TPM; owns strategic programs bridging FE/Product/Engineering/Sales, field enablement scaling (ML/GenAI assets, solution accelerators), voice-of-field to product roadmap. 5+ years TPM in B2B SaaS/data/cloud. Good fit: strong cross-functional program ownership and stakeholder management overlap with data/AI portfolio background. Pay $102,800-$179,875 USD by zone.</t>
        </is>
      </c>
      <c r="Q52" s="48" t="n"/>
      <c r="R52" s="48" t="inlineStr">
        <is>
          <t>Good fit — cross-functional program ownership</t>
        </is>
      </c>
      <c r="S52" s="51" t="inlineStr">
        <is>
          <t>5+ yrs TPM in B2B SaaS/data/cloud. Field Engineering cross-functional coordination. Databricks/Spark hands-on a plus. GenAI/ML program experience a plus.</t>
        </is>
      </c>
      <c r="T52" s="52">
        <f>IF(G52="","",G52)</f>
        <v/>
      </c>
      <c r="U52" s="52">
        <f>IF(C52="","",IF(OR(ISNUMBER(SEARCH("Director",C52)),ISNUMBER(SEARCH("Lead",C52)),ISNUMBER(SEARCH("Senior",C52)),ISNUMBER(SEARCH("Sr.",C52))),90,IF(OR(ISNUMBER(SEARCH("Manager",C52)),ISNUMBER(SEARCH("Program",C52)),ISNUMBER(SEARCH("Portfolio",C52))),80,60)))</f>
        <v/>
      </c>
      <c r="V52" s="52">
        <f>IF(C52="","",IF(OR(ISNUMBER(SEARCH("AI",C52)),ISNUMBER(SEARCH("Data",C52)),ISNUMBER(SEARCH("Technology",C52)),ISNUMBER(SEARCH("Technical",C52)),ISNUMBER(SEARCH("Engineering",C52)),ISNUMBER(SEARCH("Platform",C52)),ISNUMBER(SEARCH("Portfolio",C52))),85,65))</f>
        <v/>
      </c>
      <c r="W52" s="52">
        <f>IF(C52="","",MIN(100,50+IF(S52&lt;&gt;"",25,0)+IF(R52&lt;&gt;"",15,0)+IF(P52&lt;&gt;"",10,0)))</f>
        <v/>
      </c>
      <c r="X52" s="52">
        <f>IF(E52="","",IF(OR(E52="Canada",E52="CA"),100,IF(OR(E52="United States",E52="USA",E52="US"),IF(J52="Yes",45,75),65)))</f>
        <v/>
      </c>
      <c r="Y52" s="52">
        <f>IF(C52="","",IF(OR(ISNUMBER(SEARCH("Program",C52)),ISNUMBER(SEARCH("Portfolio",C52)),ISNUMBER(SEARCH("Operations",C52)),ISNUMBER(SEARCH("Transformation",C52))),85,IF(ISNUMBER(SEARCH("Product Manager",C52)),55,70)))</f>
        <v/>
      </c>
      <c r="Z52" s="52">
        <f>IF(C52="","",MIN(100,IF(I52&lt;&gt;"",60,10)+IF(AA52&gt;0,MIN(40,AA52*20),0)))</f>
        <v/>
      </c>
      <c r="AA52" s="52">
        <f>IF(T52="","",ROUND(T52*25%+U52*15%+V52*10%+W52*15%+X52*15%+Y52*10%+Z52*10%,0))</f>
        <v/>
      </c>
      <c r="AB52" s="52">
        <f>IF(AA52="","",IF(X52&lt;50,"Selective / Barrier",IF(AA52&gt;=80,"Tier 1 - Pursue",IF(AA52&gt;=70,"Tier 2 - Pursue",IF(AA52&gt;=60,"Tier 3 - Selective","Do Not Pursue")))))</f>
        <v/>
      </c>
      <c r="AC52" s="52">
        <f>IF(C52="","",IF(I52&lt;&gt;"","Named Contact",IF(AA52&gt;0,"Outreach Logged","Cold")))</f>
        <v/>
      </c>
      <c r="AD52" s="52">
        <f>IF(B52="","",COUNTIF('Outreach Log'!$C:$C,B52))</f>
        <v/>
      </c>
      <c r="AE52" s="52">
        <f>IF(A52="","",IF(OR(K52="Rejected",K52="Closed"),IF(L52&lt;&gt;"",L52-A52,TODAY()-A52),TODAY()-A52))</f>
        <v/>
      </c>
      <c r="AF52" s="52">
        <f>IF(C52="","",IF(AND(AA52&gt;=70,AC52="Cold"),"High-fit but cold",IF(AND(AA52&lt;60,K52="Applied"),"Low-fit application",IF(AND(AA52&gt;=70,OR(AC52="Named Contact",AC52="Outreach Logged")),"Targeted pursuit","Review"))))</f>
        <v/>
      </c>
    </row>
    <row r="53" ht="15" customHeight="1" s="44">
      <c r="A53" s="53" t="n">
        <v>46056</v>
      </c>
      <c r="B53" s="48" t="inlineStr">
        <is>
          <t>McKesson</t>
        </is>
      </c>
      <c r="C53" s="48" t="inlineStr">
        <is>
          <t>Technical Program Manager – AI/ML Initiatives (JR0140444)</t>
        </is>
      </c>
      <c r="D53" s="48" t="inlineStr">
        <is>
          <t>Sr TPM</t>
        </is>
      </c>
      <c r="E53" s="48" t="inlineStr">
        <is>
          <t>Canada</t>
        </is>
      </c>
      <c r="F53" s="48" t="inlineStr">
        <is>
          <t>Mississauga, ON</t>
        </is>
      </c>
      <c r="G53" s="48" t="n">
        <v>80</v>
      </c>
      <c r="H53" s="48" t="inlineStr">
        <is>
          <t>Cold Portal</t>
        </is>
      </c>
      <c r="I53" s="48" t="n"/>
      <c r="J53" s="48" t="inlineStr">
        <is>
          <t>No</t>
        </is>
      </c>
      <c r="K53" s="49" t="inlineStr">
        <is>
          <t>Rejected</t>
        </is>
      </c>
      <c r="L53" s="50" t="n">
        <v>46095</v>
      </c>
      <c r="M53" s="48">
        <f>IF(OR(L5="",A5=""),"",L5-A5)</f>
        <v/>
      </c>
      <c r="N53" s="48" t="n"/>
      <c r="O53" s="48" t="n"/>
      <c r="P53" s="51" t="inlineStr">
        <is>
          <t>Applied 2026-02-03 (confirmed via Workday confirmation email). REJECTED 2026-03-14 (confirmed via Workday rejection email): "After careful consideration, we regret to inform you that you have not been selected for this position." Distinct from rows 136 and 242. Est. fit score: 80 — AI/ML Initiatives TPM title closely matches her Bell Data &amp; AI portfolio work; McKesson healthcare vertical already has a strong precedent (row 136, 88% fit).</t>
        </is>
      </c>
      <c r="Q53" s="48" t="n"/>
      <c r="R53" s="48" t="n"/>
      <c r="S53" s="51" t="n"/>
      <c r="T53" s="52">
        <f>IF(G53="","",G53)</f>
        <v/>
      </c>
      <c r="U53" s="52">
        <f>IF(C53="","",IF(OR(ISNUMBER(SEARCH("Director",C53)),ISNUMBER(SEARCH("Lead",C53)),ISNUMBER(SEARCH("Senior",C53)),ISNUMBER(SEARCH("Sr.",C53))),90,IF(OR(ISNUMBER(SEARCH("Manager",C53)),ISNUMBER(SEARCH("Program",C53)),ISNUMBER(SEARCH("Portfolio",C53))),80,60)))</f>
        <v/>
      </c>
      <c r="V53" s="52">
        <f>IF(C53="","",IF(OR(ISNUMBER(SEARCH("AI",C53)),ISNUMBER(SEARCH("Data",C53)),ISNUMBER(SEARCH("Technology",C53)),ISNUMBER(SEARCH("Technical",C53)),ISNUMBER(SEARCH("Engineering",C53)),ISNUMBER(SEARCH("Platform",C53)),ISNUMBER(SEARCH("Portfolio",C53))),85,65))</f>
        <v/>
      </c>
      <c r="W53" s="52">
        <f>IF(C53="","",MIN(100,50+IF(S53&lt;&gt;"",25,0)+IF(R53&lt;&gt;"",15,0)+IF(P53&lt;&gt;"",10,0)))</f>
        <v/>
      </c>
      <c r="X53" s="52">
        <f>IF(E53="","",IF(OR(E53="Canada",E53="CA"),100,IF(OR(E53="United States",E53="USA",E53="US"),IF(J53="Yes",45,75),65)))</f>
        <v/>
      </c>
      <c r="Y53" s="52">
        <f>IF(C53="","",IF(OR(ISNUMBER(SEARCH("Program",C53)),ISNUMBER(SEARCH("Portfolio",C53)),ISNUMBER(SEARCH("Operations",C53)),ISNUMBER(SEARCH("Transformation",C53))),85,IF(ISNUMBER(SEARCH("Product Manager",C53)),55,70)))</f>
        <v/>
      </c>
      <c r="Z53" s="52">
        <f>IF(C53="","",MIN(100,IF(I53&lt;&gt;"",60,10)+IF(AA53&gt;0,MIN(40,AA53*20),0)))</f>
        <v/>
      </c>
      <c r="AA53" s="52">
        <f>IF(T53="","",ROUND(T53*25%+U53*15%+V53*10%+W53*15%+X53*15%+Y53*10%+Z53*10%,0))</f>
        <v/>
      </c>
      <c r="AB53" s="52">
        <f>IF(AA53="","",IF(X53&lt;50,"Selective / Barrier",IF(AA53&gt;=80,"Tier 1 - Pursue",IF(AA53&gt;=70,"Tier 2 - Pursue",IF(AA53&gt;=60,"Tier 3 - Selective","Do Not Pursue")))))</f>
        <v/>
      </c>
      <c r="AC53" s="52">
        <f>IF(C53="","",IF(I53&lt;&gt;"","Named Contact",IF(AA53&gt;0,"Outreach Logged","Cold")))</f>
        <v/>
      </c>
      <c r="AD53" s="52">
        <f>IF(B53="","",COUNTIF('Outreach Log'!$C:$C,B53))</f>
        <v/>
      </c>
      <c r="AE53" s="52">
        <f>IF(A53="","",IF(OR(K53="Rejected",K53="Closed"),IF(L53&lt;&gt;"",L53-A53,TODAY()-A53),TODAY()-A53))</f>
        <v/>
      </c>
      <c r="AF53" s="52">
        <f>IF(C53="","",IF(AND(AA53&gt;=70,AC53="Cold"),"High-fit but cold",IF(AND(AA53&lt;60,K53="Applied"),"Low-fit application",IF(AND(AA53&gt;=70,OR(AC53="Named Contact",AC53="Outreach Logged")),"Targeted pursuit","Review"))))</f>
        <v/>
      </c>
    </row>
    <row r="54" ht="15" customHeight="1" s="44">
      <c r="A54" s="53" t="n">
        <v>46056</v>
      </c>
      <c r="B54" s="48" t="inlineStr">
        <is>
          <t>Uber</t>
        </is>
      </c>
      <c r="C54" s="48" t="inlineStr">
        <is>
          <t>Senior Program Manager, Governance Strategy &amp; Engagement</t>
        </is>
      </c>
      <c r="D54" s="48" t="inlineStr">
        <is>
          <t>Senior</t>
        </is>
      </c>
      <c r="E54" s="48" t="inlineStr">
        <is>
          <t>US</t>
        </is>
      </c>
      <c r="F54" s="48" t="inlineStr">
        <is>
          <t>New York City, NY</t>
        </is>
      </c>
      <c r="G54" s="48" t="n">
        <v>65</v>
      </c>
      <c r="H54" s="48" t="inlineStr">
        <is>
          <t>Cold Portal</t>
        </is>
      </c>
      <c r="I54" s="48" t="n"/>
      <c r="J54" s="48" t="inlineStr">
        <is>
          <t>Yes</t>
        </is>
      </c>
      <c r="K54" s="49" t="inlineStr">
        <is>
          <t>Rejected</t>
        </is>
      </c>
      <c r="L54" s="48" t="n"/>
      <c r="M54" s="48">
        <f>IF(OR(L6="",A6=""),"",L6-A6)</f>
        <v/>
      </c>
      <c r="N54" s="48" t="n"/>
      <c r="O54" s="48" t="n"/>
      <c r="P54" s="51" t="inlineStr">
        <is>
          <t>Applied 2026-02-03, per Uber Oracle Cloud candidate portal (Status: Not Selected). Retroactively logged 2026-09-16 — was missing from tracker entirely. Est. fit score: 65 — governance/strategy program work matches her intake-governance and delivery-cadence track record.</t>
        </is>
      </c>
      <c r="Q54" s="48" t="n"/>
      <c r="R54" s="48" t="n"/>
      <c r="S54" s="51" t="n"/>
      <c r="T54" s="52">
        <f>IF(G54="","",G54)</f>
        <v/>
      </c>
      <c r="U54" s="52">
        <f>IF(C54="","",IF(OR(ISNUMBER(SEARCH("Director",C54)),ISNUMBER(SEARCH("Lead",C54)),ISNUMBER(SEARCH("Senior",C54)),ISNUMBER(SEARCH("Sr.",C54))),90,IF(OR(ISNUMBER(SEARCH("Manager",C54)),ISNUMBER(SEARCH("Program",C54)),ISNUMBER(SEARCH("Portfolio",C54))),80,60)))</f>
        <v/>
      </c>
      <c r="V54" s="52">
        <f>IF(C54="","",IF(OR(ISNUMBER(SEARCH("AI",C54)),ISNUMBER(SEARCH("Data",C54)),ISNUMBER(SEARCH("Technology",C54)),ISNUMBER(SEARCH("Technical",C54)),ISNUMBER(SEARCH("Engineering",C54)),ISNUMBER(SEARCH("Platform",C54)),ISNUMBER(SEARCH("Portfolio",C54))),85,65))</f>
        <v/>
      </c>
      <c r="W54" s="52">
        <f>IF(C54="","",MIN(100,50+IF(S54&lt;&gt;"",25,0)+IF(R54&lt;&gt;"",15,0)+IF(P54&lt;&gt;"",10,0)))</f>
        <v/>
      </c>
      <c r="X54" s="52">
        <f>IF(E54="","",IF(OR(E54="Canada",E54="CA"),100,IF(OR(E54="United States",E54="USA",E54="US"),IF(J54="Yes",45,75),65)))</f>
        <v/>
      </c>
      <c r="Y54" s="52">
        <f>IF(C54="","",IF(OR(ISNUMBER(SEARCH("Program",C54)),ISNUMBER(SEARCH("Portfolio",C54)),ISNUMBER(SEARCH("Operations",C54)),ISNUMBER(SEARCH("Transformation",C54))),85,IF(ISNUMBER(SEARCH("Product Manager",C54)),55,70)))</f>
        <v/>
      </c>
      <c r="Z54" s="52">
        <f>IF(C54="","",MIN(100,IF(I54&lt;&gt;"",60,10)+IF(AA54&gt;0,MIN(40,AA54*20),0)))</f>
        <v/>
      </c>
      <c r="AA54" s="52">
        <f>IF(T54="","",ROUND(T54*25%+U54*15%+V54*10%+W54*15%+X54*15%+Y54*10%+Z54*10%,0))</f>
        <v/>
      </c>
      <c r="AB54" s="52">
        <f>IF(AA54="","",IF(X54&lt;50,"Selective / Barrier",IF(AA54&gt;=80,"Tier 1 - Pursue",IF(AA54&gt;=70,"Tier 2 - Pursue",IF(AA54&gt;=60,"Tier 3 - Selective","Do Not Pursue")))))</f>
        <v/>
      </c>
      <c r="AC54" s="52">
        <f>IF(C54="","",IF(I54&lt;&gt;"","Named Contact",IF(AA54&gt;0,"Outreach Logged","Cold")))</f>
        <v/>
      </c>
      <c r="AD54" s="52">
        <f>IF(B54="","",COUNTIF('Outreach Log'!$C:$C,B54))</f>
        <v/>
      </c>
      <c r="AE54" s="52">
        <f>IF(A54="","",IF(OR(K54="Rejected",K54="Closed"),IF(L54&lt;&gt;"",L54-A54,TODAY()-A54),TODAY()-A54))</f>
        <v/>
      </c>
      <c r="AF54" s="52">
        <f>IF(C54="","",IF(AND(AA54&gt;=70,AC54="Cold"),"High-fit but cold",IF(AND(AA54&lt;60,K54="Applied"),"Low-fit application",IF(AND(AA54&gt;=70,OR(AC54="Named Contact",AC54="Outreach Logged")),"Targeted pursuit","Review"))))</f>
        <v/>
      </c>
    </row>
    <row r="55" ht="15" customHeight="1" s="44">
      <c r="A55" s="53" t="n">
        <v>46057</v>
      </c>
      <c r="B55" s="48" t="inlineStr">
        <is>
          <t>AMD</t>
        </is>
      </c>
      <c r="C55" s="48" t="inlineStr">
        <is>
          <t>Senior Program Manager</t>
        </is>
      </c>
      <c r="D55" s="48" t="inlineStr">
        <is>
          <t>Senior</t>
        </is>
      </c>
      <c r="E55" s="48" t="inlineStr">
        <is>
          <t>US</t>
        </is>
      </c>
      <c r="F55" s="48" t="inlineStr">
        <is>
          <t>Unconfirmed</t>
        </is>
      </c>
      <c r="G55" s="48" t="n"/>
      <c r="H55" s="48" t="inlineStr">
        <is>
          <t>Cold Portal (iCIMS)</t>
        </is>
      </c>
      <c r="I55" s="48" t="n"/>
      <c r="J55" s="48" t="inlineStr">
        <is>
          <t>Yes</t>
        </is>
      </c>
      <c r="K55" s="55" t="inlineStr">
        <is>
          <t>Applied</t>
        </is>
      </c>
      <c r="L55" s="48" t="n"/>
      <c r="M55" s="48">
        <f>IF(OR(L7="",A7=""),"",L7-A7)</f>
        <v/>
      </c>
      <c r="N55" s="48" t="n"/>
      <c r="O55" s="48" t="n"/>
      <c r="P55" s="51" t="inlineStr">
        <is>
          <t>Applied 2026-02-04 (confirmation email). No response found on file — status may be stale/ghosted; not shown in AMD candidate portal screenshot (2026-09-13), which may mean portal view was incomplete or truncated. Retroactively logged via Gmail review 2026-09-13.</t>
        </is>
      </c>
      <c r="Q55" s="48" t="n"/>
      <c r="R55" s="48" t="n"/>
      <c r="S55" s="51" t="n"/>
      <c r="T55" s="52">
        <f>IF(G55="","",G55)</f>
        <v/>
      </c>
      <c r="U55" s="52">
        <f>IF(C55="","",IF(OR(ISNUMBER(SEARCH("Director",C55)),ISNUMBER(SEARCH("Lead",C55)),ISNUMBER(SEARCH("Senior",C55)),ISNUMBER(SEARCH("Sr.",C55))),90,IF(OR(ISNUMBER(SEARCH("Manager",C55)),ISNUMBER(SEARCH("Program",C55)),ISNUMBER(SEARCH("Portfolio",C55))),80,60)))</f>
        <v/>
      </c>
      <c r="V55" s="52">
        <f>IF(C55="","",IF(OR(ISNUMBER(SEARCH("AI",C55)),ISNUMBER(SEARCH("Data",C55)),ISNUMBER(SEARCH("Technology",C55)),ISNUMBER(SEARCH("Technical",C55)),ISNUMBER(SEARCH("Engineering",C55)),ISNUMBER(SEARCH("Platform",C55)),ISNUMBER(SEARCH("Portfolio",C55))),85,65))</f>
        <v/>
      </c>
      <c r="W55" s="52">
        <f>IF(C55="","",MIN(100,50+IF(S55&lt;&gt;"",25,0)+IF(R55&lt;&gt;"",15,0)+IF(P55&lt;&gt;"",10,0)))</f>
        <v/>
      </c>
      <c r="X55" s="52">
        <f>IF(E55="","",IF(OR(E55="Canada",E55="CA"),100,IF(OR(E55="United States",E55="USA",E55="US"),IF(J55="Yes",45,75),65)))</f>
        <v/>
      </c>
      <c r="Y55" s="52">
        <f>IF(C55="","",IF(OR(ISNUMBER(SEARCH("Program",C55)),ISNUMBER(SEARCH("Portfolio",C55)),ISNUMBER(SEARCH("Operations",C55)),ISNUMBER(SEARCH("Transformation",C55))),85,IF(ISNUMBER(SEARCH("Product Manager",C55)),55,70)))</f>
        <v/>
      </c>
      <c r="Z55" s="52">
        <f>IF(C55="","",MIN(100,IF(I55&lt;&gt;"",60,10)+IF(AA55&gt;0,MIN(40,AA55*20),0)))</f>
        <v/>
      </c>
      <c r="AA55" s="52">
        <f>IF(T55="","",ROUND(T55*25%+U55*15%+V55*10%+W55*15%+X55*15%+Y55*10%+Z55*10%,0))</f>
        <v/>
      </c>
      <c r="AB55" s="52">
        <f>IF(AA55="","",IF(X55&lt;50,"Selective / Barrier",IF(AA55&gt;=80,"Tier 1 - Pursue",IF(AA55&gt;=70,"Tier 2 - Pursue",IF(AA55&gt;=60,"Tier 3 - Selective","Do Not Pursue")))))</f>
        <v/>
      </c>
      <c r="AC55" s="52">
        <f>IF(C55="","",IF(I55&lt;&gt;"","Named Contact",IF(AA55&gt;0,"Outreach Logged","Cold")))</f>
        <v/>
      </c>
      <c r="AD55" s="52">
        <f>IF(B55="","",COUNTIF('Outreach Log'!$C:$C,B55))</f>
        <v/>
      </c>
      <c r="AE55" s="52">
        <f>IF(A55="","",IF(OR(K55="Rejected",K55="Closed"),IF(L55&lt;&gt;"",L55-A55,TODAY()-A55),TODAY()-A55))</f>
        <v/>
      </c>
      <c r="AF55" s="52">
        <f>IF(C55="","",IF(AND(AA55&gt;=70,AC55="Cold"),"High-fit but cold",IF(AND(AA55&lt;60,K55="Applied"),"Low-fit application",IF(AND(AA55&gt;=70,OR(AC55="Named Contact",AC55="Outreach Logged")),"Targeted pursuit","Review"))))</f>
        <v/>
      </c>
    </row>
    <row r="56" ht="15" customHeight="1" s="44">
      <c r="A56" s="53" t="n">
        <v>46058</v>
      </c>
      <c r="B56" s="48" t="inlineStr">
        <is>
          <t>eBay</t>
        </is>
      </c>
      <c r="C56" s="48" t="inlineStr">
        <is>
          <t>Dir., Insights Strat. &amp; Transformation</t>
        </is>
      </c>
      <c r="D56" s="48" t="inlineStr">
        <is>
          <t>Director</t>
        </is>
      </c>
      <c r="E56" s="48" t="inlineStr">
        <is>
          <t>Canada</t>
        </is>
      </c>
      <c r="F56" s="48" t="inlineStr">
        <is>
          <t>Toronto</t>
        </is>
      </c>
      <c r="G56" s="48" t="n"/>
      <c r="H56" s="48" t="inlineStr">
        <is>
          <t>Cold Portal</t>
        </is>
      </c>
      <c r="I56" s="48" t="n"/>
      <c r="J56" s="48" t="inlineStr">
        <is>
          <t>No</t>
        </is>
      </c>
      <c r="K56" s="49" t="inlineStr">
        <is>
          <t>Rejected</t>
        </is>
      </c>
      <c r="L56" s="50" t="n">
        <v>46066</v>
      </c>
      <c r="M56" s="48">
        <f>IF(OR(L8="",A8=""),"",L8-A8)</f>
        <v/>
      </c>
      <c r="N56" s="48" t="n"/>
      <c r="O56" s="48" t="n"/>
      <c r="P56" s="51" t="inlineStr">
        <is>
          <t>Applied 2026-02-05 (confirmation email). REJECTED 2026-02-13: eBay — "recruiting priorities have changed, no longer hiring for this role." Retroactively logged 2026-09-12.</t>
        </is>
      </c>
      <c r="Q56" s="48" t="n"/>
      <c r="R56" s="48" t="n"/>
      <c r="S56" s="51" t="n"/>
      <c r="T56" s="52">
        <f>IF(G56="","",G56)</f>
        <v/>
      </c>
      <c r="U56" s="52">
        <f>IF(C56="","",IF(OR(ISNUMBER(SEARCH("Director",C56)),ISNUMBER(SEARCH("Lead",C56)),ISNUMBER(SEARCH("Senior",C56)),ISNUMBER(SEARCH("Sr.",C56))),90,IF(OR(ISNUMBER(SEARCH("Manager",C56)),ISNUMBER(SEARCH("Program",C56)),ISNUMBER(SEARCH("Portfolio",C56))),80,60)))</f>
        <v/>
      </c>
      <c r="V56" s="52">
        <f>IF(C56="","",IF(OR(ISNUMBER(SEARCH("AI",C56)),ISNUMBER(SEARCH("Data",C56)),ISNUMBER(SEARCH("Technology",C56)),ISNUMBER(SEARCH("Technical",C56)),ISNUMBER(SEARCH("Engineering",C56)),ISNUMBER(SEARCH("Platform",C56)),ISNUMBER(SEARCH("Portfolio",C56))),85,65))</f>
        <v/>
      </c>
      <c r="W56" s="52">
        <f>IF(C56="","",MIN(100,50+IF(S56&lt;&gt;"",25,0)+IF(R56&lt;&gt;"",15,0)+IF(P56&lt;&gt;"",10,0)))</f>
        <v/>
      </c>
      <c r="X56" s="52">
        <f>IF(E56="","",IF(OR(E56="Canada",E56="CA"),100,IF(OR(E56="United States",E56="USA",E56="US"),IF(J56="Yes",45,75),65)))</f>
        <v/>
      </c>
      <c r="Y56" s="52">
        <f>IF(C56="","",IF(OR(ISNUMBER(SEARCH("Program",C56)),ISNUMBER(SEARCH("Portfolio",C56)),ISNUMBER(SEARCH("Operations",C56)),ISNUMBER(SEARCH("Transformation",C56))),85,IF(ISNUMBER(SEARCH("Product Manager",C56)),55,70)))</f>
        <v/>
      </c>
      <c r="Z56" s="52">
        <f>IF(C56="","",MIN(100,IF(I56&lt;&gt;"",60,10)+IF(AA56&gt;0,MIN(40,AA56*20),0)))</f>
        <v/>
      </c>
      <c r="AA56" s="52">
        <f>IF(T56="","",ROUND(T56*25%+U56*15%+V56*10%+W56*15%+X56*15%+Y56*10%+Z56*10%,0))</f>
        <v/>
      </c>
      <c r="AB56" s="52">
        <f>IF(AA56="","",IF(X56&lt;50,"Selective / Barrier",IF(AA56&gt;=80,"Tier 1 - Pursue",IF(AA56&gt;=70,"Tier 2 - Pursue",IF(AA56&gt;=60,"Tier 3 - Selective","Do Not Pursue")))))</f>
        <v/>
      </c>
      <c r="AC56" s="52">
        <f>IF(C56="","",IF(I56&lt;&gt;"","Named Contact",IF(AA56&gt;0,"Outreach Logged","Cold")))</f>
        <v/>
      </c>
      <c r="AD56" s="52">
        <f>IF(B56="","",COUNTIF('Outreach Log'!$C:$C,B56))</f>
        <v/>
      </c>
      <c r="AE56" s="52">
        <f>IF(A56="","",IF(OR(K56="Rejected",K56="Closed"),IF(L56&lt;&gt;"",L56-A56,TODAY()-A56),TODAY()-A56))</f>
        <v/>
      </c>
      <c r="AF56" s="52">
        <f>IF(C56="","",IF(AND(AA56&gt;=70,AC56="Cold"),"High-fit but cold",IF(AND(AA56&lt;60,K56="Applied"),"Low-fit application",IF(AND(AA56&gt;=70,OR(AC56="Named Contact",AC56="Outreach Logged")),"Targeted pursuit","Review"))))</f>
        <v/>
      </c>
    </row>
    <row r="57" ht="15" customHeight="1" s="44">
      <c r="A57" s="53" t="n">
        <v>46058</v>
      </c>
      <c r="B57" s="48" t="inlineStr">
        <is>
          <t>Manulife</t>
        </is>
      </c>
      <c r="C57" s="48" t="inlineStr">
        <is>
          <t>Director, Change Enablement (Group Functions Technology)</t>
        </is>
      </c>
      <c r="D57" s="48" t="inlineStr">
        <is>
          <t>Director</t>
        </is>
      </c>
      <c r="E57" s="48" t="inlineStr">
        <is>
          <t>Canada</t>
        </is>
      </c>
      <c r="F57" s="48" t="inlineStr">
        <is>
          <t>Toronto</t>
        </is>
      </c>
      <c r="G57" s="48" t="n">
        <v>70</v>
      </c>
      <c r="H57" s="48" t="inlineStr">
        <is>
          <t>Cold Portal</t>
        </is>
      </c>
      <c r="I57" s="48" t="n"/>
      <c r="J57" s="48" t="inlineStr">
        <is>
          <t>No</t>
        </is>
      </c>
      <c r="K57" s="49" t="inlineStr">
        <is>
          <t>Rejected</t>
        </is>
      </c>
      <c r="L57" s="50" t="n">
        <v>46129</v>
      </c>
      <c r="M57" s="48">
        <f>IF(OR(L9="",A9=""),"",L9-A9)</f>
        <v/>
      </c>
      <c r="N57" s="48" t="n"/>
      <c r="O57" s="48" t="n"/>
      <c r="P57" s="51" t="inlineStr">
        <is>
          <t>Applied 2026-02-05. REJECTED 2026-04-17: "won't be moving forward with your application at this time." Retroactively logged via full Manulife Gmail history review 2026-09-16.</t>
        </is>
      </c>
      <c r="Q57" s="48" t="n"/>
      <c r="R57" s="48" t="n"/>
      <c r="S57" s="51" t="n"/>
      <c r="T57" s="52">
        <f>IF(G57="","",G57)</f>
        <v/>
      </c>
      <c r="U57" s="52">
        <f>IF(C57="","",IF(OR(ISNUMBER(SEARCH("Director",C57)),ISNUMBER(SEARCH("Lead",C57)),ISNUMBER(SEARCH("Senior",C57)),ISNUMBER(SEARCH("Sr.",C57))),90,IF(OR(ISNUMBER(SEARCH("Manager",C57)),ISNUMBER(SEARCH("Program",C57)),ISNUMBER(SEARCH("Portfolio",C57))),80,60)))</f>
        <v/>
      </c>
      <c r="V57" s="52">
        <f>IF(C57="","",IF(OR(ISNUMBER(SEARCH("AI",C57)),ISNUMBER(SEARCH("Data",C57)),ISNUMBER(SEARCH("Technology",C57)),ISNUMBER(SEARCH("Technical",C57)),ISNUMBER(SEARCH("Engineering",C57)),ISNUMBER(SEARCH("Platform",C57)),ISNUMBER(SEARCH("Portfolio",C57))),85,65))</f>
        <v/>
      </c>
      <c r="W57" s="52">
        <f>IF(C57="","",MIN(100,50+IF(S57&lt;&gt;"",25,0)+IF(R57&lt;&gt;"",15,0)+IF(P57&lt;&gt;"",10,0)))</f>
        <v/>
      </c>
      <c r="X57" s="52">
        <f>IF(E57="","",IF(OR(E57="Canada",E57="CA"),100,IF(OR(E57="United States",E57="USA",E57="US"),IF(J57="Yes",45,75),65)))</f>
        <v/>
      </c>
      <c r="Y57" s="52">
        <f>IF(C57="","",IF(OR(ISNUMBER(SEARCH("Program",C57)),ISNUMBER(SEARCH("Portfolio",C57)),ISNUMBER(SEARCH("Operations",C57)),ISNUMBER(SEARCH("Transformation",C57))),85,IF(ISNUMBER(SEARCH("Product Manager",C57)),55,70)))</f>
        <v/>
      </c>
      <c r="Z57" s="52">
        <f>IF(C57="","",MIN(100,IF(I57&lt;&gt;"",60,10)+IF(AA57&gt;0,MIN(40,AA57*20),0)))</f>
        <v/>
      </c>
      <c r="AA57" s="52">
        <f>IF(T57="","",ROUND(T57*25%+U57*15%+V57*10%+W57*15%+X57*15%+Y57*10%+Z57*10%,0))</f>
        <v/>
      </c>
      <c r="AB57" s="52">
        <f>IF(AA57="","",IF(X57&lt;50,"Selective / Barrier",IF(AA57&gt;=80,"Tier 1 - Pursue",IF(AA57&gt;=70,"Tier 2 - Pursue",IF(AA57&gt;=60,"Tier 3 - Selective","Do Not Pursue")))))</f>
        <v/>
      </c>
      <c r="AC57" s="52">
        <f>IF(C57="","",IF(I57&lt;&gt;"","Named Contact",IF(AA57&gt;0,"Outreach Logged","Cold")))</f>
        <v/>
      </c>
      <c r="AD57" s="52">
        <f>IF(B57="","",COUNTIF('Outreach Log'!$C:$C,B57))</f>
        <v/>
      </c>
      <c r="AE57" s="52">
        <f>IF(A57="","",IF(OR(K57="Rejected",K57="Closed"),IF(L57&lt;&gt;"",L57-A57,TODAY()-A57),TODAY()-A57))</f>
        <v/>
      </c>
      <c r="AF57" s="52">
        <f>IF(C57="","",IF(AND(AA57&gt;=70,AC57="Cold"),"High-fit but cold",IF(AND(AA57&lt;60,K57="Applied"),"Low-fit application",IF(AND(AA57&gt;=70,OR(AC57="Named Contact",AC57="Outreach Logged")),"Targeted pursuit","Review"))))</f>
        <v/>
      </c>
    </row>
    <row r="58" ht="15" customHeight="1" s="44">
      <c r="A58" s="53" t="n">
        <v>46061</v>
      </c>
      <c r="B58" s="48" t="inlineStr">
        <is>
          <t>Manulife</t>
        </is>
      </c>
      <c r="C58" s="48" t="inlineStr">
        <is>
          <t>Director, Customer-Centricity &amp; Transformation</t>
        </is>
      </c>
      <c r="D58" s="48" t="inlineStr">
        <is>
          <t>Director</t>
        </is>
      </c>
      <c r="E58" s="48" t="inlineStr">
        <is>
          <t>Canada</t>
        </is>
      </c>
      <c r="F58" s="48" t="inlineStr">
        <is>
          <t>Toronto</t>
        </is>
      </c>
      <c r="G58" s="48" t="n">
        <v>68</v>
      </c>
      <c r="H58" s="48" t="inlineStr">
        <is>
          <t>Cold Portal</t>
        </is>
      </c>
      <c r="I58" s="48" t="n"/>
      <c r="J58" s="48" t="inlineStr">
        <is>
          <t>No</t>
        </is>
      </c>
      <c r="K58" s="49" t="inlineStr">
        <is>
          <t>Rejected</t>
        </is>
      </c>
      <c r="L58" s="50" t="n">
        <v>46122</v>
      </c>
      <c r="M58" s="48">
        <f>IF(OR(L10="",A10=""),"",L10-A10)</f>
        <v/>
      </c>
      <c r="N58" s="48" t="n"/>
      <c r="O58" s="48" t="n"/>
      <c r="P58" s="51" t="inlineStr">
        <is>
          <t>Applied 2026-02-08. REJECTED 2026-04-10: "decided to pursue other candidates whose experience more closely..." Retroactively logged via full Manulife Gmail history review 2026-09-16.</t>
        </is>
      </c>
      <c r="Q58" s="48" t="n"/>
      <c r="R58" s="48" t="n"/>
      <c r="S58" s="51" t="n"/>
      <c r="T58" s="52">
        <f>IF(G58="","",G58)</f>
        <v/>
      </c>
      <c r="U58" s="52">
        <f>IF(C58="","",IF(OR(ISNUMBER(SEARCH("Director",C58)),ISNUMBER(SEARCH("Lead",C58)),ISNUMBER(SEARCH("Senior",C58)),ISNUMBER(SEARCH("Sr.",C58))),90,IF(OR(ISNUMBER(SEARCH("Manager",C58)),ISNUMBER(SEARCH("Program",C58)),ISNUMBER(SEARCH("Portfolio",C58))),80,60)))</f>
        <v/>
      </c>
      <c r="V58" s="52">
        <f>IF(C58="","",IF(OR(ISNUMBER(SEARCH("AI",C58)),ISNUMBER(SEARCH("Data",C58)),ISNUMBER(SEARCH("Technology",C58)),ISNUMBER(SEARCH("Technical",C58)),ISNUMBER(SEARCH("Engineering",C58)),ISNUMBER(SEARCH("Platform",C58)),ISNUMBER(SEARCH("Portfolio",C58))),85,65))</f>
        <v/>
      </c>
      <c r="W58" s="52">
        <f>IF(C58="","",MIN(100,50+IF(S58&lt;&gt;"",25,0)+IF(R58&lt;&gt;"",15,0)+IF(P58&lt;&gt;"",10,0)))</f>
        <v/>
      </c>
      <c r="X58" s="52">
        <f>IF(E58="","",IF(OR(E58="Canada",E58="CA"),100,IF(OR(E58="United States",E58="USA",E58="US"),IF(J58="Yes",45,75),65)))</f>
        <v/>
      </c>
      <c r="Y58" s="52">
        <f>IF(C58="","",IF(OR(ISNUMBER(SEARCH("Program",C58)),ISNUMBER(SEARCH("Portfolio",C58)),ISNUMBER(SEARCH("Operations",C58)),ISNUMBER(SEARCH("Transformation",C58))),85,IF(ISNUMBER(SEARCH("Product Manager",C58)),55,70)))</f>
        <v/>
      </c>
      <c r="Z58" s="52">
        <f>IF(C58="","",MIN(100,IF(I58&lt;&gt;"",60,10)+IF(AA58&gt;0,MIN(40,AA58*20),0)))</f>
        <v/>
      </c>
      <c r="AA58" s="52">
        <f>IF(T58="","",ROUND(T58*25%+U58*15%+V58*10%+W58*15%+X58*15%+Y58*10%+Z58*10%,0))</f>
        <v/>
      </c>
      <c r="AB58" s="52">
        <f>IF(AA58="","",IF(X58&lt;50,"Selective / Barrier",IF(AA58&gt;=80,"Tier 1 - Pursue",IF(AA58&gt;=70,"Tier 2 - Pursue",IF(AA58&gt;=60,"Tier 3 - Selective","Do Not Pursue")))))</f>
        <v/>
      </c>
      <c r="AC58" s="52">
        <f>IF(C58="","",IF(I58&lt;&gt;"","Named Contact",IF(AA58&gt;0,"Outreach Logged","Cold")))</f>
        <v/>
      </c>
      <c r="AD58" s="52">
        <f>IF(B58="","",COUNTIF('Outreach Log'!$C:$C,B58))</f>
        <v/>
      </c>
      <c r="AE58" s="52">
        <f>IF(A58="","",IF(OR(K58="Rejected",K58="Closed"),IF(L58&lt;&gt;"",L58-A58,TODAY()-A58),TODAY()-A58))</f>
        <v/>
      </c>
      <c r="AF58" s="52">
        <f>IF(C58="","",IF(AND(AA58&gt;=70,AC58="Cold"),"High-fit but cold",IF(AND(AA58&lt;60,K58="Applied"),"Low-fit application",IF(AND(AA58&gt;=70,OR(AC58="Named Contact",AC58="Outreach Logged")),"Targeted pursuit","Review"))))</f>
        <v/>
      </c>
    </row>
    <row r="59" ht="15" customHeight="1" s="44">
      <c r="A59" s="53" t="n">
        <v>46061</v>
      </c>
      <c r="B59" s="48" t="inlineStr">
        <is>
          <t>TELUS</t>
        </is>
      </c>
      <c r="C59" s="48" t="inlineStr">
        <is>
          <t>Senior Program Manager (52499)</t>
        </is>
      </c>
      <c r="D59" s="48" t="inlineStr">
        <is>
          <t>Senior</t>
        </is>
      </c>
      <c r="E59" s="48" t="inlineStr">
        <is>
          <t>Canada</t>
        </is>
      </c>
      <c r="F59" s="48" t="inlineStr">
        <is>
          <t>Toronto</t>
        </is>
      </c>
      <c r="G59" s="48" t="n">
        <v>70</v>
      </c>
      <c r="H59" s="48" t="inlineStr">
        <is>
          <t>Cold Portal</t>
        </is>
      </c>
      <c r="I59" s="48" t="n"/>
      <c r="J59" s="48" t="inlineStr">
        <is>
          <t>No</t>
        </is>
      </c>
      <c r="K59" s="49" t="inlineStr">
        <is>
          <t>Rejected</t>
        </is>
      </c>
      <c r="L59" s="50" t="n">
        <v>46097</v>
      </c>
      <c r="M59" s="48">
        <f>IF(OR(L11="",A11=""),"",L11-A11)</f>
        <v/>
      </c>
      <c r="N59" s="48" t="n"/>
      <c r="O59" s="48" t="n"/>
      <c r="P59" s="51" t="inlineStr">
        <is>
          <t>Applied 2026-02-08 (confirmed via Workday confirmation email). REJECTED 2026-03-16 (role filled): "position has been filled." Retroactively logged 2026-09-18 — was missing from tracker entirely.</t>
        </is>
      </c>
      <c r="Q59" s="48" t="n"/>
      <c r="R59" s="48" t="n"/>
      <c r="S59" s="51" t="n"/>
      <c r="T59" s="52">
        <f>IF(G59="","",G59)</f>
        <v/>
      </c>
      <c r="U59" s="52">
        <f>IF(C59="","",IF(OR(ISNUMBER(SEARCH("Director",C59)),ISNUMBER(SEARCH("Lead",C59)),ISNUMBER(SEARCH("Senior",C59)),ISNUMBER(SEARCH("Sr.",C59))),90,IF(OR(ISNUMBER(SEARCH("Manager",C59)),ISNUMBER(SEARCH("Program",C59)),ISNUMBER(SEARCH("Portfolio",C59))),80,60)))</f>
        <v/>
      </c>
      <c r="V59" s="52">
        <f>IF(C59="","",IF(OR(ISNUMBER(SEARCH("AI",C59)),ISNUMBER(SEARCH("Data",C59)),ISNUMBER(SEARCH("Technology",C59)),ISNUMBER(SEARCH("Technical",C59)),ISNUMBER(SEARCH("Engineering",C59)),ISNUMBER(SEARCH("Platform",C59)),ISNUMBER(SEARCH("Portfolio",C59))),85,65))</f>
        <v/>
      </c>
      <c r="W59" s="52">
        <f>IF(C59="","",MIN(100,50+IF(S59&lt;&gt;"",25,0)+IF(R59&lt;&gt;"",15,0)+IF(P59&lt;&gt;"",10,0)))</f>
        <v/>
      </c>
      <c r="X59" s="52">
        <f>IF(E59="","",IF(OR(E59="Canada",E59="CA"),100,IF(OR(E59="United States",E59="USA",E59="US"),IF(J59="Yes",45,75),65)))</f>
        <v/>
      </c>
      <c r="Y59" s="52">
        <f>IF(C59="","",IF(OR(ISNUMBER(SEARCH("Program",C59)),ISNUMBER(SEARCH("Portfolio",C59)),ISNUMBER(SEARCH("Operations",C59)),ISNUMBER(SEARCH("Transformation",C59))),85,IF(ISNUMBER(SEARCH("Product Manager",C59)),55,70)))</f>
        <v/>
      </c>
      <c r="Z59" s="52">
        <f>IF(C59="","",MIN(100,IF(I59&lt;&gt;"",60,10)+IF(AA59&gt;0,MIN(40,AA59*20),0)))</f>
        <v/>
      </c>
      <c r="AA59" s="52">
        <f>IF(T59="","",ROUND(T59*25%+U59*15%+V59*10%+W59*15%+X59*15%+Y59*10%+Z59*10%,0))</f>
        <v/>
      </c>
      <c r="AB59" s="52">
        <f>IF(AA59="","",IF(X59&lt;50,"Selective / Barrier",IF(AA59&gt;=80,"Tier 1 - Pursue",IF(AA59&gt;=70,"Tier 2 - Pursue",IF(AA59&gt;=60,"Tier 3 - Selective","Do Not Pursue")))))</f>
        <v/>
      </c>
      <c r="AC59" s="52">
        <f>IF(C59="","",IF(I59&lt;&gt;"","Named Contact",IF(AA59&gt;0,"Outreach Logged","Cold")))</f>
        <v/>
      </c>
      <c r="AD59" s="52">
        <f>IF(B59="","",COUNTIF('Outreach Log'!$C:$C,B59))</f>
        <v/>
      </c>
      <c r="AE59" s="52">
        <f>IF(A59="","",IF(OR(K59="Rejected",K59="Closed"),IF(L59&lt;&gt;"",L59-A59,TODAY()-A59),TODAY()-A59))</f>
        <v/>
      </c>
      <c r="AF59" s="52">
        <f>IF(C59="","",IF(AND(AA59&gt;=70,AC59="Cold"),"High-fit but cold",IF(AND(AA59&lt;60,K59="Applied"),"Low-fit application",IF(AND(AA59&gt;=70,OR(AC59="Named Contact",AC59="Outreach Logged")),"Targeted pursuit","Review"))))</f>
        <v/>
      </c>
    </row>
    <row r="60" ht="15" customHeight="1" s="44">
      <c r="A60" s="53" t="n">
        <v>46062</v>
      </c>
      <c r="B60" s="48" t="inlineStr">
        <is>
          <t>Manulife</t>
        </is>
      </c>
      <c r="C60" s="48" t="inlineStr">
        <is>
          <t>IT Portfolio Director</t>
        </is>
      </c>
      <c r="D60" s="48" t="inlineStr">
        <is>
          <t>Director</t>
        </is>
      </c>
      <c r="E60" s="48" t="inlineStr">
        <is>
          <t>Canada</t>
        </is>
      </c>
      <c r="F60" s="48" t="inlineStr">
        <is>
          <t>Toronto</t>
        </is>
      </c>
      <c r="G60" s="48" t="n">
        <v>80</v>
      </c>
      <c r="H60" s="48" t="inlineStr">
        <is>
          <t>Cold Portal</t>
        </is>
      </c>
      <c r="I60" s="48" t="n"/>
      <c r="J60" s="48" t="inlineStr">
        <is>
          <t>No</t>
        </is>
      </c>
      <c r="K60" s="49" t="inlineStr">
        <is>
          <t>Rejected</t>
        </is>
      </c>
      <c r="L60" s="50" t="n">
        <v>46132</v>
      </c>
      <c r="M60" s="48">
        <f>IF(OR(L12="",A12=""),"",L12-A12)</f>
        <v/>
      </c>
      <c r="N60" s="48" t="n"/>
      <c r="O60" s="48" t="n"/>
      <c r="P60" s="51" t="inlineStr">
        <is>
          <t>Applied 2026-02-09. REJECTED 2026-04-20: "won't be moving forward with your application at this time." Retroactively logged via full Manulife Gmail history review 2026-09-16. Est. fit score: 80 — Portfolio Director title is a very strong match to her core lane.</t>
        </is>
      </c>
      <c r="Q60" s="48" t="n"/>
      <c r="R60" s="48" t="n"/>
      <c r="S60" s="51" t="n"/>
      <c r="T60" s="52">
        <f>IF(G60="","",G60)</f>
        <v/>
      </c>
      <c r="U60" s="52">
        <f>IF(C60="","",IF(OR(ISNUMBER(SEARCH("Director",C60)),ISNUMBER(SEARCH("Lead",C60)),ISNUMBER(SEARCH("Senior",C60)),ISNUMBER(SEARCH("Sr.",C60))),90,IF(OR(ISNUMBER(SEARCH("Manager",C60)),ISNUMBER(SEARCH("Program",C60)),ISNUMBER(SEARCH("Portfolio",C60))),80,60)))</f>
        <v/>
      </c>
      <c r="V60" s="52">
        <f>IF(C60="","",IF(OR(ISNUMBER(SEARCH("AI",C60)),ISNUMBER(SEARCH("Data",C60)),ISNUMBER(SEARCH("Technology",C60)),ISNUMBER(SEARCH("Technical",C60)),ISNUMBER(SEARCH("Engineering",C60)),ISNUMBER(SEARCH("Platform",C60)),ISNUMBER(SEARCH("Portfolio",C60))),85,65))</f>
        <v/>
      </c>
      <c r="W60" s="52">
        <f>IF(C60="","",MIN(100,50+IF(S60&lt;&gt;"",25,0)+IF(R60&lt;&gt;"",15,0)+IF(P60&lt;&gt;"",10,0)))</f>
        <v/>
      </c>
      <c r="X60" s="52">
        <f>IF(E60="","",IF(OR(E60="Canada",E60="CA"),100,IF(OR(E60="United States",E60="USA",E60="US"),IF(J60="Yes",45,75),65)))</f>
        <v/>
      </c>
      <c r="Y60" s="52">
        <f>IF(C60="","",IF(OR(ISNUMBER(SEARCH("Program",C60)),ISNUMBER(SEARCH("Portfolio",C60)),ISNUMBER(SEARCH("Operations",C60)),ISNUMBER(SEARCH("Transformation",C60))),85,IF(ISNUMBER(SEARCH("Product Manager",C60)),55,70)))</f>
        <v/>
      </c>
      <c r="Z60" s="52">
        <f>IF(C60="","",MIN(100,IF(I60&lt;&gt;"",60,10)+IF(AA60&gt;0,MIN(40,AA60*20),0)))</f>
        <v/>
      </c>
      <c r="AA60" s="52">
        <f>IF(T60="","",ROUND(T60*25%+U60*15%+V60*10%+W60*15%+X60*15%+Y60*10%+Z60*10%,0))</f>
        <v/>
      </c>
      <c r="AB60" s="52">
        <f>IF(AA60="","",IF(X60&lt;50,"Selective / Barrier",IF(AA60&gt;=80,"Tier 1 - Pursue",IF(AA60&gt;=70,"Tier 2 - Pursue",IF(AA60&gt;=60,"Tier 3 - Selective","Do Not Pursue")))))</f>
        <v/>
      </c>
      <c r="AC60" s="52">
        <f>IF(C60="","",IF(I60&lt;&gt;"","Named Contact",IF(AA60&gt;0,"Outreach Logged","Cold")))</f>
        <v/>
      </c>
      <c r="AD60" s="52">
        <f>IF(B60="","",COUNTIF('Outreach Log'!$C:$C,B60))</f>
        <v/>
      </c>
      <c r="AE60" s="52">
        <f>IF(A60="","",IF(OR(K60="Rejected",K60="Closed"),IF(L60&lt;&gt;"",L60-A60,TODAY()-A60),TODAY()-A60))</f>
        <v/>
      </c>
      <c r="AF60" s="52">
        <f>IF(C60="","",IF(AND(AA60&gt;=70,AC60="Cold"),"High-fit but cold",IF(AND(AA60&lt;60,K60="Applied"),"Low-fit application",IF(AND(AA60&gt;=70,OR(AC60="Named Contact",AC60="Outreach Logged")),"Targeted pursuit","Review"))))</f>
        <v/>
      </c>
    </row>
    <row r="61" ht="15" customHeight="1" s="44">
      <c r="A61" s="53" t="n">
        <v>46062</v>
      </c>
      <c r="B61" s="48" t="inlineStr">
        <is>
          <t>Manulife</t>
        </is>
      </c>
      <c r="C61" s="48" t="inlineStr">
        <is>
          <t>Agile Delivery Lead</t>
        </is>
      </c>
      <c r="D61" s="48" t="inlineStr">
        <is>
          <t>Lead</t>
        </is>
      </c>
      <c r="E61" s="48" t="inlineStr">
        <is>
          <t>Canada</t>
        </is>
      </c>
      <c r="F61" s="48" t="inlineStr">
        <is>
          <t>Toronto</t>
        </is>
      </c>
      <c r="G61" s="48" t="n">
        <v>65</v>
      </c>
      <c r="H61" s="48" t="inlineStr">
        <is>
          <t>Cold Portal</t>
        </is>
      </c>
      <c r="I61" s="48" t="n"/>
      <c r="J61" s="48" t="inlineStr">
        <is>
          <t>No</t>
        </is>
      </c>
      <c r="K61" s="49" t="inlineStr">
        <is>
          <t>Rejected</t>
        </is>
      </c>
      <c r="L61" s="50" t="n">
        <v>46093</v>
      </c>
      <c r="M61" s="48">
        <f>IF(OR(L13="",A13=""),"",L13-A13)</f>
        <v/>
      </c>
      <c r="N61" s="48" t="n"/>
      <c r="O61" s="48" t="n"/>
      <c r="P61" s="51" t="inlineStr">
        <is>
          <t>Applied 2026-02-09. REJECTED 2026-03-12: "won't be moving forward with your application at this time." Retroactively logged via full Manulife Gmail history review 2026-09-16.</t>
        </is>
      </c>
      <c r="Q61" s="48" t="n"/>
      <c r="R61" s="48" t="n"/>
      <c r="S61" s="51" t="n"/>
      <c r="T61" s="52">
        <f>IF(G61="","",G61)</f>
        <v/>
      </c>
      <c r="U61" s="52">
        <f>IF(C61="","",IF(OR(ISNUMBER(SEARCH("Director",C61)),ISNUMBER(SEARCH("Lead",C61)),ISNUMBER(SEARCH("Senior",C61)),ISNUMBER(SEARCH("Sr.",C61))),90,IF(OR(ISNUMBER(SEARCH("Manager",C61)),ISNUMBER(SEARCH("Program",C61)),ISNUMBER(SEARCH("Portfolio",C61))),80,60)))</f>
        <v/>
      </c>
      <c r="V61" s="52">
        <f>IF(C61="","",IF(OR(ISNUMBER(SEARCH("AI",C61)),ISNUMBER(SEARCH("Data",C61)),ISNUMBER(SEARCH("Technology",C61)),ISNUMBER(SEARCH("Technical",C61)),ISNUMBER(SEARCH("Engineering",C61)),ISNUMBER(SEARCH("Platform",C61)),ISNUMBER(SEARCH("Portfolio",C61))),85,65))</f>
        <v/>
      </c>
      <c r="W61" s="52">
        <f>IF(C61="","",MIN(100,50+IF(S61&lt;&gt;"",25,0)+IF(R61&lt;&gt;"",15,0)+IF(P61&lt;&gt;"",10,0)))</f>
        <v/>
      </c>
      <c r="X61" s="52">
        <f>IF(E61="","",IF(OR(E61="Canada",E61="CA"),100,IF(OR(E61="United States",E61="USA",E61="US"),IF(J61="Yes",45,75),65)))</f>
        <v/>
      </c>
      <c r="Y61" s="52">
        <f>IF(C61="","",IF(OR(ISNUMBER(SEARCH("Program",C61)),ISNUMBER(SEARCH("Portfolio",C61)),ISNUMBER(SEARCH("Operations",C61)),ISNUMBER(SEARCH("Transformation",C61))),85,IF(ISNUMBER(SEARCH("Product Manager",C61)),55,70)))</f>
        <v/>
      </c>
      <c r="Z61" s="52">
        <f>IF(C61="","",MIN(100,IF(I61&lt;&gt;"",60,10)+IF(AA61&gt;0,MIN(40,AA61*20),0)))</f>
        <v/>
      </c>
      <c r="AA61" s="52">
        <f>IF(T61="","",ROUND(T61*25%+U61*15%+V61*10%+W61*15%+X61*15%+Y61*10%+Z61*10%,0))</f>
        <v/>
      </c>
      <c r="AB61" s="52">
        <f>IF(AA61="","",IF(X61&lt;50,"Selective / Barrier",IF(AA61&gt;=80,"Tier 1 - Pursue",IF(AA61&gt;=70,"Tier 2 - Pursue",IF(AA61&gt;=60,"Tier 3 - Selective","Do Not Pursue")))))</f>
        <v/>
      </c>
      <c r="AC61" s="52">
        <f>IF(C61="","",IF(I61&lt;&gt;"","Named Contact",IF(AA61&gt;0,"Outreach Logged","Cold")))</f>
        <v/>
      </c>
      <c r="AD61" s="52">
        <f>IF(B61="","",COUNTIF('Outreach Log'!$C:$C,B61))</f>
        <v/>
      </c>
      <c r="AE61" s="52">
        <f>IF(A61="","",IF(OR(K61="Rejected",K61="Closed"),IF(L61&lt;&gt;"",L61-A61,TODAY()-A61),TODAY()-A61))</f>
        <v/>
      </c>
      <c r="AF61" s="52">
        <f>IF(C61="","",IF(AND(AA61&gt;=70,AC61="Cold"),"High-fit but cold",IF(AND(AA61&lt;60,K61="Applied"),"Low-fit application",IF(AND(AA61&gt;=70,OR(AC61="Named Contact",AC61="Outreach Logged")),"Targeted pursuit","Review"))))</f>
        <v/>
      </c>
    </row>
    <row r="62" ht="15" customHeight="1" s="44">
      <c r="A62" s="53" t="n">
        <v>46066</v>
      </c>
      <c r="B62" s="48" t="inlineStr">
        <is>
          <t>Cohere</t>
        </is>
      </c>
      <c r="C62" s="48" t="inlineStr">
        <is>
          <t>Engineering Program Manager, North</t>
        </is>
      </c>
      <c r="D62" s="48" t="inlineStr">
        <is>
          <t>Manager</t>
        </is>
      </c>
      <c r="E62" s="48" t="inlineStr">
        <is>
          <t>Canada</t>
        </is>
      </c>
      <c r="F62" s="48" t="inlineStr">
        <is>
          <t>Toronto</t>
        </is>
      </c>
      <c r="G62" s="48" t="n"/>
      <c r="H62" s="48" t="inlineStr">
        <is>
          <t>Cold Portal</t>
        </is>
      </c>
      <c r="I62" s="48" t="n"/>
      <c r="J62" s="48" t="inlineStr">
        <is>
          <t>No</t>
        </is>
      </c>
      <c r="K62" s="49" t="inlineStr">
        <is>
          <t>Rejected</t>
        </is>
      </c>
      <c r="L62" s="50" t="n">
        <v>46192</v>
      </c>
      <c r="M62" s="48">
        <f>IF(OR(L14="",A14=""),"",L14-A14)</f>
        <v/>
      </c>
      <c r="N62" s="48" t="n"/>
      <c r="O62" s="48" t="n"/>
      <c r="P62" s="51" t="inlineStr">
        <is>
          <t>REJECTED 2026-06-19: Cohere (Ashby) — "the position was filled before we had the opportunity to consider your candidacy." Retroactively logged; was missing from tracker.</t>
        </is>
      </c>
      <c r="Q62" s="48" t="n"/>
      <c r="R62" s="48" t="n"/>
      <c r="S62" s="51" t="n"/>
      <c r="T62" s="52">
        <f>IF(G62="","",G62)</f>
        <v/>
      </c>
      <c r="U62" s="52">
        <f>IF(C62="","",IF(OR(ISNUMBER(SEARCH("Director",C62)),ISNUMBER(SEARCH("Lead",C62)),ISNUMBER(SEARCH("Senior",C62)),ISNUMBER(SEARCH("Sr.",C62))),90,IF(OR(ISNUMBER(SEARCH("Manager",C62)),ISNUMBER(SEARCH("Program",C62)),ISNUMBER(SEARCH("Portfolio",C62))),80,60)))</f>
        <v/>
      </c>
      <c r="V62" s="52">
        <f>IF(C62="","",IF(OR(ISNUMBER(SEARCH("AI",C62)),ISNUMBER(SEARCH("Data",C62)),ISNUMBER(SEARCH("Technology",C62)),ISNUMBER(SEARCH("Technical",C62)),ISNUMBER(SEARCH("Engineering",C62)),ISNUMBER(SEARCH("Platform",C62)),ISNUMBER(SEARCH("Portfolio",C62))),85,65))</f>
        <v/>
      </c>
      <c r="W62" s="52">
        <f>IF(C62="","",MIN(100,50+IF(S62&lt;&gt;"",25,0)+IF(R62&lt;&gt;"",15,0)+IF(P62&lt;&gt;"",10,0)))</f>
        <v/>
      </c>
      <c r="X62" s="52">
        <f>IF(E62="","",IF(OR(E62="Canada",E62="CA"),100,IF(OR(E62="United States",E62="USA",E62="US"),IF(J62="Yes",45,75),65)))</f>
        <v/>
      </c>
      <c r="Y62" s="52">
        <f>IF(C62="","",IF(OR(ISNUMBER(SEARCH("Program",C62)),ISNUMBER(SEARCH("Portfolio",C62)),ISNUMBER(SEARCH("Operations",C62)),ISNUMBER(SEARCH("Transformation",C62))),85,IF(ISNUMBER(SEARCH("Product Manager",C62)),55,70)))</f>
        <v/>
      </c>
      <c r="Z62" s="52">
        <f>IF(C62="","",MIN(100,IF(I62&lt;&gt;"",60,10)+IF(AA62&gt;0,MIN(40,AA62*20),0)))</f>
        <v/>
      </c>
      <c r="AA62" s="52">
        <f>IF(T62="","",ROUND(T62*25%+U62*15%+V62*10%+W62*15%+X62*15%+Y62*10%+Z62*10%,0))</f>
        <v/>
      </c>
      <c r="AB62" s="52">
        <f>IF(AA62="","",IF(X62&lt;50,"Selective / Barrier",IF(AA62&gt;=80,"Tier 1 - Pursue",IF(AA62&gt;=70,"Tier 2 - Pursue",IF(AA62&gt;=60,"Tier 3 - Selective","Do Not Pursue")))))</f>
        <v/>
      </c>
      <c r="AC62" s="52">
        <f>IF(C62="","",IF(I62&lt;&gt;"","Named Contact",IF(AA62&gt;0,"Outreach Logged","Cold")))</f>
        <v/>
      </c>
      <c r="AD62" s="52">
        <f>IF(B62="","",COUNTIF('Outreach Log'!$C:$C,B62))</f>
        <v/>
      </c>
      <c r="AE62" s="52">
        <f>IF(A62="","",IF(OR(K62="Rejected",K62="Closed"),IF(L62&lt;&gt;"",L62-A62,TODAY()-A62),TODAY()-A62))</f>
        <v/>
      </c>
      <c r="AF62" s="52">
        <f>IF(C62="","",IF(AND(AA62&gt;=70,AC62="Cold"),"High-fit but cold",IF(AND(AA62&lt;60,K62="Applied"),"Low-fit application",IF(AND(AA62&gt;=70,OR(AC62="Named Contact",AC62="Outreach Logged")),"Targeted pursuit","Review"))))</f>
        <v/>
      </c>
    </row>
    <row r="63" ht="15" customHeight="1" s="44">
      <c r="A63" s="53" t="n">
        <v>46066</v>
      </c>
      <c r="B63" s="48" t="inlineStr">
        <is>
          <t>Zip</t>
        </is>
      </c>
      <c r="C63" s="48" t="inlineStr">
        <is>
          <t>Manager, Business Development</t>
        </is>
      </c>
      <c r="D63" s="48" t="inlineStr">
        <is>
          <t>Manager</t>
        </is>
      </c>
      <c r="E63" s="48" t="inlineStr">
        <is>
          <t>Canada</t>
        </is>
      </c>
      <c r="F63" s="48" t="inlineStr">
        <is>
          <t>Toronto</t>
        </is>
      </c>
      <c r="G63" s="48" t="n">
        <v>25</v>
      </c>
      <c r="H63" s="48" t="inlineStr">
        <is>
          <t>Cold Portal</t>
        </is>
      </c>
      <c r="I63" s="48" t="n"/>
      <c r="J63" s="48" t="inlineStr">
        <is>
          <t>No</t>
        </is>
      </c>
      <c r="K63" s="56" t="inlineStr">
        <is>
          <t>Closed</t>
        </is>
      </c>
      <c r="L63" s="50" t="n">
        <v>46261</v>
      </c>
      <c r="M63" s="48">
        <f>IF(OR(L15="",A15=""),"",L15-A15)</f>
        <v/>
      </c>
      <c r="N63" s="48" t="n"/>
      <c r="O63" s="48" t="n"/>
      <c r="P63" s="51" t="inlineStr">
        <is>
          <t>Application date not previously logged in tracker. Response received 2026-08-27 via Zip Hiring Team (no-reply@ashbyhq.com): hiring paused for this role, not a rejection of fit. Zip has asked to keep Elena's info on file for future headcount. No prior record of this application or its tailored resume in the tracker — logging status only. | Est. fit score: 25% — Business Development discipline is a significant mismatch from her program/portfolio management background, despite Canada/no-sponsorship fit | Date Applied confirmed 2026-02-13 via Zip Hiring Team confirmation email (Ashby).</t>
        </is>
      </c>
      <c r="Q63" s="48" t="n"/>
      <c r="R63" s="48" t="n"/>
      <c r="S63" s="51" t="n"/>
      <c r="T63" s="52">
        <f>IF(G63="","",G63)</f>
        <v/>
      </c>
      <c r="U63" s="52">
        <f>IF(C63="","",IF(OR(ISNUMBER(SEARCH("Director",C63)),ISNUMBER(SEARCH("Lead",C63)),ISNUMBER(SEARCH("Senior",C63)),ISNUMBER(SEARCH("Sr.",C63))),90,IF(OR(ISNUMBER(SEARCH("Manager",C63)),ISNUMBER(SEARCH("Program",C63)),ISNUMBER(SEARCH("Portfolio",C63))),80,60)))</f>
        <v/>
      </c>
      <c r="V63" s="52">
        <f>IF(C63="","",IF(OR(ISNUMBER(SEARCH("AI",C63)),ISNUMBER(SEARCH("Data",C63)),ISNUMBER(SEARCH("Technology",C63)),ISNUMBER(SEARCH("Technical",C63)),ISNUMBER(SEARCH("Engineering",C63)),ISNUMBER(SEARCH("Platform",C63)),ISNUMBER(SEARCH("Portfolio",C63))),85,65))</f>
        <v/>
      </c>
      <c r="W63" s="52">
        <f>IF(C63="","",MIN(100,50+IF(S63&lt;&gt;"",25,0)+IF(R63&lt;&gt;"",15,0)+IF(P63&lt;&gt;"",10,0)))</f>
        <v/>
      </c>
      <c r="X63" s="52">
        <f>IF(E63="","",IF(OR(E63="Canada",E63="CA"),100,IF(OR(E63="United States",E63="USA",E63="US"),IF(J63="Yes",45,75),65)))</f>
        <v/>
      </c>
      <c r="Y63" s="52">
        <f>IF(C63="","",IF(OR(ISNUMBER(SEARCH("Program",C63)),ISNUMBER(SEARCH("Portfolio",C63)),ISNUMBER(SEARCH("Operations",C63)),ISNUMBER(SEARCH("Transformation",C63))),85,IF(ISNUMBER(SEARCH("Product Manager",C63)),55,70)))</f>
        <v/>
      </c>
      <c r="Z63" s="52">
        <f>IF(C63="","",MIN(100,IF(I63&lt;&gt;"",60,10)+IF(AA63&gt;0,MIN(40,AA63*20),0)))</f>
        <v/>
      </c>
      <c r="AA63" s="52">
        <f>IF(T63="","",ROUND(T63*25%+U63*15%+V63*10%+W63*15%+X63*15%+Y63*10%+Z63*10%,0))</f>
        <v/>
      </c>
      <c r="AB63" s="52">
        <f>IF(AA63="","",IF(X63&lt;50,"Selective / Barrier",IF(AA63&gt;=80,"Tier 1 - Pursue",IF(AA63&gt;=70,"Tier 2 - Pursue",IF(AA63&gt;=60,"Tier 3 - Selective","Do Not Pursue")))))</f>
        <v/>
      </c>
      <c r="AC63" s="52">
        <f>IF(C63="","",IF(I63&lt;&gt;"","Named Contact",IF(AA63&gt;0,"Outreach Logged","Cold")))</f>
        <v/>
      </c>
      <c r="AD63" s="52">
        <f>IF(B63="","",COUNTIF('Outreach Log'!$C:$C,B63))</f>
        <v/>
      </c>
      <c r="AE63" s="52">
        <f>IF(A63="","",IF(OR(K63="Rejected",K63="Closed"),IF(L63&lt;&gt;"",L63-A63,TODAY()-A63),TODAY()-A63))</f>
        <v/>
      </c>
      <c r="AF63" s="52">
        <f>IF(C63="","",IF(AND(AA63&gt;=70,AC63="Cold"),"High-fit but cold",IF(AND(AA63&lt;60,K63="Applied"),"Low-fit application",IF(AND(AA63&gt;=70,OR(AC63="Named Contact",AC63="Outreach Logged")),"Targeted pursuit","Review"))))</f>
        <v/>
      </c>
    </row>
    <row r="64" ht="15" customHeight="1" s="44">
      <c r="A64" s="53" t="n">
        <v>46066</v>
      </c>
      <c r="B64" s="48" t="inlineStr">
        <is>
          <t>TELUS</t>
        </is>
      </c>
      <c r="C64" s="48" t="inlineStr">
        <is>
          <t>Senior Program Manager - Virtual Position (52874)</t>
        </is>
      </c>
      <c r="D64" s="48" t="inlineStr">
        <is>
          <t>Senior</t>
        </is>
      </c>
      <c r="E64" s="48" t="inlineStr">
        <is>
          <t>Canada</t>
        </is>
      </c>
      <c r="F64" s="48" t="inlineStr">
        <is>
          <t>Remote (Virtual)</t>
        </is>
      </c>
      <c r="G64" s="48" t="n">
        <v>70</v>
      </c>
      <c r="H64" s="48" t="inlineStr">
        <is>
          <t>Cold Portal</t>
        </is>
      </c>
      <c r="I64" s="48" t="n"/>
      <c r="J64" s="48" t="inlineStr">
        <is>
          <t>No</t>
        </is>
      </c>
      <c r="K64" s="49" t="inlineStr">
        <is>
          <t>Rejected</t>
        </is>
      </c>
      <c r="L64" s="50" t="n">
        <v>46133</v>
      </c>
      <c r="M64" s="48">
        <f>IF(OR(L16="",A16=""),"",L16-A16)</f>
        <v/>
      </c>
      <c r="N64" s="48" t="n"/>
      <c r="O64" s="48" t="n"/>
      <c r="P64" s="51" t="inlineStr">
        <is>
          <t>Applied 2026-02-13 (confirmed via Workday confirmation email). REJECTED 2026-04-21 (role filled): "position has been filled." Retroactively logged 2026-09-18 — was missing from tracker entirely.</t>
        </is>
      </c>
      <c r="Q64" s="48" t="n"/>
      <c r="R64" s="48" t="n"/>
      <c r="S64" s="51" t="n"/>
      <c r="T64" s="52">
        <f>IF(G64="","",G64)</f>
        <v/>
      </c>
      <c r="U64" s="52">
        <f>IF(C64="","",IF(OR(ISNUMBER(SEARCH("Director",C64)),ISNUMBER(SEARCH("Lead",C64)),ISNUMBER(SEARCH("Senior",C64)),ISNUMBER(SEARCH("Sr.",C64))),90,IF(OR(ISNUMBER(SEARCH("Manager",C64)),ISNUMBER(SEARCH("Program",C64)),ISNUMBER(SEARCH("Portfolio",C64))),80,60)))</f>
        <v/>
      </c>
      <c r="V64" s="52">
        <f>IF(C64="","",IF(OR(ISNUMBER(SEARCH("AI",C64)),ISNUMBER(SEARCH("Data",C64)),ISNUMBER(SEARCH("Technology",C64)),ISNUMBER(SEARCH("Technical",C64)),ISNUMBER(SEARCH("Engineering",C64)),ISNUMBER(SEARCH("Platform",C64)),ISNUMBER(SEARCH("Portfolio",C64))),85,65))</f>
        <v/>
      </c>
      <c r="W64" s="52">
        <f>IF(C64="","",MIN(100,50+IF(S64&lt;&gt;"",25,0)+IF(R64&lt;&gt;"",15,0)+IF(P64&lt;&gt;"",10,0)))</f>
        <v/>
      </c>
      <c r="X64" s="52">
        <f>IF(E64="","",IF(OR(E64="Canada",E64="CA"),100,IF(OR(E64="United States",E64="USA",E64="US"),IF(J64="Yes",45,75),65)))</f>
        <v/>
      </c>
      <c r="Y64" s="52">
        <f>IF(C64="","",IF(OR(ISNUMBER(SEARCH("Program",C64)),ISNUMBER(SEARCH("Portfolio",C64)),ISNUMBER(SEARCH("Operations",C64)),ISNUMBER(SEARCH("Transformation",C64))),85,IF(ISNUMBER(SEARCH("Product Manager",C64)),55,70)))</f>
        <v/>
      </c>
      <c r="Z64" s="52">
        <f>IF(C64="","",MIN(100,IF(I64&lt;&gt;"",60,10)+IF(AA64&gt;0,MIN(40,AA64*20),0)))</f>
        <v/>
      </c>
      <c r="AA64" s="52">
        <f>IF(T64="","",ROUND(T64*25%+U64*15%+V64*10%+W64*15%+X64*15%+Y64*10%+Z64*10%,0))</f>
        <v/>
      </c>
      <c r="AB64" s="52">
        <f>IF(AA64="","",IF(X64&lt;50,"Selective / Barrier",IF(AA64&gt;=80,"Tier 1 - Pursue",IF(AA64&gt;=70,"Tier 2 - Pursue",IF(AA64&gt;=60,"Tier 3 - Selective","Do Not Pursue")))))</f>
        <v/>
      </c>
      <c r="AC64" s="52">
        <f>IF(C64="","",IF(I64&lt;&gt;"","Named Contact",IF(AA64&gt;0,"Outreach Logged","Cold")))</f>
        <v/>
      </c>
      <c r="AD64" s="52">
        <f>IF(B64="","",COUNTIF('Outreach Log'!$C:$C,B64))</f>
        <v/>
      </c>
      <c r="AE64" s="52">
        <f>IF(A64="","",IF(OR(K64="Rejected",K64="Closed"),IF(L64&lt;&gt;"",L64-A64,TODAY()-A64),TODAY()-A64))</f>
        <v/>
      </c>
      <c r="AF64" s="52">
        <f>IF(C64="","",IF(AND(AA64&gt;=70,AC64="Cold"),"High-fit but cold",IF(AND(AA64&lt;60,K64="Applied"),"Low-fit application",IF(AND(AA64&gt;=70,OR(AC64="Named Contact",AC64="Outreach Logged")),"Targeted pursuit","Review"))))</f>
        <v/>
      </c>
    </row>
    <row r="65" ht="15" customHeight="1" s="44">
      <c r="A65" s="53" t="n">
        <v>46070</v>
      </c>
      <c r="B65" s="48" t="inlineStr">
        <is>
          <t>Hydro One</t>
        </is>
      </c>
      <c r="C65" s="48" t="inlineStr">
        <is>
          <t>Finance Manager - Technology</t>
        </is>
      </c>
      <c r="D65" s="48" t="inlineStr">
        <is>
          <t>Manager</t>
        </is>
      </c>
      <c r="E65" s="48" t="inlineStr">
        <is>
          <t>Canada</t>
        </is>
      </c>
      <c r="F65" s="48" t="inlineStr">
        <is>
          <t>Toronto</t>
        </is>
      </c>
      <c r="G65" s="48" t="n">
        <v>50</v>
      </c>
      <c r="H65" s="48" t="inlineStr">
        <is>
          <t>Cold Portal</t>
        </is>
      </c>
      <c r="I65" s="48" t="n"/>
      <c r="J65" s="48" t="inlineStr">
        <is>
          <t>No</t>
        </is>
      </c>
      <c r="K65" s="49" t="inlineStr">
        <is>
          <t>Rejected</t>
        </is>
      </c>
      <c r="L65" s="50" t="n">
        <v>46248</v>
      </c>
      <c r="M65" s="48">
        <f>IF(OR(L17="",A17=""),"",L17-A17)</f>
        <v/>
      </c>
      <c r="N65" s="48" t="n"/>
      <c r="O65" s="48" t="n"/>
      <c r="P65" s="51" t="inlineStr">
        <is>
          <t>Rejected 2026-08-14 via Hydro One SuccessFactors. Application was not previously logged in tracker; original apply date unknown. Role surfaced via saved job agent at jobs.hydroone.com. ROLE PATTERN (Hydro One Finance/Technology manager postings): bridges finance, engineering, and technology stakeholders; budget/cost analysis, financial reporting for tech initiatives, cross-functional influence without formal authority. STRENGTHS: cross-functional influence, Bell TCO cost-model/stakeholder experience (finance, procurement, accounting) is directly relevant. GAPS: role is Finance-Manager-titled, not Program/Portfolio-Manager-titled — may screen for finance credentials (CPA/accounting background) Elena does not hold; utility/regulated-energy sector domain not previously evidenced. | Date Applied confirmed 2026-02-17 via Hydro One confirmation email (Req ID: 51042).</t>
        </is>
      </c>
      <c r="Q65" s="48" t="n"/>
      <c r="R65" s="48" t="n"/>
      <c r="S65" s="51" t="n"/>
      <c r="T65" s="52">
        <f>IF(G65="","",G65)</f>
        <v/>
      </c>
      <c r="U65" s="52">
        <f>IF(C65="","",IF(OR(ISNUMBER(SEARCH("Director",C65)),ISNUMBER(SEARCH("Lead",C65)),ISNUMBER(SEARCH("Senior",C65)),ISNUMBER(SEARCH("Sr.",C65))),90,IF(OR(ISNUMBER(SEARCH("Manager",C65)),ISNUMBER(SEARCH("Program",C65)),ISNUMBER(SEARCH("Portfolio",C65))),80,60)))</f>
        <v/>
      </c>
      <c r="V65" s="52">
        <f>IF(C65="","",IF(OR(ISNUMBER(SEARCH("AI",C65)),ISNUMBER(SEARCH("Data",C65)),ISNUMBER(SEARCH("Technology",C65)),ISNUMBER(SEARCH("Technical",C65)),ISNUMBER(SEARCH("Engineering",C65)),ISNUMBER(SEARCH("Platform",C65)),ISNUMBER(SEARCH("Portfolio",C65))),85,65))</f>
        <v/>
      </c>
      <c r="W65" s="52">
        <f>IF(C65="","",MIN(100,50+IF(S65&lt;&gt;"",25,0)+IF(R65&lt;&gt;"",15,0)+IF(P65&lt;&gt;"",10,0)))</f>
        <v/>
      </c>
      <c r="X65" s="52">
        <f>IF(E65="","",IF(OR(E65="Canada",E65="CA"),100,IF(OR(E65="United States",E65="USA",E65="US"),IF(J65="Yes",45,75),65)))</f>
        <v/>
      </c>
      <c r="Y65" s="52">
        <f>IF(C65="","",IF(OR(ISNUMBER(SEARCH("Program",C65)),ISNUMBER(SEARCH("Portfolio",C65)),ISNUMBER(SEARCH("Operations",C65)),ISNUMBER(SEARCH("Transformation",C65))),85,IF(ISNUMBER(SEARCH("Product Manager",C65)),55,70)))</f>
        <v/>
      </c>
      <c r="Z65" s="52">
        <f>IF(C65="","",MIN(100,IF(I65&lt;&gt;"",60,10)+IF(AA65&gt;0,MIN(40,AA65*20),0)))</f>
        <v/>
      </c>
      <c r="AA65" s="52">
        <f>IF(T65="","",ROUND(T65*25%+U65*15%+V65*10%+W65*15%+X65*15%+Y65*10%+Z65*10%,0))</f>
        <v/>
      </c>
      <c r="AB65" s="52">
        <f>IF(AA65="","",IF(X65&lt;50,"Selective / Barrier",IF(AA65&gt;=80,"Tier 1 - Pursue",IF(AA65&gt;=70,"Tier 2 - Pursue",IF(AA65&gt;=60,"Tier 3 - Selective","Do Not Pursue")))))</f>
        <v/>
      </c>
      <c r="AC65" s="52">
        <f>IF(C65="","",IF(I65&lt;&gt;"","Named Contact",IF(AA65&gt;0,"Outreach Logged","Cold")))</f>
        <v/>
      </c>
      <c r="AD65" s="52">
        <f>IF(B65="","",COUNTIF('Outreach Log'!$C:$C,B65))</f>
        <v/>
      </c>
      <c r="AE65" s="52">
        <f>IF(A65="","",IF(OR(K65="Rejected",K65="Closed"),IF(L65&lt;&gt;"",L65-A65,TODAY()-A65),TODAY()-A65))</f>
        <v/>
      </c>
      <c r="AF65" s="52">
        <f>IF(C65="","",IF(AND(AA65&gt;=70,AC65="Cold"),"High-fit but cold",IF(AND(AA65&lt;60,K65="Applied"),"Low-fit application",IF(AND(AA65&gt;=70,OR(AC65="Named Contact",AC65="Outreach Logged")),"Targeted pursuit","Review"))))</f>
        <v/>
      </c>
    </row>
    <row r="66" ht="15" customHeight="1" s="44">
      <c r="A66" s="53" t="n">
        <v>46072</v>
      </c>
      <c r="B66" s="48" t="inlineStr">
        <is>
          <t>Uber</t>
        </is>
      </c>
      <c r="C66" s="48" t="inlineStr">
        <is>
          <t>Senior Strategy and Operations Manager - Consumer Pricing &amp; Insights</t>
        </is>
      </c>
      <c r="D66" s="48" t="inlineStr">
        <is>
          <t>Senior</t>
        </is>
      </c>
      <c r="E66" s="48" t="inlineStr">
        <is>
          <t>Canada</t>
        </is>
      </c>
      <c r="F66" s="48" t="inlineStr">
        <is>
          <t>Toronto, ON</t>
        </is>
      </c>
      <c r="G66" s="48" t="n">
        <v>48</v>
      </c>
      <c r="H66" s="48" t="inlineStr">
        <is>
          <t>Cold Portal</t>
        </is>
      </c>
      <c r="I66" s="48" t="n"/>
      <c r="J66" s="48" t="inlineStr">
        <is>
          <t>No</t>
        </is>
      </c>
      <c r="K66" s="49" t="inlineStr">
        <is>
          <t>Rejected</t>
        </is>
      </c>
      <c r="L66" s="48" t="n"/>
      <c r="M66" s="48">
        <f>IF(OR(L18="",A18=""),"",L18-A18)</f>
        <v/>
      </c>
      <c r="N66" s="48" t="n"/>
      <c r="O66" s="48" t="n"/>
      <c r="P66" s="51" t="inlineStr">
        <is>
          <t>Applied 2026-02-19, per Uber Oracle Cloud candidate portal (Status: Not Selected). Retroactively logged 2026-09-16 — was missing from tracker entirely. Est. fit score: 48 — Strategy &amp; Operations / Consumer Pricing is a step away from her core Program/Portfolio Management lane, closer to a business-strategy/analytics discipline.</t>
        </is>
      </c>
      <c r="Q66" s="48" t="n"/>
      <c r="R66" s="48" t="n"/>
      <c r="S66" s="51" t="n"/>
      <c r="T66" s="52">
        <f>IF(G66="","",G66)</f>
        <v/>
      </c>
      <c r="U66" s="52">
        <f>IF(C66="","",IF(OR(ISNUMBER(SEARCH("Director",C66)),ISNUMBER(SEARCH("Lead",C66)),ISNUMBER(SEARCH("Senior",C66)),ISNUMBER(SEARCH("Sr.",C66))),90,IF(OR(ISNUMBER(SEARCH("Manager",C66)),ISNUMBER(SEARCH("Program",C66)),ISNUMBER(SEARCH("Portfolio",C66))),80,60)))</f>
        <v/>
      </c>
      <c r="V66" s="52">
        <f>IF(C66="","",IF(OR(ISNUMBER(SEARCH("AI",C66)),ISNUMBER(SEARCH("Data",C66)),ISNUMBER(SEARCH("Technology",C66)),ISNUMBER(SEARCH("Technical",C66)),ISNUMBER(SEARCH("Engineering",C66)),ISNUMBER(SEARCH("Platform",C66)),ISNUMBER(SEARCH("Portfolio",C66))),85,65))</f>
        <v/>
      </c>
      <c r="W66" s="52">
        <f>IF(C66="","",MIN(100,50+IF(S66&lt;&gt;"",25,0)+IF(R66&lt;&gt;"",15,0)+IF(P66&lt;&gt;"",10,0)))</f>
        <v/>
      </c>
      <c r="X66" s="52">
        <f>IF(E66="","",IF(OR(E66="Canada",E66="CA"),100,IF(OR(E66="United States",E66="USA",E66="US"),IF(J66="Yes",45,75),65)))</f>
        <v/>
      </c>
      <c r="Y66" s="52">
        <f>IF(C66="","",IF(OR(ISNUMBER(SEARCH("Program",C66)),ISNUMBER(SEARCH("Portfolio",C66)),ISNUMBER(SEARCH("Operations",C66)),ISNUMBER(SEARCH("Transformation",C66))),85,IF(ISNUMBER(SEARCH("Product Manager",C66)),55,70)))</f>
        <v/>
      </c>
      <c r="Z66" s="52">
        <f>IF(C66="","",MIN(100,IF(I66&lt;&gt;"",60,10)+IF(AA66&gt;0,MIN(40,AA66*20),0)))</f>
        <v/>
      </c>
      <c r="AA66" s="52">
        <f>IF(T66="","",ROUND(T66*25%+U66*15%+V66*10%+W66*15%+X66*15%+Y66*10%+Z66*10%,0))</f>
        <v/>
      </c>
      <c r="AB66" s="52">
        <f>IF(AA66="","",IF(X66&lt;50,"Selective / Barrier",IF(AA66&gt;=80,"Tier 1 - Pursue",IF(AA66&gt;=70,"Tier 2 - Pursue",IF(AA66&gt;=60,"Tier 3 - Selective","Do Not Pursue")))))</f>
        <v/>
      </c>
      <c r="AC66" s="52">
        <f>IF(C66="","",IF(I66&lt;&gt;"","Named Contact",IF(AA66&gt;0,"Outreach Logged","Cold")))</f>
        <v/>
      </c>
      <c r="AD66" s="52">
        <f>IF(B66="","",COUNTIF('Outreach Log'!$C:$C,B66))</f>
        <v/>
      </c>
      <c r="AE66" s="52">
        <f>IF(A66="","",IF(OR(K66="Rejected",K66="Closed"),IF(L66&lt;&gt;"",L66-A66,TODAY()-A66),TODAY()-A66))</f>
        <v/>
      </c>
      <c r="AF66" s="52">
        <f>IF(C66="","",IF(AND(AA66&gt;=70,AC66="Cold"),"High-fit but cold",IF(AND(AA66&lt;60,K66="Applied"),"Low-fit application",IF(AND(AA66&gt;=70,OR(AC66="Named Contact",AC66="Outreach Logged")),"Targeted pursuit","Review"))))</f>
        <v/>
      </c>
    </row>
    <row r="67" ht="15" customHeight="1" s="44">
      <c r="A67" s="53" t="n">
        <v>46073</v>
      </c>
      <c r="B67" s="48" t="inlineStr">
        <is>
          <t>Capco</t>
        </is>
      </c>
      <c r="C67" s="48" t="inlineStr">
        <is>
          <t>Project Manager - Wealth &amp; Asset Management</t>
        </is>
      </c>
      <c r="D67" s="48" t="inlineStr">
        <is>
          <t>Senior/Manager</t>
        </is>
      </c>
      <c r="E67" s="48" t="inlineStr">
        <is>
          <t>Canada</t>
        </is>
      </c>
      <c r="F67" s="48" t="inlineStr">
        <is>
          <t>Toronto</t>
        </is>
      </c>
      <c r="G67" s="48" t="n">
        <v>66</v>
      </c>
      <c r="H67" s="48" t="inlineStr">
        <is>
          <t>Cold Portal</t>
        </is>
      </c>
      <c r="I67" s="48" t="n"/>
      <c r="J67" s="48" t="inlineStr">
        <is>
          <t>No</t>
        </is>
      </c>
      <c r="K67" s="49" t="inlineStr">
        <is>
          <t>Rejected</t>
        </is>
      </c>
      <c r="L67" s="48" t="n"/>
      <c r="M67" s="48">
        <f>IF(OR(L66="",A66=""),"",L66-A66)</f>
        <v/>
      </c>
      <c r="N67" s="48" t="n"/>
      <c r="O67" s="48" t="n"/>
      <c r="P67" s="51" t="inlineStr">
        <is>
          <t>Wealth &amp; Asset Management practice, Permanent. Delivers complex change programs for financial services clients: end-to-end project plans, vendor management, cross-functional stakeholder engagement, executive-ready materials. Solid generalist PM fit; scored slightly below other Capco roles due to no direct wealth/asset management domain experience. From Greenhouse portal review; distinct from other Capco applications. Rejected.</t>
        </is>
      </c>
      <c r="Q67" s="48" t="n"/>
      <c r="R67" s="48" t="inlineStr">
        <is>
          <t>Domain mismatch (Wealth/Asset Mgmt) — generalist PM only</t>
        </is>
      </c>
      <c r="S67" s="51" t="inlineStr">
        <is>
          <t>Wealth/Asset Mgmt domain PM. End-to-end delivery. Vendor coordination. Executive-ready materials.</t>
        </is>
      </c>
      <c r="T67" s="52">
        <f>IF(G67="","",G67)</f>
        <v/>
      </c>
      <c r="U67" s="52">
        <f>IF(C67="","",IF(OR(ISNUMBER(SEARCH("Director",C67)),ISNUMBER(SEARCH("Lead",C67)),ISNUMBER(SEARCH("Senior",C67)),ISNUMBER(SEARCH("Sr.",C67))),90,IF(OR(ISNUMBER(SEARCH("Manager",C67)),ISNUMBER(SEARCH("Program",C67)),ISNUMBER(SEARCH("Portfolio",C67))),80,60)))</f>
        <v/>
      </c>
      <c r="V67" s="52">
        <f>IF(C67="","",IF(OR(ISNUMBER(SEARCH("AI",C67)),ISNUMBER(SEARCH("Data",C67)),ISNUMBER(SEARCH("Technology",C67)),ISNUMBER(SEARCH("Technical",C67)),ISNUMBER(SEARCH("Engineering",C67)),ISNUMBER(SEARCH("Platform",C67)),ISNUMBER(SEARCH("Portfolio",C67))),85,65))</f>
        <v/>
      </c>
      <c r="W67" s="52">
        <f>IF(C67="","",MIN(100,50+IF(S67&lt;&gt;"",25,0)+IF(R67&lt;&gt;"",15,0)+IF(P67&lt;&gt;"",10,0)))</f>
        <v/>
      </c>
      <c r="X67" s="52">
        <f>IF(E67="","",IF(OR(E67="Canada",E67="CA"),100,IF(OR(E67="United States",E67="USA",E67="US"),IF(J67="Yes",45,75),65)))</f>
        <v/>
      </c>
      <c r="Y67" s="52">
        <f>IF(C67="","",IF(OR(ISNUMBER(SEARCH("Program",C67)),ISNUMBER(SEARCH("Portfolio",C67)),ISNUMBER(SEARCH("Operations",C67)),ISNUMBER(SEARCH("Transformation",C67))),85,IF(ISNUMBER(SEARCH("Product Manager",C67)),55,70)))</f>
        <v/>
      </c>
      <c r="Z67" s="52">
        <f>IF(C67="","",MIN(100,IF(I67&lt;&gt;"",60,10)+IF(AA67&gt;0,MIN(40,AA67*20),0)))</f>
        <v/>
      </c>
      <c r="AA67" s="52">
        <f>IF(T67="","",ROUND(T67*25%+U67*15%+V67*10%+W67*15%+X67*15%+Y67*10%+Z67*10%,0))</f>
        <v/>
      </c>
      <c r="AB67" s="52">
        <f>IF(AA67="","",IF(X67&lt;50,"Selective / Barrier",IF(AA67&gt;=80,"Tier 1 - Pursue",IF(AA67&gt;=70,"Tier 2 - Pursue",IF(AA67&gt;=60,"Tier 3 - Selective","Do Not Pursue")))))</f>
        <v/>
      </c>
      <c r="AC67" s="52">
        <f>IF(C67="","",IF(I67&lt;&gt;"","Named Contact",IF(AA67&gt;0,"Outreach Logged","Cold")))</f>
        <v/>
      </c>
      <c r="AD67" s="52">
        <f>IF(B67="","",COUNTIF('Outreach Log'!$C:$C,B67))</f>
        <v/>
      </c>
      <c r="AE67" s="52">
        <f>IF(A67="","",IF(OR(K67="Rejected",K67="Closed"),IF(L67&lt;&gt;"",L67-A67,TODAY()-A67),TODAY()-A67))</f>
        <v/>
      </c>
      <c r="AF67" s="52">
        <f>IF(C67="","",IF(AND(AA67&gt;=70,AC67="Cold"),"High-fit but cold",IF(AND(AA67&lt;60,K67="Applied"),"Low-fit application",IF(AND(AA67&gt;=70,OR(AC67="Named Contact",AC67="Outreach Logged")),"Targeted pursuit","Review"))))</f>
        <v/>
      </c>
    </row>
    <row r="68" ht="15" customHeight="1" s="44">
      <c r="A68" s="53" t="n">
        <v>46073</v>
      </c>
      <c r="B68" s="48" t="inlineStr">
        <is>
          <t>Figma</t>
        </is>
      </c>
      <c r="C68" s="48" t="inlineStr">
        <is>
          <t>Strategic Program Manager</t>
        </is>
      </c>
      <c r="D68" s="48" t="inlineStr">
        <is>
          <t>Senior/Manager</t>
        </is>
      </c>
      <c r="E68" s="48" t="inlineStr">
        <is>
          <t>US</t>
        </is>
      </c>
      <c r="F68" s="48" t="inlineStr">
        <is>
          <t>San Francisco / New York (Remote US eligible)</t>
        </is>
      </c>
      <c r="G68" s="48" t="n">
        <v>58</v>
      </c>
      <c r="H68" s="48" t="inlineStr">
        <is>
          <t>Cold Portal</t>
        </is>
      </c>
      <c r="I68" s="48" t="n"/>
      <c r="J68" s="48" t="inlineStr">
        <is>
          <t>Yes</t>
        </is>
      </c>
      <c r="K68" s="49" t="inlineStr">
        <is>
          <t>Rejected</t>
        </is>
      </c>
      <c r="L68" s="48" t="n"/>
      <c r="M68" s="48">
        <f>IF(OR(L67="",A67=""),"",L67-A67)</f>
        <v/>
      </c>
      <c r="N68" s="48" t="n"/>
      <c r="O68" s="48" t="n"/>
      <c r="P68" s="51" t="inlineStr">
        <is>
          <t>Strategic right hand to VP of Product Support; leads annual planning process, cross-functional OKR alignment, business cases for strategic initiatives, executive narrative/All Hands content. 6+ years strategic program management / business ops in SaaS required. Moderate fit: strong program leadership and executive communication overlap, but role skews more Chief-of-Staff / business-ops strategy than technical program delivery. $122K-$260K USD base range (SF/NY hub). From Greenhouse portal review. Rejected.</t>
        </is>
      </c>
      <c r="Q68" s="48" t="n"/>
      <c r="R68" s="48" t="inlineStr">
        <is>
          <t>Role-type mismatch (Business-ops/Chief-of-Staff vs. technical TPM)</t>
        </is>
      </c>
      <c r="S68" s="51" t="inlineStr">
        <is>
          <t>6+ yrs strategic program mgmt/biz ops in SaaS. Annual planning, OKRs. Business case building. Executive storytelling/change management.</t>
        </is>
      </c>
      <c r="T68" s="52">
        <f>IF(G68="","",G68)</f>
        <v/>
      </c>
      <c r="U68" s="52">
        <f>IF(C68="","",IF(OR(ISNUMBER(SEARCH("Director",C68)),ISNUMBER(SEARCH("Lead",C68)),ISNUMBER(SEARCH("Senior",C68)),ISNUMBER(SEARCH("Sr.",C68))),90,IF(OR(ISNUMBER(SEARCH("Manager",C68)),ISNUMBER(SEARCH("Program",C68)),ISNUMBER(SEARCH("Portfolio",C68))),80,60)))</f>
        <v/>
      </c>
      <c r="V68" s="52">
        <f>IF(C68="","",IF(OR(ISNUMBER(SEARCH("AI",C68)),ISNUMBER(SEARCH("Data",C68)),ISNUMBER(SEARCH("Technology",C68)),ISNUMBER(SEARCH("Technical",C68)),ISNUMBER(SEARCH("Engineering",C68)),ISNUMBER(SEARCH("Platform",C68)),ISNUMBER(SEARCH("Portfolio",C68))),85,65))</f>
        <v/>
      </c>
      <c r="W68" s="52">
        <f>IF(C68="","",MIN(100,50+IF(S68&lt;&gt;"",25,0)+IF(R68&lt;&gt;"",15,0)+IF(P68&lt;&gt;"",10,0)))</f>
        <v/>
      </c>
      <c r="X68" s="52">
        <f>IF(E68="","",IF(OR(E68="Canada",E68="CA"),100,IF(OR(E68="United States",E68="USA",E68="US"),IF(J68="Yes",45,75),65)))</f>
        <v/>
      </c>
      <c r="Y68" s="52">
        <f>IF(C68="","",IF(OR(ISNUMBER(SEARCH("Program",C68)),ISNUMBER(SEARCH("Portfolio",C68)),ISNUMBER(SEARCH("Operations",C68)),ISNUMBER(SEARCH("Transformation",C68))),85,IF(ISNUMBER(SEARCH("Product Manager",C68)),55,70)))</f>
        <v/>
      </c>
      <c r="Z68" s="52">
        <f>IF(C68="","",MIN(100,IF(I68&lt;&gt;"",60,10)+IF(AA68&gt;0,MIN(40,AA68*20),0)))</f>
        <v/>
      </c>
      <c r="AA68" s="52">
        <f>IF(T68="","",ROUND(T68*25%+U68*15%+V68*10%+W68*15%+X68*15%+Y68*10%+Z68*10%,0))</f>
        <v/>
      </c>
      <c r="AB68" s="52">
        <f>IF(AA68="","",IF(X68&lt;50,"Selective / Barrier",IF(AA68&gt;=80,"Tier 1 - Pursue",IF(AA68&gt;=70,"Tier 2 - Pursue",IF(AA68&gt;=60,"Tier 3 - Selective","Do Not Pursue")))))</f>
        <v/>
      </c>
      <c r="AC68" s="52">
        <f>IF(C68="","",IF(I68&lt;&gt;"","Named Contact",IF(AA68&gt;0,"Outreach Logged","Cold")))</f>
        <v/>
      </c>
      <c r="AD68" s="52">
        <f>IF(B68="","",COUNTIF('Outreach Log'!$C:$C,B68))</f>
        <v/>
      </c>
      <c r="AE68" s="52">
        <f>IF(A68="","",IF(OR(K68="Rejected",K68="Closed"),IF(L68&lt;&gt;"",L68-A68,TODAY()-A68),TODAY()-A68))</f>
        <v/>
      </c>
      <c r="AF68" s="52">
        <f>IF(C68="","",IF(AND(AA68&gt;=70,AC68="Cold"),"High-fit but cold",IF(AND(AA68&lt;60,K68="Applied"),"Low-fit application",IF(AND(AA68&gt;=70,OR(AC68="Named Contact",AC68="Outreach Logged")),"Targeted pursuit","Review"))))</f>
        <v/>
      </c>
    </row>
    <row r="69" ht="15" customHeight="1" s="44">
      <c r="A69" s="53" t="n">
        <v>46073</v>
      </c>
      <c r="B69" s="48" t="inlineStr">
        <is>
          <t>Compass</t>
        </is>
      </c>
      <c r="C69" s="48" t="inlineStr">
        <is>
          <t>Senior Technical Program Manager</t>
        </is>
      </c>
      <c r="D69" s="48" t="inlineStr">
        <is>
          <t>Senior</t>
        </is>
      </c>
      <c r="E69" s="48" t="inlineStr">
        <is>
          <t>US</t>
        </is>
      </c>
      <c r="F69" s="48" t="inlineStr">
        <is>
          <t>New York City</t>
        </is>
      </c>
      <c r="G69" s="48" t="n">
        <v>66</v>
      </c>
      <c r="H69" s="48" t="inlineStr">
        <is>
          <t>Cold Portal</t>
        </is>
      </c>
      <c r="I69" s="48" t="n"/>
      <c r="J69" s="48" t="inlineStr">
        <is>
          <t>Yes</t>
        </is>
      </c>
      <c r="K69" s="49" t="inlineStr">
        <is>
          <t>Rejected</t>
        </is>
      </c>
      <c r="L69" s="48" t="n"/>
      <c r="M69" s="48">
        <f>IF(OR(L68="",A68=""),"",L68-A68)</f>
        <v/>
      </c>
      <c r="N69" s="48" t="n"/>
      <c r="O69" s="48" t="n"/>
      <c r="P69" s="51" t="inlineStr">
        <is>
          <t>Leads cross-org Mobile Engineering initiatives (Agent/Client-facing features), owns program lifecycle, KPIs, and executive narratives across BOS/NY/DC/Seattle. Requires BS/MS CS, 5+ years TPM in high-pace tech, hands-on familiarity with AWS/cloud architecture, containerization, CI/CD. Moderate fit: strong program leadership overlap but role skews toward mobile/consumer tech engineering depth outside core enterprise data/AI background. From Greenhouse portal review. Rejected.</t>
        </is>
      </c>
      <c r="Q69" s="48" t="n"/>
      <c r="R69" s="48" t="inlineStr">
        <is>
          <t>Technical depth gap (mobile eng/AWS/containerization)</t>
        </is>
      </c>
      <c r="S69" s="51" t="inlineStr">
        <is>
          <t>BS/MS CS. 5+ yrs TPM high-pace tech. AWS/cloud, containerization, CI/CD, microservices. Security frameworks.</t>
        </is>
      </c>
      <c r="T69" s="52">
        <f>IF(G69="","",G69)</f>
        <v/>
      </c>
      <c r="U69" s="52">
        <f>IF(C69="","",IF(OR(ISNUMBER(SEARCH("Director",C69)),ISNUMBER(SEARCH("Lead",C69)),ISNUMBER(SEARCH("Senior",C69)),ISNUMBER(SEARCH("Sr.",C69))),90,IF(OR(ISNUMBER(SEARCH("Manager",C69)),ISNUMBER(SEARCH("Program",C69)),ISNUMBER(SEARCH("Portfolio",C69))),80,60)))</f>
        <v/>
      </c>
      <c r="V69" s="52">
        <f>IF(C69="","",IF(OR(ISNUMBER(SEARCH("AI",C69)),ISNUMBER(SEARCH("Data",C69)),ISNUMBER(SEARCH("Technology",C69)),ISNUMBER(SEARCH("Technical",C69)),ISNUMBER(SEARCH("Engineering",C69)),ISNUMBER(SEARCH("Platform",C69)),ISNUMBER(SEARCH("Portfolio",C69))),85,65))</f>
        <v/>
      </c>
      <c r="W69" s="52">
        <f>IF(C69="","",MIN(100,50+IF(S69&lt;&gt;"",25,0)+IF(R69&lt;&gt;"",15,0)+IF(P69&lt;&gt;"",10,0)))</f>
        <v/>
      </c>
      <c r="X69" s="52">
        <f>IF(E69="","",IF(OR(E69="Canada",E69="CA"),100,IF(OR(E69="United States",E69="USA",E69="US"),IF(J69="Yes",45,75),65)))</f>
        <v/>
      </c>
      <c r="Y69" s="52">
        <f>IF(C69="","",IF(OR(ISNUMBER(SEARCH("Program",C69)),ISNUMBER(SEARCH("Portfolio",C69)),ISNUMBER(SEARCH("Operations",C69)),ISNUMBER(SEARCH("Transformation",C69))),85,IF(ISNUMBER(SEARCH("Product Manager",C69)),55,70)))</f>
        <v/>
      </c>
      <c r="Z69" s="52">
        <f>IF(C69="","",MIN(100,IF(I69&lt;&gt;"",60,10)+IF(AA69&gt;0,MIN(40,AA69*20),0)))</f>
        <v/>
      </c>
      <c r="AA69" s="52">
        <f>IF(T69="","",ROUND(T69*25%+U69*15%+V69*10%+W69*15%+X69*15%+Y69*10%+Z69*10%,0))</f>
        <v/>
      </c>
      <c r="AB69" s="52">
        <f>IF(AA69="","",IF(X69&lt;50,"Selective / Barrier",IF(AA69&gt;=80,"Tier 1 - Pursue",IF(AA69&gt;=70,"Tier 2 - Pursue",IF(AA69&gt;=60,"Tier 3 - Selective","Do Not Pursue")))))</f>
        <v/>
      </c>
      <c r="AC69" s="52">
        <f>IF(C69="","",IF(I69&lt;&gt;"","Named Contact",IF(AA69&gt;0,"Outreach Logged","Cold")))</f>
        <v/>
      </c>
      <c r="AD69" s="52">
        <f>IF(B69="","",COUNTIF('Outreach Log'!$C:$C,B69))</f>
        <v/>
      </c>
      <c r="AE69" s="52">
        <f>IF(A69="","",IF(OR(K69="Rejected",K69="Closed"),IF(L69&lt;&gt;"",L69-A69,TODAY()-A69),TODAY()-A69))</f>
        <v/>
      </c>
      <c r="AF69" s="52">
        <f>IF(C69="","",IF(AND(AA69&gt;=70,AC69="Cold"),"High-fit but cold",IF(AND(AA69&lt;60,K69="Applied"),"Low-fit application",IF(AND(AA69&gt;=70,OR(AC69="Named Contact",AC69="Outreach Logged")),"Targeted pursuit","Review"))))</f>
        <v/>
      </c>
    </row>
    <row r="70" ht="15" customHeight="1" s="44">
      <c r="A70" s="53" t="n">
        <v>46073</v>
      </c>
      <c r="B70" s="48" t="inlineStr">
        <is>
          <t>Robinhood</t>
        </is>
      </c>
      <c r="C70" s="48" t="inlineStr">
        <is>
          <t>Staff Technical Program Manager</t>
        </is>
      </c>
      <c r="D70" s="48" t="inlineStr">
        <is>
          <t>Senior/Staff (IC6)</t>
        </is>
      </c>
      <c r="E70" s="48" t="inlineStr">
        <is>
          <t>US</t>
        </is>
      </c>
      <c r="F70" s="48" t="inlineStr">
        <is>
          <t>Menlo Park, CA / New York, NY</t>
        </is>
      </c>
      <c r="G70" s="48" t="n">
        <v>63</v>
      </c>
      <c r="H70" s="48" t="inlineStr">
        <is>
          <t>Cold Portal</t>
        </is>
      </c>
      <c r="I70" s="48" t="n"/>
      <c r="J70" s="48" t="inlineStr">
        <is>
          <t>Yes</t>
        </is>
      </c>
      <c r="K70" s="49" t="inlineStr">
        <is>
          <t>Rejected</t>
        </is>
      </c>
      <c r="L70" s="48" t="n"/>
      <c r="M70" s="48">
        <f>IF(OR(L69="",A69=""),"",L69-A69)</f>
        <v/>
      </c>
      <c r="N70" s="48" t="n"/>
      <c r="O70" s="48" t="n"/>
      <c r="P70" s="51" t="inlineStr">
        <is>
          <t>Brokerage Technical Program Management team; leads programs on system performance, observability, automation for core brokerage infrastructure. 5+ years leading complex technical/engineering programs; requires deep system architecture fluency and in-office 3 days/week. Moderate fit: strong program leadership overlap but role demands hands-on distributed-systems technical depth beyond enterprise data/AI portfolio background. From Greenhouse portal review. Rejected.</t>
        </is>
      </c>
      <c r="Q70" s="48" t="n"/>
      <c r="R70" s="48" t="inlineStr">
        <is>
          <t>Technical depth gap (distributed systems architecture)</t>
        </is>
      </c>
      <c r="S70" s="51" t="inlineStr">
        <is>
          <t>5+ yrs leading complex technical/eng programs. System architecture fluency. Distributed systems. In-office 3 days/wk.</t>
        </is>
      </c>
      <c r="T70" s="52">
        <f>IF(G70="","",G70)</f>
        <v/>
      </c>
      <c r="U70" s="52">
        <f>IF(C70="","",IF(OR(ISNUMBER(SEARCH("Director",C70)),ISNUMBER(SEARCH("Lead",C70)),ISNUMBER(SEARCH("Senior",C70)),ISNUMBER(SEARCH("Sr.",C70))),90,IF(OR(ISNUMBER(SEARCH("Manager",C70)),ISNUMBER(SEARCH("Program",C70)),ISNUMBER(SEARCH("Portfolio",C70))),80,60)))</f>
        <v/>
      </c>
      <c r="V70" s="52">
        <f>IF(C70="","",IF(OR(ISNUMBER(SEARCH("AI",C70)),ISNUMBER(SEARCH("Data",C70)),ISNUMBER(SEARCH("Technology",C70)),ISNUMBER(SEARCH("Technical",C70)),ISNUMBER(SEARCH("Engineering",C70)),ISNUMBER(SEARCH("Platform",C70)),ISNUMBER(SEARCH("Portfolio",C70))),85,65))</f>
        <v/>
      </c>
      <c r="W70" s="52">
        <f>IF(C70="","",MIN(100,50+IF(S70&lt;&gt;"",25,0)+IF(R70&lt;&gt;"",15,0)+IF(P70&lt;&gt;"",10,0)))</f>
        <v/>
      </c>
      <c r="X70" s="52">
        <f>IF(E70="","",IF(OR(E70="Canada",E70="CA"),100,IF(OR(E70="United States",E70="USA",E70="US"),IF(J70="Yes",45,75),65)))</f>
        <v/>
      </c>
      <c r="Y70" s="52">
        <f>IF(C70="","",IF(OR(ISNUMBER(SEARCH("Program",C70)),ISNUMBER(SEARCH("Portfolio",C70)),ISNUMBER(SEARCH("Operations",C70)),ISNUMBER(SEARCH("Transformation",C70))),85,IF(ISNUMBER(SEARCH("Product Manager",C70)),55,70)))</f>
        <v/>
      </c>
      <c r="Z70" s="52">
        <f>IF(C70="","",MIN(100,IF(I70&lt;&gt;"",60,10)+IF(AA70&gt;0,MIN(40,AA70*20),0)))</f>
        <v/>
      </c>
      <c r="AA70" s="52">
        <f>IF(T70="","",ROUND(T70*25%+U70*15%+V70*10%+W70*15%+X70*15%+Y70*10%+Z70*10%,0))</f>
        <v/>
      </c>
      <c r="AB70" s="52">
        <f>IF(AA70="","",IF(X70&lt;50,"Selective / Barrier",IF(AA70&gt;=80,"Tier 1 - Pursue",IF(AA70&gt;=70,"Tier 2 - Pursue",IF(AA70&gt;=60,"Tier 3 - Selective","Do Not Pursue")))))</f>
        <v/>
      </c>
      <c r="AC70" s="52">
        <f>IF(C70="","",IF(I70&lt;&gt;"","Named Contact",IF(AA70&gt;0,"Outreach Logged","Cold")))</f>
        <v/>
      </c>
      <c r="AD70" s="52">
        <f>IF(B70="","",COUNTIF('Outreach Log'!$C:$C,B70))</f>
        <v/>
      </c>
      <c r="AE70" s="52">
        <f>IF(A70="","",IF(OR(K70="Rejected",K70="Closed"),IF(L70&lt;&gt;"",L70-A70,TODAY()-A70),TODAY()-A70))</f>
        <v/>
      </c>
      <c r="AF70" s="52">
        <f>IF(C70="","",IF(AND(AA70&gt;=70,AC70="Cold"),"High-fit but cold",IF(AND(AA70&lt;60,K70="Applied"),"Low-fit application",IF(AND(AA70&gt;=70,OR(AC70="Named Contact",AC70="Outreach Logged")),"Targeted pursuit","Review"))))</f>
        <v/>
      </c>
    </row>
    <row r="71" ht="15" customHeight="1" s="44">
      <c r="A71" s="53" t="n">
        <v>46073</v>
      </c>
      <c r="B71" s="48" t="inlineStr">
        <is>
          <t>Stripe</t>
        </is>
      </c>
      <c r="C71" s="48" t="inlineStr">
        <is>
          <t>Manager, Support Process Program Managers</t>
        </is>
      </c>
      <c r="D71" s="48" t="inlineStr">
        <is>
          <t>Senior Manager (people manager)</t>
        </is>
      </c>
      <c r="E71" s="48" t="inlineStr">
        <is>
          <t>US</t>
        </is>
      </c>
      <c r="F71" s="48" t="inlineStr">
        <is>
          <t>Remote</t>
        </is>
      </c>
      <c r="G71" s="48" t="n">
        <v>58</v>
      </c>
      <c r="H71" s="48" t="inlineStr">
        <is>
          <t>Cold Portal</t>
        </is>
      </c>
      <c r="I71" s="48" t="n"/>
      <c r="J71" s="48" t="inlineStr">
        <is>
          <t>Yes</t>
        </is>
      </c>
      <c r="K71" s="49" t="inlineStr">
        <is>
          <t>Rejected</t>
        </is>
      </c>
      <c r="L71" s="48" t="n"/>
      <c r="M71" s="48">
        <f>IF(OR(L70="",A70=""),"",L70-A70)</f>
        <v/>
      </c>
      <c r="N71" s="48" t="n"/>
      <c r="O71" s="48" t="n"/>
      <c r="P71" s="51" t="inlineStr">
        <is>
          <t>From Greenhouse portal: 'Applied 7 months ago'; distinct from Stripe Design Program Manager, AI already logged; title cut off; date approximate | User confirmed rejected (Sep 20, 2026). | Manages team of 5-8 program managers within Support org; owns Launch Readiness, Quality, Knowledge Management programs. Requires 10+ years ops/support/strategy&amp;ops, 5+ years managing PMs directly. Moderate fit: strong program leadership but role centers on people-managing a PM team within customer support ops, a narrower fit than broader enterprise TPM/portfolio work. From Greenhouse portal review. Rejected.</t>
        </is>
      </c>
      <c r="Q71" s="48" t="n"/>
      <c r="R71" s="48" t="inlineStr">
        <is>
          <t>Role-type mismatch (people-manages PM team vs. broad TPM)</t>
        </is>
      </c>
      <c r="S71" s="51" t="inlineStr">
        <is>
          <t>10+ yrs ops/support/strategy&amp;ops/consulting. 5+ yrs managing PM teams (5-8 direct reports). Support process ownership (QA, Launch Readiness).</t>
        </is>
      </c>
      <c r="T71" s="52">
        <f>IF(G71="","",G71)</f>
        <v/>
      </c>
      <c r="U71" s="52">
        <f>IF(C71="","",IF(OR(ISNUMBER(SEARCH("Director",C71)),ISNUMBER(SEARCH("Lead",C71)),ISNUMBER(SEARCH("Senior",C71)),ISNUMBER(SEARCH("Sr.",C71))),90,IF(OR(ISNUMBER(SEARCH("Manager",C71)),ISNUMBER(SEARCH("Program",C71)),ISNUMBER(SEARCH("Portfolio",C71))),80,60)))</f>
        <v/>
      </c>
      <c r="V71" s="52">
        <f>IF(C71="","",IF(OR(ISNUMBER(SEARCH("AI",C71)),ISNUMBER(SEARCH("Data",C71)),ISNUMBER(SEARCH("Technology",C71)),ISNUMBER(SEARCH("Technical",C71)),ISNUMBER(SEARCH("Engineering",C71)),ISNUMBER(SEARCH("Platform",C71)),ISNUMBER(SEARCH("Portfolio",C71))),85,65))</f>
        <v/>
      </c>
      <c r="W71" s="52">
        <f>IF(C71="","",MIN(100,50+IF(S71&lt;&gt;"",25,0)+IF(R71&lt;&gt;"",15,0)+IF(P71&lt;&gt;"",10,0)))</f>
        <v/>
      </c>
      <c r="X71" s="52">
        <f>IF(E71="","",IF(OR(E71="Canada",E71="CA"),100,IF(OR(E71="United States",E71="USA",E71="US"),IF(J71="Yes",45,75),65)))</f>
        <v/>
      </c>
      <c r="Y71" s="52">
        <f>IF(C71="","",IF(OR(ISNUMBER(SEARCH("Program",C71)),ISNUMBER(SEARCH("Portfolio",C71)),ISNUMBER(SEARCH("Operations",C71)),ISNUMBER(SEARCH("Transformation",C71))),85,IF(ISNUMBER(SEARCH("Product Manager",C71)),55,70)))</f>
        <v/>
      </c>
      <c r="Z71" s="52">
        <f>IF(C71="","",MIN(100,IF(I71&lt;&gt;"",60,10)+IF(AA71&gt;0,MIN(40,AA71*20),0)))</f>
        <v/>
      </c>
      <c r="AA71" s="52">
        <f>IF(T71="","",ROUND(T71*25%+U71*15%+V71*10%+W71*15%+X71*15%+Y71*10%+Z71*10%,0))</f>
        <v/>
      </c>
      <c r="AB71" s="52">
        <f>IF(AA71="","",IF(X71&lt;50,"Selective / Barrier",IF(AA71&gt;=80,"Tier 1 - Pursue",IF(AA71&gt;=70,"Tier 2 - Pursue",IF(AA71&gt;=60,"Tier 3 - Selective","Do Not Pursue")))))</f>
        <v/>
      </c>
      <c r="AC71" s="52">
        <f>IF(C71="","",IF(I71&lt;&gt;"","Named Contact",IF(AA71&gt;0,"Outreach Logged","Cold")))</f>
        <v/>
      </c>
      <c r="AD71" s="52">
        <f>IF(B71="","",COUNTIF('Outreach Log'!$C:$C,B71))</f>
        <v/>
      </c>
      <c r="AE71" s="52">
        <f>IF(A71="","",IF(OR(K71="Rejected",K71="Closed"),IF(L71&lt;&gt;"",L71-A71,TODAY()-A71),TODAY()-A71))</f>
        <v/>
      </c>
      <c r="AF71" s="52">
        <f>IF(C71="","",IF(AND(AA71&gt;=70,AC71="Cold"),"High-fit but cold",IF(AND(AA71&lt;60,K71="Applied"),"Low-fit application",IF(AND(AA71&gt;=70,OR(AC71="Named Contact",AC71="Outreach Logged")),"Targeted pursuit","Review"))))</f>
        <v/>
      </c>
    </row>
    <row r="72" ht="15" customHeight="1" s="44">
      <c r="A72" s="53" t="n">
        <v>46073</v>
      </c>
      <c r="B72" s="48" t="inlineStr">
        <is>
          <t>Clutch Technologies Inc.</t>
        </is>
      </c>
      <c r="C72" s="48" t="inlineStr">
        <is>
          <t>Project Manager</t>
        </is>
      </c>
      <c r="D72" s="48" t="inlineStr">
        <is>
          <t>Senior</t>
        </is>
      </c>
      <c r="E72" s="48" t="inlineStr">
        <is>
          <t>Canada</t>
        </is>
      </c>
      <c r="F72" s="48" t="inlineStr">
        <is>
          <t>Mississauga, ON</t>
        </is>
      </c>
      <c r="G72" s="48" t="n">
        <v>62</v>
      </c>
      <c r="H72" s="48" t="inlineStr">
        <is>
          <t>Cold Portal</t>
        </is>
      </c>
      <c r="I72" s="48" t="n"/>
      <c r="J72" s="48" t="inlineStr">
        <is>
          <t>No</t>
        </is>
      </c>
      <c r="K72" s="49" t="inlineStr">
        <is>
          <t>Rejected</t>
        </is>
      </c>
      <c r="L72" s="48" t="n"/>
      <c r="M72" s="48">
        <f>IF(OR(L71="",A71=""),"",L71-A71)</f>
        <v/>
      </c>
      <c r="N72" s="48" t="n"/>
      <c r="O72" s="48" t="n"/>
      <c r="P72" s="51" t="inlineStr">
        <is>
          <t>Canada's largest online used car retailer. Leads complex cross-functional operational initiatives spanning operations, engineering, and business teams; 5+ years PM, preferably manufacturing/complex ops/logistics background. Moderate fit: strong general PM and cross-functional delivery skills, but role is operations/logistics-domain focused rather than tech/data program management. From Greenhouse portal review. Rejected.</t>
        </is>
      </c>
      <c r="Q72" s="48" t="n"/>
      <c r="R72" s="48" t="inlineStr">
        <is>
          <t>Industry mismatch (operations/logistics/retail vs. tech)</t>
        </is>
      </c>
      <c r="S72" s="51" t="inlineStr">
        <is>
          <t>5+ yrs PM, preferably manufacturing/logistics/complex ops. Multi-stakeholder ops projects. PM tools (Asana/Jira/Smartsheet).</t>
        </is>
      </c>
      <c r="T72" s="52">
        <f>IF(G72="","",G72)</f>
        <v/>
      </c>
      <c r="U72" s="52">
        <f>IF(C72="","",IF(OR(ISNUMBER(SEARCH("Director",C72)),ISNUMBER(SEARCH("Lead",C72)),ISNUMBER(SEARCH("Senior",C72)),ISNUMBER(SEARCH("Sr.",C72))),90,IF(OR(ISNUMBER(SEARCH("Manager",C72)),ISNUMBER(SEARCH("Program",C72)),ISNUMBER(SEARCH("Portfolio",C72))),80,60)))</f>
        <v/>
      </c>
      <c r="V72" s="52">
        <f>IF(C72="","",IF(OR(ISNUMBER(SEARCH("AI",C72)),ISNUMBER(SEARCH("Data",C72)),ISNUMBER(SEARCH("Technology",C72)),ISNUMBER(SEARCH("Technical",C72)),ISNUMBER(SEARCH("Engineering",C72)),ISNUMBER(SEARCH("Platform",C72)),ISNUMBER(SEARCH("Portfolio",C72))),85,65))</f>
        <v/>
      </c>
      <c r="W72" s="52">
        <f>IF(C72="","",MIN(100,50+IF(S72&lt;&gt;"",25,0)+IF(R72&lt;&gt;"",15,0)+IF(P72&lt;&gt;"",10,0)))</f>
        <v/>
      </c>
      <c r="X72" s="52">
        <f>IF(E72="","",IF(OR(E72="Canada",E72="CA"),100,IF(OR(E72="United States",E72="USA",E72="US"),IF(J72="Yes",45,75),65)))</f>
        <v/>
      </c>
      <c r="Y72" s="52">
        <f>IF(C72="","",IF(OR(ISNUMBER(SEARCH("Program",C72)),ISNUMBER(SEARCH("Portfolio",C72)),ISNUMBER(SEARCH("Operations",C72)),ISNUMBER(SEARCH("Transformation",C72))),85,IF(ISNUMBER(SEARCH("Product Manager",C72)),55,70)))</f>
        <v/>
      </c>
      <c r="Z72" s="52">
        <f>IF(C72="","",MIN(100,IF(I72&lt;&gt;"",60,10)+IF(AA72&gt;0,MIN(40,AA72*20),0)))</f>
        <v/>
      </c>
      <c r="AA72" s="52">
        <f>IF(T72="","",ROUND(T72*25%+U72*15%+V72*10%+W72*15%+X72*15%+Y72*10%+Z72*10%,0))</f>
        <v/>
      </c>
      <c r="AB72" s="52">
        <f>IF(AA72="","",IF(X72&lt;50,"Selective / Barrier",IF(AA72&gt;=80,"Tier 1 - Pursue",IF(AA72&gt;=70,"Tier 2 - Pursue",IF(AA72&gt;=60,"Tier 3 - Selective","Do Not Pursue")))))</f>
        <v/>
      </c>
      <c r="AC72" s="52">
        <f>IF(C72="","",IF(I72&lt;&gt;"","Named Contact",IF(AA72&gt;0,"Outreach Logged","Cold")))</f>
        <v/>
      </c>
      <c r="AD72" s="52">
        <f>IF(B72="","",COUNTIF('Outreach Log'!$C:$C,B72))</f>
        <v/>
      </c>
      <c r="AE72" s="52">
        <f>IF(A72="","",IF(OR(K72="Rejected",K72="Closed"),IF(L72&lt;&gt;"",L72-A72,TODAY()-A72),TODAY()-A72))</f>
        <v/>
      </c>
      <c r="AF72" s="52">
        <f>IF(C72="","",IF(AND(AA72&gt;=70,AC72="Cold"),"High-fit but cold",IF(AND(AA72&lt;60,K72="Applied"),"Low-fit application",IF(AND(AA72&gt;=70,OR(AC72="Named Contact",AC72="Outreach Logged")),"Targeted pursuit","Review"))))</f>
        <v/>
      </c>
    </row>
    <row r="73" ht="15" customHeight="1" s="44">
      <c r="A73" s="53" t="n">
        <v>46073</v>
      </c>
      <c r="B73" s="48" t="inlineStr">
        <is>
          <t>Dropbox</t>
        </is>
      </c>
      <c r="C73" s="48" t="inlineStr">
        <is>
          <t>Senior Strategy &amp; Operations Program Manager</t>
        </is>
      </c>
      <c r="D73" s="48" t="inlineStr">
        <is>
          <t>Senior IC</t>
        </is>
      </c>
      <c r="E73" s="48" t="inlineStr">
        <is>
          <t>Canada</t>
        </is>
      </c>
      <c r="F73" s="48" t="inlineStr">
        <is>
          <t>Remote - Canada (Select locations)</t>
        </is>
      </c>
      <c r="G73" s="48" t="n">
        <v>75</v>
      </c>
      <c r="H73" s="48" t="inlineStr">
        <is>
          <t>Cold Portal</t>
        </is>
      </c>
      <c r="I73" s="48" t="n"/>
      <c r="J73" s="48" t="inlineStr">
        <is>
          <t>No</t>
        </is>
      </c>
      <c r="K73" s="49" t="inlineStr">
        <is>
          <t>Rejected</t>
        </is>
      </c>
      <c r="L73" s="48" t="n"/>
      <c r="M73" s="48">
        <f>IF(OR(L72="",A72=""),"",L72-A72)</f>
        <v/>
      </c>
      <c r="N73" s="48" t="n"/>
      <c r="O73" s="48" t="n"/>
      <c r="P73" s="51" t="inlineStr">
        <is>
          <t>Small high-impact team partnering with Product/Eng/Design/GTM/Exec leadership on strategy, operating cadence (goals, QBRs, roadmap reviews), and cross-functional execution. 10+ years program management/biz ops/strategy at high-growth SaaS company. Strong fit: closely mirrors enterprise portfolio/program leadership and executive-facing strategic delivery background. Pay range $178,500-$241,500 CAD. From Greenhouse portal review. Rejected.</t>
        </is>
      </c>
      <c r="Q73" s="48" t="n"/>
      <c r="R73" s="48" t="inlineStr">
        <is>
          <t>Strong fit — executive strategy/program leadership match</t>
        </is>
      </c>
      <c r="S73" s="51" t="inlineStr">
        <is>
          <t>10+ yrs program mgmt/biz ops/strategy at high-growth SaaS. Operating cadence design (goals, QBRs). Data tools (Tableau/Amplitude).</t>
        </is>
      </c>
      <c r="T73" s="52">
        <f>IF(G73="","",G73)</f>
        <v/>
      </c>
      <c r="U73" s="52">
        <f>IF(C73="","",IF(OR(ISNUMBER(SEARCH("Director",C73)),ISNUMBER(SEARCH("Lead",C73)),ISNUMBER(SEARCH("Senior",C73)),ISNUMBER(SEARCH("Sr.",C73))),90,IF(OR(ISNUMBER(SEARCH("Manager",C73)),ISNUMBER(SEARCH("Program",C73)),ISNUMBER(SEARCH("Portfolio",C73))),80,60)))</f>
        <v/>
      </c>
      <c r="V73" s="52">
        <f>IF(C73="","",IF(OR(ISNUMBER(SEARCH("AI",C73)),ISNUMBER(SEARCH("Data",C73)),ISNUMBER(SEARCH("Technology",C73)),ISNUMBER(SEARCH("Technical",C73)),ISNUMBER(SEARCH("Engineering",C73)),ISNUMBER(SEARCH("Platform",C73)),ISNUMBER(SEARCH("Portfolio",C73))),85,65))</f>
        <v/>
      </c>
      <c r="W73" s="52">
        <f>IF(C73="","",MIN(100,50+IF(S73&lt;&gt;"",25,0)+IF(R73&lt;&gt;"",15,0)+IF(P73&lt;&gt;"",10,0)))</f>
        <v/>
      </c>
      <c r="X73" s="52">
        <f>IF(E73="","",IF(OR(E73="Canada",E73="CA"),100,IF(OR(E73="United States",E73="USA",E73="US"),IF(J73="Yes",45,75),65)))</f>
        <v/>
      </c>
      <c r="Y73" s="52">
        <f>IF(C73="","",IF(OR(ISNUMBER(SEARCH("Program",C73)),ISNUMBER(SEARCH("Portfolio",C73)),ISNUMBER(SEARCH("Operations",C73)),ISNUMBER(SEARCH("Transformation",C73))),85,IF(ISNUMBER(SEARCH("Product Manager",C73)),55,70)))</f>
        <v/>
      </c>
      <c r="Z73" s="52">
        <f>IF(C73="","",MIN(100,IF(I73&lt;&gt;"",60,10)+IF(AA73&gt;0,MIN(40,AA73*20),0)))</f>
        <v/>
      </c>
      <c r="AA73" s="52">
        <f>IF(T73="","",ROUND(T73*25%+U73*15%+V73*10%+W73*15%+X73*15%+Y73*10%+Z73*10%,0))</f>
        <v/>
      </c>
      <c r="AB73" s="52">
        <f>IF(AA73="","",IF(X73&lt;50,"Selective / Barrier",IF(AA73&gt;=80,"Tier 1 - Pursue",IF(AA73&gt;=70,"Tier 2 - Pursue",IF(AA73&gt;=60,"Tier 3 - Selective","Do Not Pursue")))))</f>
        <v/>
      </c>
      <c r="AC73" s="52">
        <f>IF(C73="","",IF(I73&lt;&gt;"","Named Contact",IF(AA73&gt;0,"Outreach Logged","Cold")))</f>
        <v/>
      </c>
      <c r="AD73" s="52">
        <f>IF(B73="","",COUNTIF('Outreach Log'!$C:$C,B73))</f>
        <v/>
      </c>
      <c r="AE73" s="52">
        <f>IF(A73="","",IF(OR(K73="Rejected",K73="Closed"),IF(L73&lt;&gt;"",L73-A73,TODAY()-A73),TODAY()-A73))</f>
        <v/>
      </c>
      <c r="AF73" s="52">
        <f>IF(C73="","",IF(AND(AA73&gt;=70,AC73="Cold"),"High-fit but cold",IF(AND(AA73&lt;60,K73="Applied"),"Low-fit application",IF(AND(AA73&gt;=70,OR(AC73="Named Contact",AC73="Outreach Logged")),"Targeted pursuit","Review"))))</f>
        <v/>
      </c>
    </row>
    <row r="74" ht="15" customHeight="1" s="44">
      <c r="A74" s="53" t="n">
        <v>46073</v>
      </c>
      <c r="B74" s="48" t="inlineStr">
        <is>
          <t>Stripe</t>
        </is>
      </c>
      <c r="C74" s="48" t="inlineStr">
        <is>
          <t>Program Manager, Enterprise Servicing</t>
        </is>
      </c>
      <c r="D74" s="48" t="inlineStr">
        <is>
          <t>Senior</t>
        </is>
      </c>
      <c r="E74" s="48" t="inlineStr">
        <is>
          <t>US</t>
        </is>
      </c>
      <c r="F74" s="48" t="inlineStr">
        <is>
          <t>US (Remote-eligible)</t>
        </is>
      </c>
      <c r="G74" s="48" t="n">
        <v>66</v>
      </c>
      <c r="H74" s="48" t="inlineStr">
        <is>
          <t>Cold Portal</t>
        </is>
      </c>
      <c r="I74" s="48" t="n"/>
      <c r="J74" s="48" t="inlineStr">
        <is>
          <t>Yes</t>
        </is>
      </c>
      <c r="K74" s="49" t="inlineStr">
        <is>
          <t>Rejected</t>
        </is>
      </c>
      <c r="L74" s="48" t="n"/>
      <c r="M74" s="48">
        <f>IF(OR(L73="",A73=""),"",L73-A73)</f>
        <v/>
      </c>
      <c r="N74" s="48" t="n"/>
      <c r="O74" s="48" t="n"/>
      <c r="P74" s="51" t="inlineStr">
        <is>
          <t>From Greenhouse portal: 'Applied 7 months ago'; third distinct Stripe application (also has Design Program Manager AI and Manager Support Process Program Managers logged); title cut off; date approximate | User confirmed rejected (Sep 20, 2026). | Customer Advocacy &amp; Programs team; owns Enterprise Servicing program for Stripe's largest customers end-to-end (strategy, cross-functional alignment, execution, measurement) with CS/TAM/GTM/Product/Ops/Finance/Legal. 5+ years PM/biz ops/consulting. Good fit: strong program ownership and cross-functional stakeholder management overlap. From Greenhouse portal review. Rejected.</t>
        </is>
      </c>
      <c r="Q74" s="48" t="n"/>
      <c r="R74" s="48" t="inlineStr">
        <is>
          <t>Good fit — cross-functional program ownership</t>
        </is>
      </c>
      <c r="S74" s="51" t="inlineStr">
        <is>
          <t>5+ yrs PM/biz ops/consulting. Enterprise customer post-sales program design. Cross-functional (CS/TAM/GTM/Product/Ops/Finance/Legal).</t>
        </is>
      </c>
      <c r="T74" s="52">
        <f>IF(G74="","",G74)</f>
        <v/>
      </c>
      <c r="U74" s="52">
        <f>IF(C74="","",IF(OR(ISNUMBER(SEARCH("Director",C74)),ISNUMBER(SEARCH("Lead",C74)),ISNUMBER(SEARCH("Senior",C74)),ISNUMBER(SEARCH("Sr.",C74))),90,IF(OR(ISNUMBER(SEARCH("Manager",C74)),ISNUMBER(SEARCH("Program",C74)),ISNUMBER(SEARCH("Portfolio",C74))),80,60)))</f>
        <v/>
      </c>
      <c r="V74" s="52">
        <f>IF(C74="","",IF(OR(ISNUMBER(SEARCH("AI",C74)),ISNUMBER(SEARCH("Data",C74)),ISNUMBER(SEARCH("Technology",C74)),ISNUMBER(SEARCH("Technical",C74)),ISNUMBER(SEARCH("Engineering",C74)),ISNUMBER(SEARCH("Platform",C74)),ISNUMBER(SEARCH("Portfolio",C74))),85,65))</f>
        <v/>
      </c>
      <c r="W74" s="52">
        <f>IF(C74="","",MIN(100,50+IF(S74&lt;&gt;"",25,0)+IF(R74&lt;&gt;"",15,0)+IF(P74&lt;&gt;"",10,0)))</f>
        <v/>
      </c>
      <c r="X74" s="52">
        <f>IF(E74="","",IF(OR(E74="Canada",E74="CA"),100,IF(OR(E74="United States",E74="USA",E74="US"),IF(J74="Yes",45,75),65)))</f>
        <v/>
      </c>
      <c r="Y74" s="52">
        <f>IF(C74="","",IF(OR(ISNUMBER(SEARCH("Program",C74)),ISNUMBER(SEARCH("Portfolio",C74)),ISNUMBER(SEARCH("Operations",C74)),ISNUMBER(SEARCH("Transformation",C74))),85,IF(ISNUMBER(SEARCH("Product Manager",C74)),55,70)))</f>
        <v/>
      </c>
      <c r="Z74" s="52">
        <f>IF(C74="","",MIN(100,IF(I74&lt;&gt;"",60,10)+IF(AA74&gt;0,MIN(40,AA74*20),0)))</f>
        <v/>
      </c>
      <c r="AA74" s="52">
        <f>IF(T74="","",ROUND(T74*25%+U74*15%+V74*10%+W74*15%+X74*15%+Y74*10%+Z74*10%,0))</f>
        <v/>
      </c>
      <c r="AB74" s="52">
        <f>IF(AA74="","",IF(X74&lt;50,"Selective / Barrier",IF(AA74&gt;=80,"Tier 1 - Pursue",IF(AA74&gt;=70,"Tier 2 - Pursue",IF(AA74&gt;=60,"Tier 3 - Selective","Do Not Pursue")))))</f>
        <v/>
      </c>
      <c r="AC74" s="52">
        <f>IF(C74="","",IF(I74&lt;&gt;"","Named Contact",IF(AA74&gt;0,"Outreach Logged","Cold")))</f>
        <v/>
      </c>
      <c r="AD74" s="52">
        <f>IF(B74="","",COUNTIF('Outreach Log'!$C:$C,B74))</f>
        <v/>
      </c>
      <c r="AE74" s="52">
        <f>IF(A74="","",IF(OR(K74="Rejected",K74="Closed"),IF(L74&lt;&gt;"",L74-A74,TODAY()-A74),TODAY()-A74))</f>
        <v/>
      </c>
      <c r="AF74" s="52">
        <f>IF(C74="","",IF(AND(AA74&gt;=70,AC74="Cold"),"High-fit but cold",IF(AND(AA74&lt;60,K74="Applied"),"Low-fit application",IF(AND(AA74&gt;=70,OR(AC74="Named Contact",AC74="Outreach Logged")),"Targeted pursuit","Review"))))</f>
        <v/>
      </c>
    </row>
    <row r="75" ht="15" customHeight="1" s="44">
      <c r="A75" s="53" t="n">
        <v>46073</v>
      </c>
      <c r="B75" s="48" t="inlineStr">
        <is>
          <t>Stripe</t>
        </is>
      </c>
      <c r="C75" s="48" t="inlineStr">
        <is>
          <t>Strategy &amp; Business Operations, Stripe Business Performance</t>
        </is>
      </c>
      <c r="D75" s="48" t="inlineStr">
        <is>
          <t>Senior/Principal</t>
        </is>
      </c>
      <c r="E75" s="48" t="inlineStr">
        <is>
          <t>US</t>
        </is>
      </c>
      <c r="F75" s="48" t="inlineStr">
        <is>
          <t>San Francisco / Seattle / Chicago / New York / US-Remote</t>
        </is>
      </c>
      <c r="G75" s="48" t="n">
        <v>60</v>
      </c>
      <c r="H75" s="48" t="inlineStr">
        <is>
          <t>Cold Portal</t>
        </is>
      </c>
      <c r="I75" s="48" t="n"/>
      <c r="J75" s="48" t="inlineStr">
        <is>
          <t>Yes</t>
        </is>
      </c>
      <c r="K75" s="49" t="inlineStr">
        <is>
          <t>Rejected</t>
        </is>
      </c>
      <c r="L75" s="48" t="n"/>
      <c r="M75" s="48">
        <f>IF(OR(L74="",A74=""),"",L74-A74)</f>
        <v/>
      </c>
      <c r="N75" s="48" t="n"/>
      <c r="O75" s="48" t="n"/>
      <c r="P75" s="51" t="inlineStr">
        <is>
          <t>From Greenhouse portal: 'Applied 7 months ago'; fourth distinct Stripe application (also has Design Program Manager AI, Manager Support Process Program Managers, Program Manager Enterprise Servicing logged); date approximate | User confirmed rejected (Sep 20, 2026). | Strategy &amp; Business Performance team, close partnership with exec team on 3-year strategy and annual planning; heavy data analytics/SQL and financial modeling focus. Requires 12+ years strategy &amp; ops/data science/finance/PM at tech companies. Moderate fit: strong strategic program experience but role weights quantitative data-science/SQL analysis more heavily than program delivery. From Greenhouse portal review. Rejected.</t>
        </is>
      </c>
      <c r="Q75" s="48" t="n"/>
      <c r="R75" s="48" t="inlineStr">
        <is>
          <t>Skill-weighting mismatch (SQL/data-science heavy vs. program delivery)</t>
        </is>
      </c>
      <c r="S75" s="51" t="inlineStr">
        <is>
          <t>12+ yrs strategy&amp;ops/data science/finance/PM at tech cos. Heavy SQL/data analytics. Exec-level strategy partnership.</t>
        </is>
      </c>
      <c r="T75" s="52">
        <f>IF(G75="","",G75)</f>
        <v/>
      </c>
      <c r="U75" s="52">
        <f>IF(C75="","",IF(OR(ISNUMBER(SEARCH("Director",C75)),ISNUMBER(SEARCH("Lead",C75)),ISNUMBER(SEARCH("Senior",C75)),ISNUMBER(SEARCH("Sr.",C75))),90,IF(OR(ISNUMBER(SEARCH("Manager",C75)),ISNUMBER(SEARCH("Program",C75)),ISNUMBER(SEARCH("Portfolio",C75))),80,60)))</f>
        <v/>
      </c>
      <c r="V75" s="52">
        <f>IF(C75="","",IF(OR(ISNUMBER(SEARCH("AI",C75)),ISNUMBER(SEARCH("Data",C75)),ISNUMBER(SEARCH("Technology",C75)),ISNUMBER(SEARCH("Technical",C75)),ISNUMBER(SEARCH("Engineering",C75)),ISNUMBER(SEARCH("Platform",C75)),ISNUMBER(SEARCH("Portfolio",C75))),85,65))</f>
        <v/>
      </c>
      <c r="W75" s="52">
        <f>IF(C75="","",MIN(100,50+IF(S75&lt;&gt;"",25,0)+IF(R75&lt;&gt;"",15,0)+IF(P75&lt;&gt;"",10,0)))</f>
        <v/>
      </c>
      <c r="X75" s="52">
        <f>IF(E75="","",IF(OR(E75="Canada",E75="CA"),100,IF(OR(E75="United States",E75="USA",E75="US"),IF(J75="Yes",45,75),65)))</f>
        <v/>
      </c>
      <c r="Y75" s="52">
        <f>IF(C75="","",IF(OR(ISNUMBER(SEARCH("Program",C75)),ISNUMBER(SEARCH("Portfolio",C75)),ISNUMBER(SEARCH("Operations",C75)),ISNUMBER(SEARCH("Transformation",C75))),85,IF(ISNUMBER(SEARCH("Product Manager",C75)),55,70)))</f>
        <v/>
      </c>
      <c r="Z75" s="52">
        <f>IF(C75="","",MIN(100,IF(I75&lt;&gt;"",60,10)+IF(AA75&gt;0,MIN(40,AA75*20),0)))</f>
        <v/>
      </c>
      <c r="AA75" s="52">
        <f>IF(T75="","",ROUND(T75*25%+U75*15%+V75*10%+W75*15%+X75*15%+Y75*10%+Z75*10%,0))</f>
        <v/>
      </c>
      <c r="AB75" s="52">
        <f>IF(AA75="","",IF(X75&lt;50,"Selective / Barrier",IF(AA75&gt;=80,"Tier 1 - Pursue",IF(AA75&gt;=70,"Tier 2 - Pursue",IF(AA75&gt;=60,"Tier 3 - Selective","Do Not Pursue")))))</f>
        <v/>
      </c>
      <c r="AC75" s="52">
        <f>IF(C75="","",IF(I75&lt;&gt;"","Named Contact",IF(AA75&gt;0,"Outreach Logged","Cold")))</f>
        <v/>
      </c>
      <c r="AD75" s="52">
        <f>IF(B75="","",COUNTIF('Outreach Log'!$C:$C,B75))</f>
        <v/>
      </c>
      <c r="AE75" s="52">
        <f>IF(A75="","",IF(OR(K75="Rejected",K75="Closed"),IF(L75&lt;&gt;"",L75-A75,TODAY()-A75),TODAY()-A75))</f>
        <v/>
      </c>
      <c r="AF75" s="52">
        <f>IF(C75="","",IF(AND(AA75&gt;=70,AC75="Cold"),"High-fit but cold",IF(AND(AA75&lt;60,K75="Applied"),"Low-fit application",IF(AND(AA75&gt;=70,OR(AC75="Named Contact",AC75="Outreach Logged")),"Targeted pursuit","Review"))))</f>
        <v/>
      </c>
    </row>
    <row r="76" ht="15" customHeight="1" s="44">
      <c r="A76" s="53" t="n">
        <v>46073</v>
      </c>
      <c r="B76" s="48" t="inlineStr">
        <is>
          <t>Lyft</t>
        </is>
      </c>
      <c r="C76" s="48" t="inlineStr">
        <is>
          <t>Manager, Global IT Support &amp; Operations</t>
        </is>
      </c>
      <c r="D76" s="48" t="n"/>
      <c r="E76" s="48" t="inlineStr">
        <is>
          <t>Canada</t>
        </is>
      </c>
      <c r="F76" s="48" t="inlineStr">
        <is>
          <t>Toronto</t>
        </is>
      </c>
      <c r="G76" s="48" t="n"/>
      <c r="H76" s="48" t="n"/>
      <c r="I76" s="48" t="n"/>
      <c r="J76" s="48" t="inlineStr">
        <is>
          <t>No</t>
        </is>
      </c>
      <c r="K76" s="49" t="inlineStr">
        <is>
          <t>Rejected</t>
        </is>
      </c>
      <c r="L76" s="48" t="n"/>
      <c r="M76" s="48" t="n"/>
      <c r="N76" s="48" t="n"/>
      <c r="O76" s="48" t="n"/>
      <c r="P76" s="51" t="inlineStr">
        <is>
          <t>From Greenhouse portal: 'Applied 7 months ago' (Toronto, Canada); distinct from Lyft Senior Program Manager (Tech) already logged; date approximate | User confirmed rejected (Sep 20, 2026).</t>
        </is>
      </c>
      <c r="Q76" s="48" t="n"/>
      <c r="R76" s="48" t="inlineStr">
        <is>
          <t>Not yet analyzed — pending role description</t>
        </is>
      </c>
      <c r="S76" s="51" t="n"/>
      <c r="T76" s="52">
        <f>IF(G76="","",G76)</f>
        <v/>
      </c>
      <c r="U76" s="52">
        <f>IF(C76="","",IF(OR(ISNUMBER(SEARCH("Director",C76)),ISNUMBER(SEARCH("Lead",C76)),ISNUMBER(SEARCH("Senior",C76)),ISNUMBER(SEARCH("Sr.",C76))),90,IF(OR(ISNUMBER(SEARCH("Manager",C76)),ISNUMBER(SEARCH("Program",C76)),ISNUMBER(SEARCH("Portfolio",C76))),80,60)))</f>
        <v/>
      </c>
      <c r="V76" s="52">
        <f>IF(C76="","",IF(OR(ISNUMBER(SEARCH("AI",C76)),ISNUMBER(SEARCH("Data",C76)),ISNUMBER(SEARCH("Technology",C76)),ISNUMBER(SEARCH("Technical",C76)),ISNUMBER(SEARCH("Engineering",C76)),ISNUMBER(SEARCH("Platform",C76)),ISNUMBER(SEARCH("Portfolio",C76))),85,65))</f>
        <v/>
      </c>
      <c r="W76" s="52">
        <f>IF(C76="","",MIN(100,50+IF(S76&lt;&gt;"",25,0)+IF(R76&lt;&gt;"",15,0)+IF(P76&lt;&gt;"",10,0)))</f>
        <v/>
      </c>
      <c r="X76" s="52">
        <f>IF(E76="","",IF(OR(E76="Canada",E76="CA"),100,IF(OR(E76="United States",E76="USA",E76="US"),IF(J76="Yes",45,75),65)))</f>
        <v/>
      </c>
      <c r="Y76" s="52">
        <f>IF(C76="","",IF(OR(ISNUMBER(SEARCH("Program",C76)),ISNUMBER(SEARCH("Portfolio",C76)),ISNUMBER(SEARCH("Operations",C76)),ISNUMBER(SEARCH("Transformation",C76))),85,IF(ISNUMBER(SEARCH("Product Manager",C76)),55,70)))</f>
        <v/>
      </c>
      <c r="Z76" s="52">
        <f>IF(C76="","",MIN(100,IF(I76&lt;&gt;"",60,10)+IF(AA76&gt;0,MIN(40,AA76*20),0)))</f>
        <v/>
      </c>
      <c r="AA76" s="52">
        <f>IF(T76="","",ROUND(T76*25%+U76*15%+V76*10%+W76*15%+X76*15%+Y76*10%+Z76*10%,0))</f>
        <v/>
      </c>
      <c r="AB76" s="52">
        <f>IF(AA76="","",IF(X76&lt;50,"Selective / Barrier",IF(AA76&gt;=80,"Tier 1 - Pursue",IF(AA76&gt;=70,"Tier 2 - Pursue",IF(AA76&gt;=60,"Tier 3 - Selective","Do Not Pursue")))))</f>
        <v/>
      </c>
      <c r="AC76" s="52">
        <f>IF(C76="","",IF(I76&lt;&gt;"","Named Contact",IF(AA76&gt;0,"Outreach Logged","Cold")))</f>
        <v/>
      </c>
      <c r="AD76" s="52">
        <f>IF(B76="","",COUNTIF('Outreach Log'!$C:$C,B76))</f>
        <v/>
      </c>
      <c r="AE76" s="52">
        <f>IF(A76="","",IF(OR(K76="Rejected",K76="Closed"),IF(L76&lt;&gt;"",L76-A76,TODAY()-A76),TODAY()-A76))</f>
        <v/>
      </c>
      <c r="AF76" s="52">
        <f>IF(C76="","",IF(AND(AA76&gt;=70,AC76="Cold"),"High-fit but cold",IF(AND(AA76&lt;60,K76="Applied"),"Low-fit application",IF(AND(AA76&gt;=70,OR(AC76="Named Contact",AC76="Outreach Logged")),"Targeted pursuit","Review"))))</f>
        <v/>
      </c>
    </row>
    <row r="77" ht="15" customHeight="1" s="44">
      <c r="A77" s="53" t="n">
        <v>46073</v>
      </c>
      <c r="B77" s="48" t="inlineStr">
        <is>
          <t>Five9</t>
        </is>
      </c>
      <c r="C77" s="48" t="inlineStr">
        <is>
          <t>Professional Services Program Manager</t>
        </is>
      </c>
      <c r="D77" s="48" t="inlineStr">
        <is>
          <t>Senior</t>
        </is>
      </c>
      <c r="E77" s="48" t="inlineStr">
        <is>
          <t>Canada</t>
        </is>
      </c>
      <c r="F77" s="48" t="inlineStr">
        <is>
          <t>Remote, Canada (Ontario-based pay range)</t>
        </is>
      </c>
      <c r="G77" s="48" t="n">
        <v>54</v>
      </c>
      <c r="H77" s="48" t="inlineStr">
        <is>
          <t>Cold Portal</t>
        </is>
      </c>
      <c r="I77" s="48" t="n"/>
      <c r="J77" s="48" t="inlineStr">
        <is>
          <t>No</t>
        </is>
      </c>
      <c r="K77" s="49" t="inlineStr">
        <is>
          <t>Rejected</t>
        </is>
      </c>
      <c r="L77" s="48" t="n"/>
      <c r="M77" s="48">
        <f>IF(OR(L76="",A76=""),"",L76-A76)</f>
        <v/>
      </c>
      <c r="N77" s="48" t="n"/>
      <c r="O77" s="48" t="n"/>
      <c r="P77" s="51" t="inlineStr">
        <is>
          <t>Leads multi-customer Contact Center/AI deployment implementation projects day-to-day. 5+ years PM/Scrum Master/Technical Consultant; Contact Center industry and VoIP/CCaaS platform experience (Genesys, Avaya, Cisco, NICE) highly desired; bilingual English/French required. Lower fit: heavy contact-center/telephony domain specificity (CCaaS, IVR, ACD, dialer) and French-bilingual requirement are the primary gaps versus general enterprise TPM background. Salary $81,200-$150,800 CAD (Ontario).</t>
        </is>
      </c>
      <c r="Q77" s="48" t="n"/>
      <c r="R77" s="48" t="inlineStr">
        <is>
          <t>Industry domain gap (contact center/telephony) + language requirement (French)</t>
        </is>
      </c>
      <c r="S77" s="51" t="inlineStr">
        <is>
          <t>5+ yrs PM/Scrum Master/Tech Consultant. Contact Center/VoIP/CCaaS platform experience (Genesys/Avaya/Cisco/NICE). Bilingual English/French. PMP/PRINCE2/Agile cert preferred. Up to 25% travel.</t>
        </is>
      </c>
      <c r="T77" s="52">
        <f>IF(G77="","",G77)</f>
        <v/>
      </c>
      <c r="U77" s="52">
        <f>IF(C77="","",IF(OR(ISNUMBER(SEARCH("Director",C77)),ISNUMBER(SEARCH("Lead",C77)),ISNUMBER(SEARCH("Senior",C77)),ISNUMBER(SEARCH("Sr.",C77))),90,IF(OR(ISNUMBER(SEARCH("Manager",C77)),ISNUMBER(SEARCH("Program",C77)),ISNUMBER(SEARCH("Portfolio",C77))),80,60)))</f>
        <v/>
      </c>
      <c r="V77" s="52">
        <f>IF(C77="","",IF(OR(ISNUMBER(SEARCH("AI",C77)),ISNUMBER(SEARCH("Data",C77)),ISNUMBER(SEARCH("Technology",C77)),ISNUMBER(SEARCH("Technical",C77)),ISNUMBER(SEARCH("Engineering",C77)),ISNUMBER(SEARCH("Platform",C77)),ISNUMBER(SEARCH("Portfolio",C77))),85,65))</f>
        <v/>
      </c>
      <c r="W77" s="52">
        <f>IF(C77="","",MIN(100,50+IF(S77&lt;&gt;"",25,0)+IF(R77&lt;&gt;"",15,0)+IF(P77&lt;&gt;"",10,0)))</f>
        <v/>
      </c>
      <c r="X77" s="52">
        <f>IF(E77="","",IF(OR(E77="Canada",E77="CA"),100,IF(OR(E77="United States",E77="USA",E77="US"),IF(J77="Yes",45,75),65)))</f>
        <v/>
      </c>
      <c r="Y77" s="52">
        <f>IF(C77="","",IF(OR(ISNUMBER(SEARCH("Program",C77)),ISNUMBER(SEARCH("Portfolio",C77)),ISNUMBER(SEARCH("Operations",C77)),ISNUMBER(SEARCH("Transformation",C77))),85,IF(ISNUMBER(SEARCH("Product Manager",C77)),55,70)))</f>
        <v/>
      </c>
      <c r="Z77" s="52">
        <f>IF(C77="","",MIN(100,IF(I77&lt;&gt;"",60,10)+IF(AA77&gt;0,MIN(40,AA77*20),0)))</f>
        <v/>
      </c>
      <c r="AA77" s="52">
        <f>IF(T77="","",ROUND(T77*25%+U77*15%+V77*10%+W77*15%+X77*15%+Y77*10%+Z77*10%,0))</f>
        <v/>
      </c>
      <c r="AB77" s="52">
        <f>IF(AA77="","",IF(X77&lt;50,"Selective / Barrier",IF(AA77&gt;=80,"Tier 1 - Pursue",IF(AA77&gt;=70,"Tier 2 - Pursue",IF(AA77&gt;=60,"Tier 3 - Selective","Do Not Pursue")))))</f>
        <v/>
      </c>
      <c r="AC77" s="52">
        <f>IF(C77="","",IF(I77&lt;&gt;"","Named Contact",IF(AA77&gt;0,"Outreach Logged","Cold")))</f>
        <v/>
      </c>
      <c r="AD77" s="52">
        <f>IF(B77="","",COUNTIF('Outreach Log'!$C:$C,B77))</f>
        <v/>
      </c>
      <c r="AE77" s="52">
        <f>IF(A77="","",IF(OR(K77="Rejected",K77="Closed"),IF(L77&lt;&gt;"",L77-A77,TODAY()-A77),TODAY()-A77))</f>
        <v/>
      </c>
      <c r="AF77" s="52">
        <f>IF(C77="","",IF(AND(AA77&gt;=70,AC77="Cold"),"High-fit but cold",IF(AND(AA77&lt;60,K77="Applied"),"Low-fit application",IF(AND(AA77&gt;=70,OR(AC77="Named Contact",AC77="Outreach Logged")),"Targeted pursuit","Review"))))</f>
        <v/>
      </c>
    </row>
    <row r="78" ht="15" customHeight="1" s="44">
      <c r="A78" s="53" t="n">
        <v>46073</v>
      </c>
      <c r="B78" s="48" t="inlineStr">
        <is>
          <t>Block</t>
        </is>
      </c>
      <c r="C78" s="48" t="inlineStr">
        <is>
          <t>Implementation &amp; Onboarding Program Manager</t>
        </is>
      </c>
      <c r="D78" s="48" t="inlineStr">
        <is>
          <t>Mid-level/Entry (customer-facing)</t>
        </is>
      </c>
      <c r="E78" s="48" t="inlineStr">
        <is>
          <t>Canada</t>
        </is>
      </c>
      <c r="F78" s="48" t="inlineStr">
        <is>
          <t>Toronto, ON</t>
        </is>
      </c>
      <c r="G78" s="48" t="n">
        <v>33</v>
      </c>
      <c r="H78" s="48" t="inlineStr">
        <is>
          <t>Cold Portal</t>
        </is>
      </c>
      <c r="I78" s="48" t="n"/>
      <c r="J78" s="48" t="inlineStr">
        <is>
          <t>No</t>
        </is>
      </c>
      <c r="K78" s="49" t="inlineStr">
        <is>
          <t>Rejected</t>
        </is>
      </c>
      <c r="L78" s="48" t="n"/>
      <c r="M78" s="48">
        <f>IF(OR(L77="",A77=""),"",L77-A77)</f>
        <v/>
      </c>
      <c r="N78" s="48" t="n"/>
      <c r="O78" s="48" t="n"/>
      <c r="P78" s="51" t="inlineStr">
        <is>
          <t>From Greenhouse portal: 'Applied 7 months ago'; title cut off; date approximate | User confirmed rejected (Sep 20, 2026). | Customer-facing Seller Onboarding role for Square merchants: virtual/onsite merchant training, hardware installation, data entry/account configuration. Only 4-5 years customer-facing experience required, hourly pay (CAD $34.13-$46.97/hr). Low fit: major seniority mismatch (overqualified) and discipline mismatch — this is a hands-on customer implementation specialist role, not senior program/portfolio management.</t>
        </is>
      </c>
      <c r="Q78" s="48" t="n"/>
      <c r="R78" s="48" t="inlineStr">
        <is>
          <t>Seniority mismatch (overqualified, hourly entry/mid-level role) + discipline mismatch</t>
        </is>
      </c>
      <c r="S78" s="51" t="inlineStr">
        <is>
          <t>4-5+ yrs customer-facing implementation/support/account mgmt. Hardware installation. Hourly pay role. Merchant onboarding/POS-payments a plus.</t>
        </is>
      </c>
      <c r="T78" s="52">
        <f>IF(G78="","",G78)</f>
        <v/>
      </c>
      <c r="U78" s="52">
        <f>IF(C78="","",IF(OR(ISNUMBER(SEARCH("Director",C78)),ISNUMBER(SEARCH("Lead",C78)),ISNUMBER(SEARCH("Senior",C78)),ISNUMBER(SEARCH("Sr.",C78))),90,IF(OR(ISNUMBER(SEARCH("Manager",C78)),ISNUMBER(SEARCH("Program",C78)),ISNUMBER(SEARCH("Portfolio",C78))),80,60)))</f>
        <v/>
      </c>
      <c r="V78" s="52">
        <f>IF(C78="","",IF(OR(ISNUMBER(SEARCH("AI",C78)),ISNUMBER(SEARCH("Data",C78)),ISNUMBER(SEARCH("Technology",C78)),ISNUMBER(SEARCH("Technical",C78)),ISNUMBER(SEARCH("Engineering",C78)),ISNUMBER(SEARCH("Platform",C78)),ISNUMBER(SEARCH("Portfolio",C78))),85,65))</f>
        <v/>
      </c>
      <c r="W78" s="52">
        <f>IF(C78="","",MIN(100,50+IF(S78&lt;&gt;"",25,0)+IF(R78&lt;&gt;"",15,0)+IF(P78&lt;&gt;"",10,0)))</f>
        <v/>
      </c>
      <c r="X78" s="52">
        <f>IF(E78="","",IF(OR(E78="Canada",E78="CA"),100,IF(OR(E78="United States",E78="USA",E78="US"),IF(J78="Yes",45,75),65)))</f>
        <v/>
      </c>
      <c r="Y78" s="52">
        <f>IF(C78="","",IF(OR(ISNUMBER(SEARCH("Program",C78)),ISNUMBER(SEARCH("Portfolio",C78)),ISNUMBER(SEARCH("Operations",C78)),ISNUMBER(SEARCH("Transformation",C78))),85,IF(ISNUMBER(SEARCH("Product Manager",C78)),55,70)))</f>
        <v/>
      </c>
      <c r="Z78" s="52">
        <f>IF(C78="","",MIN(100,IF(I78&lt;&gt;"",60,10)+IF(AA78&gt;0,MIN(40,AA78*20),0)))</f>
        <v/>
      </c>
      <c r="AA78" s="52">
        <f>IF(T78="","",ROUND(T78*25%+U78*15%+V78*10%+W78*15%+X78*15%+Y78*10%+Z78*10%,0))</f>
        <v/>
      </c>
      <c r="AB78" s="52">
        <f>IF(AA78="","",IF(X78&lt;50,"Selective / Barrier",IF(AA78&gt;=80,"Tier 1 - Pursue",IF(AA78&gt;=70,"Tier 2 - Pursue",IF(AA78&gt;=60,"Tier 3 - Selective","Do Not Pursue")))))</f>
        <v/>
      </c>
      <c r="AC78" s="52">
        <f>IF(C78="","",IF(I78&lt;&gt;"","Named Contact",IF(AA78&gt;0,"Outreach Logged","Cold")))</f>
        <v/>
      </c>
      <c r="AD78" s="52">
        <f>IF(B78="","",COUNTIF('Outreach Log'!$C:$C,B78))</f>
        <v/>
      </c>
      <c r="AE78" s="52">
        <f>IF(A78="","",IF(OR(K78="Rejected",K78="Closed"),IF(L78&lt;&gt;"",L78-A78,TODAY()-A78),TODAY()-A78))</f>
        <v/>
      </c>
      <c r="AF78" s="52">
        <f>IF(C78="","",IF(AND(AA78&gt;=70,AC78="Cold"),"High-fit but cold",IF(AND(AA78&lt;60,K78="Applied"),"Low-fit application",IF(AND(AA78&gt;=70,OR(AC78="Named Contact",AC78="Outreach Logged")),"Targeted pursuit","Review"))))</f>
        <v/>
      </c>
    </row>
    <row r="79" ht="15" customHeight="1" s="44">
      <c r="A79" s="53" t="n">
        <v>46073</v>
      </c>
      <c r="B79" s="48" t="inlineStr">
        <is>
          <t>Rubrik Job Board</t>
        </is>
      </c>
      <c r="C79" s="48" t="inlineStr">
        <is>
          <t>Manager, Project Management Office (PMO Manager)</t>
        </is>
      </c>
      <c r="D79" s="48" t="inlineStr">
        <is>
          <t>Manager</t>
        </is>
      </c>
      <c r="E79" s="48" t="inlineStr">
        <is>
          <t>US</t>
        </is>
      </c>
      <c r="F79" s="48" t="inlineStr">
        <is>
          <t>US-Remote</t>
        </is>
      </c>
      <c r="G79" s="48" t="n">
        <v>76</v>
      </c>
      <c r="H79" s="48" t="inlineStr">
        <is>
          <t>Cold Portal</t>
        </is>
      </c>
      <c r="I79" s="48" t="n"/>
      <c r="J79" s="48" t="inlineStr">
        <is>
          <t>Yes</t>
        </is>
      </c>
      <c r="K79" s="49" t="inlineStr">
        <is>
          <t>Rejected</t>
        </is>
      </c>
      <c r="L79" s="48" t="n"/>
      <c r="M79" s="48">
        <f>IF(OR(L79="",A79=""),"",L79-A79)</f>
        <v/>
      </c>
      <c r="N79" s="48" t="n"/>
      <c r="O79" s="48" t="n"/>
      <c r="P79" s="51" t="inlineStr">
        <is>
          <t>From Greenhouse portal: 'Applied 7 months ago'; title cut off; date approximate | User confirmed rejected (Sep 20, 2026). | Builds/leads PMO function at security/AI ops company; owns governance/methodology, portfolio oversight, resource management, executive dashboards, PM mentorship. 5+ years program mgmt, 3+ years specifically leading/building a PMO; PMI-PMOCP/PMP/PRINCE2/MSP certs preferred; PPM tools (Jira/Asana/Monday). Strong fit: closely mirrors enterprise portfolio governance and PMO-building background; specific certification (PMP/PMOCP) may be the main gap if not held. Base pay $140,000-$210,100 USD.</t>
        </is>
      </c>
      <c r="Q79" s="48" t="n"/>
      <c r="R79" s="48" t="inlineStr">
        <is>
          <t>Strong fit — certification (PMP/PMOCP) may be the main gap</t>
        </is>
      </c>
      <c r="S79" s="51" t="inlineStr">
        <is>
          <t>5+ yrs PM, 3+ yrs building/leading a PMO. PMI-PMOCP/PMP/PRINCE2/MSP certs preferred. PPM tools (Jira/Asana/Monday). Executive dashboards/reporting. PM mentorship.</t>
        </is>
      </c>
      <c r="T79" s="52">
        <f>IF(G79="","",G79)</f>
        <v/>
      </c>
      <c r="U79" s="52">
        <f>IF(C79="","",IF(OR(ISNUMBER(SEARCH("Director",C79)),ISNUMBER(SEARCH("Lead",C79)),ISNUMBER(SEARCH("Senior",C79)),ISNUMBER(SEARCH("Sr.",C79))),90,IF(OR(ISNUMBER(SEARCH("Manager",C79)),ISNUMBER(SEARCH("Program",C79)),ISNUMBER(SEARCH("Portfolio",C79))),80,60)))</f>
        <v/>
      </c>
      <c r="V79" s="52">
        <f>IF(C79="","",IF(OR(ISNUMBER(SEARCH("AI",C79)),ISNUMBER(SEARCH("Data",C79)),ISNUMBER(SEARCH("Technology",C79)),ISNUMBER(SEARCH("Technical",C79)),ISNUMBER(SEARCH("Engineering",C79)),ISNUMBER(SEARCH("Platform",C79)),ISNUMBER(SEARCH("Portfolio",C79))),85,65))</f>
        <v/>
      </c>
      <c r="W79" s="52">
        <f>IF(C79="","",MIN(100,50+IF(S79&lt;&gt;"",25,0)+IF(R79&lt;&gt;"",15,0)+IF(P79&lt;&gt;"",10,0)))</f>
        <v/>
      </c>
      <c r="X79" s="52">
        <f>IF(E79="","",IF(OR(E79="Canada",E79="CA"),100,IF(OR(E79="United States",E79="USA",E79="US"),IF(J79="Yes",45,75),65)))</f>
        <v/>
      </c>
      <c r="Y79" s="52">
        <f>IF(C79="","",IF(OR(ISNUMBER(SEARCH("Program",C79)),ISNUMBER(SEARCH("Portfolio",C79)),ISNUMBER(SEARCH("Operations",C79)),ISNUMBER(SEARCH("Transformation",C79))),85,IF(ISNUMBER(SEARCH("Product Manager",C79)),55,70)))</f>
        <v/>
      </c>
      <c r="Z79" s="52">
        <f>IF(C79="","",MIN(100,IF(I79&lt;&gt;"",60,10)+IF(AA79&gt;0,MIN(40,AA79*20),0)))</f>
        <v/>
      </c>
      <c r="AA79" s="52">
        <f>IF(T79="","",ROUND(T79*25%+U79*15%+V79*10%+W79*15%+X79*15%+Y79*10%+Z79*10%,0))</f>
        <v/>
      </c>
      <c r="AB79" s="52">
        <f>IF(AA79="","",IF(X79&lt;50,"Selective / Barrier",IF(AA79&gt;=80,"Tier 1 - Pursue",IF(AA79&gt;=70,"Tier 2 - Pursue",IF(AA79&gt;=60,"Tier 3 - Selective","Do Not Pursue")))))</f>
        <v/>
      </c>
      <c r="AC79" s="52">
        <f>IF(C79="","",IF(I79&lt;&gt;"","Named Contact",IF(AA79&gt;0,"Outreach Logged","Cold")))</f>
        <v/>
      </c>
      <c r="AD79" s="52">
        <f>IF(B79="","",COUNTIF('Outreach Log'!$C:$C,B79))</f>
        <v/>
      </c>
      <c r="AE79" s="52">
        <f>IF(A79="","",IF(OR(K79="Rejected",K79="Closed"),IF(L79&lt;&gt;"",L79-A79,TODAY()-A79),TODAY()-A79))</f>
        <v/>
      </c>
      <c r="AF79" s="52">
        <f>IF(C79="","",IF(AND(AA79&gt;=70,AC79="Cold"),"High-fit but cold",IF(AND(AA79&lt;60,K79="Applied"),"Low-fit application",IF(AND(AA79&gt;=70,OR(AC79="Named Contact",AC79="Outreach Logged")),"Targeted pursuit","Review"))))</f>
        <v/>
      </c>
    </row>
    <row r="80" ht="15" customHeight="1" s="44">
      <c r="A80" s="53" t="n">
        <v>46073</v>
      </c>
      <c r="B80" s="48" t="inlineStr">
        <is>
          <t>Instacart</t>
        </is>
      </c>
      <c r="C80" s="48" t="inlineStr">
        <is>
          <t>Senior Program Manager, Consumer</t>
        </is>
      </c>
      <c r="D80" s="48" t="inlineStr">
        <is>
          <t>Senior</t>
        </is>
      </c>
      <c r="E80" s="48" t="inlineStr">
        <is>
          <t>Canada</t>
        </is>
      </c>
      <c r="F80" s="48" t="inlineStr">
        <is>
          <t>Remote (ON/AB/BC/NS only)</t>
        </is>
      </c>
      <c r="G80" s="48" t="n">
        <v>52</v>
      </c>
      <c r="H80" s="48" t="inlineStr">
        <is>
          <t>Cold Portal</t>
        </is>
      </c>
      <c r="I80" s="48" t="n"/>
      <c r="J80" s="48" t="inlineStr">
        <is>
          <t>No</t>
        </is>
      </c>
      <c r="K80" s="49" t="inlineStr">
        <is>
          <t>Rejected</t>
        </is>
      </c>
      <c r="L80" s="48" t="n"/>
      <c r="M80" s="48">
        <f>IF(OR(L80="",A80=""),"",L80-A80)</f>
        <v/>
      </c>
      <c r="N80" s="48" t="n"/>
      <c r="O80" s="48" t="n"/>
      <c r="P80" s="51" t="inlineStr">
        <is>
          <t>From Greenhouse portal: 'Applied 7 months ago'; date approximate | User confirmed rejected (Sep 20, 2026). | Actual title is Senior Program Manager, Creative Operations — oversees in-house creative agency portfolio (people/time/budget) blending portfolio management with hands-on program leadership for complex creative initiatives. 8-10 years Creative Operations/Production Management/Studio Operations specifically (not general enterprise PM). Low-moderate fit: strong portfolio management and capacity-planning overlap, but requires deep creative/agency production domain expertise — a specialized vertical outside enterprise tech/data background. Base pay CAD $143,000-$151,000.</t>
        </is>
      </c>
      <c r="Q80" s="48" t="n"/>
      <c r="R80" s="48" t="inlineStr">
        <is>
          <t>Domain mismatch (Creative Operations/agency production, not enterprise tech)</t>
        </is>
      </c>
      <c r="S80" s="51" t="inlineStr">
        <is>
          <t>8-10 yrs Creative Ops/Production Mgmt/Studio Ops. Portfolio + program mgmt blend. Capacity planning/resource forecasting. Agency environment experience preferred. Tools: Workfront/Asana/Monday.</t>
        </is>
      </c>
      <c r="T80" s="52">
        <f>IF(G80="","",G80)</f>
        <v/>
      </c>
      <c r="U80" s="52">
        <f>IF(C80="","",IF(OR(ISNUMBER(SEARCH("Director",C80)),ISNUMBER(SEARCH("Lead",C80)),ISNUMBER(SEARCH("Senior",C80)),ISNUMBER(SEARCH("Sr.",C80))),90,IF(OR(ISNUMBER(SEARCH("Manager",C80)),ISNUMBER(SEARCH("Program",C80)),ISNUMBER(SEARCH("Portfolio",C80))),80,60)))</f>
        <v/>
      </c>
      <c r="V80" s="52">
        <f>IF(C80="","",IF(OR(ISNUMBER(SEARCH("AI",C80)),ISNUMBER(SEARCH("Data",C80)),ISNUMBER(SEARCH("Technology",C80)),ISNUMBER(SEARCH("Technical",C80)),ISNUMBER(SEARCH("Engineering",C80)),ISNUMBER(SEARCH("Platform",C80)),ISNUMBER(SEARCH("Portfolio",C80))),85,65))</f>
        <v/>
      </c>
      <c r="W80" s="52">
        <f>IF(C80="","",MIN(100,50+IF(S80&lt;&gt;"",25,0)+IF(R80&lt;&gt;"",15,0)+IF(P80&lt;&gt;"",10,0)))</f>
        <v/>
      </c>
      <c r="X80" s="52">
        <f>IF(E80="","",IF(OR(E80="Canada",E80="CA"),100,IF(OR(E80="United States",E80="USA",E80="US"),IF(J80="Yes",45,75),65)))</f>
        <v/>
      </c>
      <c r="Y80" s="52">
        <f>IF(C80="","",IF(OR(ISNUMBER(SEARCH("Program",C80)),ISNUMBER(SEARCH("Portfolio",C80)),ISNUMBER(SEARCH("Operations",C80)),ISNUMBER(SEARCH("Transformation",C80))),85,IF(ISNUMBER(SEARCH("Product Manager",C80)),55,70)))</f>
        <v/>
      </c>
      <c r="Z80" s="52">
        <f>IF(C80="","",MIN(100,IF(I80&lt;&gt;"",60,10)+IF(AA80&gt;0,MIN(40,AA80*20),0)))</f>
        <v/>
      </c>
      <c r="AA80" s="52">
        <f>IF(T80="","",ROUND(T80*25%+U80*15%+V80*10%+W80*15%+X80*15%+Y80*10%+Z80*10%,0))</f>
        <v/>
      </c>
      <c r="AB80" s="52">
        <f>IF(AA80="","",IF(X80&lt;50,"Selective / Barrier",IF(AA80&gt;=80,"Tier 1 - Pursue",IF(AA80&gt;=70,"Tier 2 - Pursue",IF(AA80&gt;=60,"Tier 3 - Selective","Do Not Pursue")))))</f>
        <v/>
      </c>
      <c r="AC80" s="52">
        <f>IF(C80="","",IF(I80&lt;&gt;"","Named Contact",IF(AA80&gt;0,"Outreach Logged","Cold")))</f>
        <v/>
      </c>
      <c r="AD80" s="52">
        <f>IF(B80="","",COUNTIF('Outreach Log'!$C:$C,B80))</f>
        <v/>
      </c>
      <c r="AE80" s="52">
        <f>IF(A80="","",IF(OR(K80="Rejected",K80="Closed"),IF(L80&lt;&gt;"",L80-A80,TODAY()-A80),TODAY()-A80))</f>
        <v/>
      </c>
      <c r="AF80" s="52">
        <f>IF(C80="","",IF(AND(AA80&gt;=70,AC80="Cold"),"High-fit but cold",IF(AND(AA80&lt;60,K80="Applied"),"Low-fit application",IF(AND(AA80&gt;=70,OR(AC80="Named Contact",AC80="Outreach Logged")),"Targeted pursuit","Review"))))</f>
        <v/>
      </c>
    </row>
    <row r="81" ht="15" customHeight="1" s="44">
      <c r="A81" s="53" t="n">
        <v>46073</v>
      </c>
      <c r="B81" s="48" t="inlineStr">
        <is>
          <t>DigitalOcean</t>
        </is>
      </c>
      <c r="C81" s="48" t="inlineStr">
        <is>
          <t>Director, Startup Ecosystem</t>
        </is>
      </c>
      <c r="D81" s="48" t="inlineStr">
        <is>
          <t>Director</t>
        </is>
      </c>
      <c r="E81" s="48" t="inlineStr">
        <is>
          <t>US</t>
        </is>
      </c>
      <c r="F81" s="48" t="inlineStr">
        <is>
          <t>Remote (San Francisco listed)</t>
        </is>
      </c>
      <c r="G81" s="48" t="n">
        <v>40</v>
      </c>
      <c r="H81" s="48" t="inlineStr">
        <is>
          <t>Cold Portal</t>
        </is>
      </c>
      <c r="I81" s="48" t="n"/>
      <c r="J81" s="48" t="inlineStr">
        <is>
          <t>Yes</t>
        </is>
      </c>
      <c r="K81" s="49" t="inlineStr">
        <is>
          <t>Rejected</t>
        </is>
      </c>
      <c r="L81" s="48" t="n"/>
      <c r="M81" s="48">
        <f>IF(OR(L81="",A81=""),"",L81-A81)</f>
        <v/>
      </c>
      <c r="N81" s="48" t="n"/>
      <c r="O81" s="48" t="n"/>
      <c r="P81" s="51" t="inlineStr">
        <is>
          <t>From Greenhouse portal: 'Applied 7 months ago'; date approximate | User confirmed rejected (Sep 20, 2026). | Leads DigitalOcean's Startups Program and venture-partner ecosystem strategy for AI startups; owns developer marketing, community engagement, venture partnerships. Requires strong developer marketing background and track record building venture partnerships specifically in AI/cloud. Low fit: this is a Marketing/Partnerships/Developer-Relations discipline role, not enterprise program/portfolio management — a different job family entirely despite senior scope and AI focus overlap. Base pay $192,800-$241,000 USD.</t>
        </is>
      </c>
      <c r="Q81" s="48" t="n"/>
      <c r="R81" s="48" t="inlineStr">
        <is>
          <t>Discipline mismatch (Developer Marketing/Venture Partnerships, not program management)</t>
        </is>
      </c>
      <c r="S81" s="51" t="inlineStr">
        <is>
          <t>Developer marketing background. Venture partnership track record (AI/cloud space). Team leadership. Startup ecosystem/community engagement. AI technology knowledge desirable.</t>
        </is>
      </c>
      <c r="T81" s="52">
        <f>IF(G81="","",G81)</f>
        <v/>
      </c>
      <c r="U81" s="52">
        <f>IF(C81="","",IF(OR(ISNUMBER(SEARCH("Director",C81)),ISNUMBER(SEARCH("Lead",C81)),ISNUMBER(SEARCH("Senior",C81)),ISNUMBER(SEARCH("Sr.",C81))),90,IF(OR(ISNUMBER(SEARCH("Manager",C81)),ISNUMBER(SEARCH("Program",C81)),ISNUMBER(SEARCH("Portfolio",C81))),80,60)))</f>
        <v/>
      </c>
      <c r="V81" s="52">
        <f>IF(C81="","",IF(OR(ISNUMBER(SEARCH("AI",C81)),ISNUMBER(SEARCH("Data",C81)),ISNUMBER(SEARCH("Technology",C81)),ISNUMBER(SEARCH("Technical",C81)),ISNUMBER(SEARCH("Engineering",C81)),ISNUMBER(SEARCH("Platform",C81)),ISNUMBER(SEARCH("Portfolio",C81))),85,65))</f>
        <v/>
      </c>
      <c r="W81" s="52">
        <f>IF(C81="","",MIN(100,50+IF(S81&lt;&gt;"",25,0)+IF(R81&lt;&gt;"",15,0)+IF(P81&lt;&gt;"",10,0)))</f>
        <v/>
      </c>
      <c r="X81" s="52">
        <f>IF(E81="","",IF(OR(E81="Canada",E81="CA"),100,IF(OR(E81="United States",E81="USA",E81="US"),IF(J81="Yes",45,75),65)))</f>
        <v/>
      </c>
      <c r="Y81" s="52">
        <f>IF(C81="","",IF(OR(ISNUMBER(SEARCH("Program",C81)),ISNUMBER(SEARCH("Portfolio",C81)),ISNUMBER(SEARCH("Operations",C81)),ISNUMBER(SEARCH("Transformation",C81))),85,IF(ISNUMBER(SEARCH("Product Manager",C81)),55,70)))</f>
        <v/>
      </c>
      <c r="Z81" s="52">
        <f>IF(C81="","",MIN(100,IF(I81&lt;&gt;"",60,10)+IF(AA81&gt;0,MIN(40,AA81*20),0)))</f>
        <v/>
      </c>
      <c r="AA81" s="52">
        <f>IF(T81="","",ROUND(T81*25%+U81*15%+V81*10%+W81*15%+X81*15%+Y81*10%+Z81*10%,0))</f>
        <v/>
      </c>
      <c r="AB81" s="52">
        <f>IF(AA81="","",IF(X81&lt;50,"Selective / Barrier",IF(AA81&gt;=80,"Tier 1 - Pursue",IF(AA81&gt;=70,"Tier 2 - Pursue",IF(AA81&gt;=60,"Tier 3 - Selective","Do Not Pursue")))))</f>
        <v/>
      </c>
      <c r="AC81" s="52">
        <f>IF(C81="","",IF(I81&lt;&gt;"","Named Contact",IF(AA81&gt;0,"Outreach Logged","Cold")))</f>
        <v/>
      </c>
      <c r="AD81" s="52">
        <f>IF(B81="","",COUNTIF('Outreach Log'!$C:$C,B81))</f>
        <v/>
      </c>
      <c r="AE81" s="52">
        <f>IF(A81="","",IF(OR(K81="Rejected",K81="Closed"),IF(L81&lt;&gt;"",L81-A81,TODAY()-A81),TODAY()-A81))</f>
        <v/>
      </c>
      <c r="AF81" s="52">
        <f>IF(C81="","",IF(AND(AA81&gt;=70,AC81="Cold"),"High-fit but cold",IF(AND(AA81&lt;60,K81="Applied"),"Low-fit application",IF(AND(AA81&gt;=70,OR(AC81="Named Contact",AC81="Outreach Logged")),"Targeted pursuit","Review"))))</f>
        <v/>
      </c>
    </row>
    <row r="82" ht="15" customHeight="1" s="44">
      <c r="A82" s="53" t="n">
        <v>46073</v>
      </c>
      <c r="B82" s="48" t="inlineStr">
        <is>
          <t>BridgeBio Pharma</t>
        </is>
      </c>
      <c r="C82" s="48" t="inlineStr">
        <is>
          <t>Associate Director/Director, Strategy &amp; Operations - AI Initiatives</t>
        </is>
      </c>
      <c r="D82" s="48" t="inlineStr">
        <is>
          <t>Associate Director/Director</t>
        </is>
      </c>
      <c r="E82" s="48" t="inlineStr">
        <is>
          <t>US</t>
        </is>
      </c>
      <c r="F82" s="48" t="inlineStr">
        <is>
          <t>Palo Alto, CA / San Francisco, CA (fully in-person)</t>
        </is>
      </c>
      <c r="G82" s="48" t="n">
        <v>64</v>
      </c>
      <c r="H82" s="48" t="inlineStr">
        <is>
          <t>Cold Portal</t>
        </is>
      </c>
      <c r="I82" s="48" t="n"/>
      <c r="J82" s="48" t="inlineStr">
        <is>
          <t>Yes</t>
        </is>
      </c>
      <c r="K82" s="49" t="inlineStr">
        <is>
          <t>Rejected</t>
        </is>
      </c>
      <c r="L82" s="48" t="n"/>
      <c r="M82" s="48">
        <f>IF(OR(L82="",A82=""),"",L82-A82)</f>
        <v/>
      </c>
      <c r="N82" s="48" t="n"/>
      <c r="O82" s="48" t="n"/>
      <c r="P82" s="51" t="inlineStr">
        <is>
          <t>From Greenhouse portal: 'Applied 7 months ago'; title cut off; date approximate | User confirmed rejected (Sep 20, 2026). | Reports to Chief of Staff to CEO; leads AI initiative delivery (POC through scaled deployment) across R&amp;D/G&amp;A/Commercial at biopharma; owns RAID, vendor evaluation, executive/Board-level communications. Only 3-5+ years experience required (strategy&amp;ops/product ops/transformation/consulting) — notably junior for the seniority framing (Director level). Biopharma industry experience helpful but not required. Moderate fit: strong AI program delivery and executive communication overlap; fully in-person (daily, no remote) requirement and lower years-experience threshold versus your background are the main frictions.</t>
        </is>
      </c>
      <c r="Q82" s="48" t="n"/>
      <c r="R82" s="48" t="inlineStr">
        <is>
          <t>Good fit — but fully in-person requirement + years-experience threshold below your level</t>
        </is>
      </c>
      <c r="S82" s="51" t="inlineStr">
        <is>
          <t>3-5+ yrs strategy&amp;ops/product ops/transformation/consulting. AI/ML or GenAI POC-to-scaled-adoption delivery. Executive/Board-level communication. Fully in-person daily (SF/Palo Alto).</t>
        </is>
      </c>
      <c r="T82" s="52">
        <f>IF(G82="","",G82)</f>
        <v/>
      </c>
      <c r="U82" s="52">
        <f>IF(C82="","",IF(OR(ISNUMBER(SEARCH("Director",C82)),ISNUMBER(SEARCH("Lead",C82)),ISNUMBER(SEARCH("Senior",C82)),ISNUMBER(SEARCH("Sr.",C82))),90,IF(OR(ISNUMBER(SEARCH("Manager",C82)),ISNUMBER(SEARCH("Program",C82)),ISNUMBER(SEARCH("Portfolio",C82))),80,60)))</f>
        <v/>
      </c>
      <c r="V82" s="52">
        <f>IF(C82="","",IF(OR(ISNUMBER(SEARCH("AI",C82)),ISNUMBER(SEARCH("Data",C82)),ISNUMBER(SEARCH("Technology",C82)),ISNUMBER(SEARCH("Technical",C82)),ISNUMBER(SEARCH("Engineering",C82)),ISNUMBER(SEARCH("Platform",C82)),ISNUMBER(SEARCH("Portfolio",C82))),85,65))</f>
        <v/>
      </c>
      <c r="W82" s="52">
        <f>IF(C82="","",MIN(100,50+IF(S82&lt;&gt;"",25,0)+IF(R82&lt;&gt;"",15,0)+IF(P82&lt;&gt;"",10,0)))</f>
        <v/>
      </c>
      <c r="X82" s="52">
        <f>IF(E82="","",IF(OR(E82="Canada",E82="CA"),100,IF(OR(E82="United States",E82="USA",E82="US"),IF(J82="Yes",45,75),65)))</f>
        <v/>
      </c>
      <c r="Y82" s="52">
        <f>IF(C82="","",IF(OR(ISNUMBER(SEARCH("Program",C82)),ISNUMBER(SEARCH("Portfolio",C82)),ISNUMBER(SEARCH("Operations",C82)),ISNUMBER(SEARCH("Transformation",C82))),85,IF(ISNUMBER(SEARCH("Product Manager",C82)),55,70)))</f>
        <v/>
      </c>
      <c r="Z82" s="52">
        <f>IF(C82="","",MIN(100,IF(I82&lt;&gt;"",60,10)+IF(AA82&gt;0,MIN(40,AA82*20),0)))</f>
        <v/>
      </c>
      <c r="AA82" s="52">
        <f>IF(T82="","",ROUND(T82*25%+U82*15%+V82*10%+W82*15%+X82*15%+Y82*10%+Z82*10%,0))</f>
        <v/>
      </c>
      <c r="AB82" s="52">
        <f>IF(AA82="","",IF(X82&lt;50,"Selective / Barrier",IF(AA82&gt;=80,"Tier 1 - Pursue",IF(AA82&gt;=70,"Tier 2 - Pursue",IF(AA82&gt;=60,"Tier 3 - Selective","Do Not Pursue")))))</f>
        <v/>
      </c>
      <c r="AC82" s="52">
        <f>IF(C82="","",IF(I82&lt;&gt;"","Named Contact",IF(AA82&gt;0,"Outreach Logged","Cold")))</f>
        <v/>
      </c>
      <c r="AD82" s="52">
        <f>IF(B82="","",COUNTIF('Outreach Log'!$C:$C,B82))</f>
        <v/>
      </c>
      <c r="AE82" s="52">
        <f>IF(A82="","",IF(OR(K82="Rejected",K82="Closed"),IF(L82&lt;&gt;"",L82-A82,TODAY()-A82),TODAY()-A82))</f>
        <v/>
      </c>
      <c r="AF82" s="52">
        <f>IF(C82="","",IF(AND(AA82&gt;=70,AC82="Cold"),"High-fit but cold",IF(AND(AA82&lt;60,K82="Applied"),"Low-fit application",IF(AND(AA82&gt;=70,OR(AC82="Named Contact",AC82="Outreach Logged")),"Targeted pursuit","Review"))))</f>
        <v/>
      </c>
    </row>
    <row r="83" ht="15" customHeight="1" s="44">
      <c r="A83" s="53" t="n">
        <v>46073</v>
      </c>
      <c r="B83" s="48" t="inlineStr">
        <is>
          <t>Capco</t>
        </is>
      </c>
      <c r="C83" s="48" t="inlineStr">
        <is>
          <t>Program Manager (Principal Consultant)</t>
        </is>
      </c>
      <c r="D83" s="48" t="inlineStr">
        <is>
          <t>Senior/Principal</t>
        </is>
      </c>
      <c r="E83" s="48" t="inlineStr">
        <is>
          <t>Canada</t>
        </is>
      </c>
      <c r="F83" s="48" t="inlineStr">
        <is>
          <t>Toronto</t>
        </is>
      </c>
      <c r="G83" s="48" t="n">
        <v>79</v>
      </c>
      <c r="H83" s="48" t="inlineStr">
        <is>
          <t>Cold Portal</t>
        </is>
      </c>
      <c r="I83" s="48" t="n"/>
      <c r="J83" s="48" t="inlineStr">
        <is>
          <t>No</t>
        </is>
      </c>
      <c r="K83" s="49" t="inlineStr">
        <is>
          <t>Rejected</t>
        </is>
      </c>
      <c r="L83" s="48" t="n"/>
      <c r="M83" s="48">
        <f>IF(OR(L82="",A82=""),"",L82-A82)</f>
        <v/>
      </c>
      <c r="N83" s="48" t="n"/>
      <c r="O83" s="48" t="n"/>
      <c r="P83" s="51" t="inlineStr">
        <is>
          <t>Client-facing delivery lead for complex application development / re-engineering programs; owns co-delivery plans, milestones, customer relationship management through go-live and handoff to operations. 10+ years PM/implementation experience required. Strong fit given extensive multi-client consulting delivery background (IBM) and enterprise program leadership; banking experience desirable but not required. From Greenhouse portal review; distinct from other Capco applications. Rejected.</t>
        </is>
      </c>
      <c r="Q83" s="48" t="n"/>
      <c r="R83" s="48" t="inlineStr">
        <is>
          <t>Strong fit — consulting delivery background match</t>
        </is>
      </c>
      <c r="S83" s="51" t="inlineStr">
        <is>
          <t>10+ yrs PM/implementation. Complex app dev / re-engineering projects. Technical solutioning. Customer-facing (banking a plus).</t>
        </is>
      </c>
      <c r="T83" s="52">
        <f>IF(G83="","",G83)</f>
        <v/>
      </c>
      <c r="U83" s="52">
        <f>IF(C83="","",IF(OR(ISNUMBER(SEARCH("Director",C83)),ISNUMBER(SEARCH("Lead",C83)),ISNUMBER(SEARCH("Senior",C83)),ISNUMBER(SEARCH("Sr.",C83))),90,IF(OR(ISNUMBER(SEARCH("Manager",C83)),ISNUMBER(SEARCH("Program",C83)),ISNUMBER(SEARCH("Portfolio",C83))),80,60)))</f>
        <v/>
      </c>
      <c r="V83" s="52">
        <f>IF(C83="","",IF(OR(ISNUMBER(SEARCH("AI",C83)),ISNUMBER(SEARCH("Data",C83)),ISNUMBER(SEARCH("Technology",C83)),ISNUMBER(SEARCH("Technical",C83)),ISNUMBER(SEARCH("Engineering",C83)),ISNUMBER(SEARCH("Platform",C83)),ISNUMBER(SEARCH("Portfolio",C83))),85,65))</f>
        <v/>
      </c>
      <c r="W83" s="52">
        <f>IF(C83="","",MIN(100,50+IF(S83&lt;&gt;"",25,0)+IF(R83&lt;&gt;"",15,0)+IF(P83&lt;&gt;"",10,0)))</f>
        <v/>
      </c>
      <c r="X83" s="52">
        <f>IF(E83="","",IF(OR(E83="Canada",E83="CA"),100,IF(OR(E83="United States",E83="USA",E83="US"),IF(J83="Yes",45,75),65)))</f>
        <v/>
      </c>
      <c r="Y83" s="52">
        <f>IF(C83="","",IF(OR(ISNUMBER(SEARCH("Program",C83)),ISNUMBER(SEARCH("Portfolio",C83)),ISNUMBER(SEARCH("Operations",C83)),ISNUMBER(SEARCH("Transformation",C83))),85,IF(ISNUMBER(SEARCH("Product Manager",C83)),55,70)))</f>
        <v/>
      </c>
      <c r="Z83" s="52">
        <f>IF(C83="","",MIN(100,IF(I83&lt;&gt;"",60,10)+IF(AA83&gt;0,MIN(40,AA83*20),0)))</f>
        <v/>
      </c>
      <c r="AA83" s="52">
        <f>IF(T83="","",ROUND(T83*25%+U83*15%+V83*10%+W83*15%+X83*15%+Y83*10%+Z83*10%,0))</f>
        <v/>
      </c>
      <c r="AB83" s="52">
        <f>IF(AA83="","",IF(X83&lt;50,"Selective / Barrier",IF(AA83&gt;=80,"Tier 1 - Pursue",IF(AA83&gt;=70,"Tier 2 - Pursue",IF(AA83&gt;=60,"Tier 3 - Selective","Do Not Pursue")))))</f>
        <v/>
      </c>
      <c r="AC83" s="52">
        <f>IF(C83="","",IF(I83&lt;&gt;"","Named Contact",IF(AA83&gt;0,"Outreach Logged","Cold")))</f>
        <v/>
      </c>
      <c r="AD83" s="52">
        <f>IF(B83="","",COUNTIF('Outreach Log'!$C:$C,B83))</f>
        <v/>
      </c>
      <c r="AE83" s="52">
        <f>IF(A83="","",IF(OR(K83="Rejected",K83="Closed"),IF(L83&lt;&gt;"",L83-A83,TODAY()-A83),TODAY()-A83))</f>
        <v/>
      </c>
      <c r="AF83" s="52">
        <f>IF(C83="","",IF(AND(AA83&gt;=70,AC83="Cold"),"High-fit but cold",IF(AND(AA83&lt;60,K83="Applied"),"Low-fit application",IF(AND(AA83&gt;=70,OR(AC83="Named Contact",AC83="Outreach Logged")),"Targeted pursuit","Review"))))</f>
        <v/>
      </c>
    </row>
    <row r="84" ht="15" customHeight="1" s="44">
      <c r="A84" s="53" t="n">
        <v>46073</v>
      </c>
      <c r="B84" s="48" t="inlineStr">
        <is>
          <t>Coinbase Careers Page</t>
        </is>
      </c>
      <c r="C84" s="48" t="inlineStr">
        <is>
          <t>Senior Product Manager, HR Technology</t>
        </is>
      </c>
      <c r="D84" s="48" t="inlineStr">
        <is>
          <t>Senior</t>
        </is>
      </c>
      <c r="E84" s="48" t="inlineStr">
        <is>
          <t>US</t>
        </is>
      </c>
      <c r="F84" s="48" t="inlineStr">
        <is>
          <t>Remote - USA (in-person offsites required)</t>
        </is>
      </c>
      <c r="G84" s="48" t="n">
        <v>60</v>
      </c>
      <c r="H84" s="48" t="inlineStr">
        <is>
          <t>Cold Portal</t>
        </is>
      </c>
      <c r="I84" s="48" t="n"/>
      <c r="J84" s="48" t="inlineStr">
        <is>
          <t>Yes</t>
        </is>
      </c>
      <c r="K84" s="49" t="inlineStr">
        <is>
          <t>Rejected</t>
        </is>
      </c>
      <c r="L84" s="48" t="n"/>
      <c r="M84" s="48">
        <f>IF(OR(L84="",A84=""),"",L84-A84)</f>
        <v/>
      </c>
      <c r="N84" s="48" t="n"/>
      <c r="O84" s="48" t="n"/>
      <c r="P84" s="51" t="inlineStr">
        <is>
          <t>From Greenhouse portal: 'Applied 7 months ago'; date approximate | User confirmed rejected (Sep 20, 2026). | Leads HR Technology portfolio (internal tools, third-party solutions, AI integrations) within People Success domain, reports to Head of HR Technology. 8+ years leading cross-functional tech initiatives, buy-vs-build decisions, Agile/Jira/Confluence. Moderate fit: strong portfolio leadership, vendor management, and AI-forward initiative overlap; role is titled 'Product Manager' (a discipline distinction) though scope reads closer to technical program/portfolio management than classic product ownership. Base salary $176,035-$207,100 USD.</t>
        </is>
      </c>
      <c r="Q84" s="48" t="n"/>
      <c r="R84" s="48" t="inlineStr">
        <is>
          <t>Title/discipline ambiguity (Product Manager title, TPM-like scope) — moderate fit</t>
        </is>
      </c>
      <c r="S84" s="51" t="inlineStr">
        <is>
          <t>8+ yrs cross-functional tech initiative leadership. Buy vs. build decisions. HR domain + Slack/Google Workspace integrations. AI-forward initiatives. Agile/Jira/Confluence.</t>
        </is>
      </c>
      <c r="T84" s="52">
        <f>IF(G84="","",G84)</f>
        <v/>
      </c>
      <c r="U84" s="52">
        <f>IF(C84="","",IF(OR(ISNUMBER(SEARCH("Director",C84)),ISNUMBER(SEARCH("Lead",C84)),ISNUMBER(SEARCH("Senior",C84)),ISNUMBER(SEARCH("Sr.",C84))),90,IF(OR(ISNUMBER(SEARCH("Manager",C84)),ISNUMBER(SEARCH("Program",C84)),ISNUMBER(SEARCH("Portfolio",C84))),80,60)))</f>
        <v/>
      </c>
      <c r="V84" s="52">
        <f>IF(C84="","",IF(OR(ISNUMBER(SEARCH("AI",C84)),ISNUMBER(SEARCH("Data",C84)),ISNUMBER(SEARCH("Technology",C84)),ISNUMBER(SEARCH("Technical",C84)),ISNUMBER(SEARCH("Engineering",C84)),ISNUMBER(SEARCH("Platform",C84)),ISNUMBER(SEARCH("Portfolio",C84))),85,65))</f>
        <v/>
      </c>
      <c r="W84" s="52">
        <f>IF(C84="","",MIN(100,50+IF(S84&lt;&gt;"",25,0)+IF(R84&lt;&gt;"",15,0)+IF(P84&lt;&gt;"",10,0)))</f>
        <v/>
      </c>
      <c r="X84" s="52">
        <f>IF(E84="","",IF(OR(E84="Canada",E84="CA"),100,IF(OR(E84="United States",E84="USA",E84="US"),IF(J84="Yes",45,75),65)))</f>
        <v/>
      </c>
      <c r="Y84" s="52">
        <f>IF(C84="","",IF(OR(ISNUMBER(SEARCH("Program",C84)),ISNUMBER(SEARCH("Portfolio",C84)),ISNUMBER(SEARCH("Operations",C84)),ISNUMBER(SEARCH("Transformation",C84))),85,IF(ISNUMBER(SEARCH("Product Manager",C84)),55,70)))</f>
        <v/>
      </c>
      <c r="Z84" s="52">
        <f>IF(C84="","",MIN(100,IF(I84&lt;&gt;"",60,10)+IF(AA84&gt;0,MIN(40,AA84*20),0)))</f>
        <v/>
      </c>
      <c r="AA84" s="52">
        <f>IF(T84="","",ROUND(T84*25%+U84*15%+V84*10%+W84*15%+X84*15%+Y84*10%+Z84*10%,0))</f>
        <v/>
      </c>
      <c r="AB84" s="52">
        <f>IF(AA84="","",IF(X84&lt;50,"Selective / Barrier",IF(AA84&gt;=80,"Tier 1 - Pursue",IF(AA84&gt;=70,"Tier 2 - Pursue",IF(AA84&gt;=60,"Tier 3 - Selective","Do Not Pursue")))))</f>
        <v/>
      </c>
      <c r="AC84" s="52">
        <f>IF(C84="","",IF(I84&lt;&gt;"","Named Contact",IF(AA84&gt;0,"Outreach Logged","Cold")))</f>
        <v/>
      </c>
      <c r="AD84" s="52">
        <f>IF(B84="","",COUNTIF('Outreach Log'!$C:$C,B84))</f>
        <v/>
      </c>
      <c r="AE84" s="52">
        <f>IF(A84="","",IF(OR(K84="Rejected",K84="Closed"),IF(L84&lt;&gt;"",L84-A84,TODAY()-A84),TODAY()-A84))</f>
        <v/>
      </c>
      <c r="AF84" s="52">
        <f>IF(C84="","",IF(AND(AA84&gt;=70,AC84="Cold"),"High-fit but cold",IF(AND(AA84&lt;60,K84="Applied"),"Low-fit application",IF(AND(AA84&gt;=70,OR(AC84="Named Contact",AC84="Outreach Logged")),"Targeted pursuit","Review"))))</f>
        <v/>
      </c>
    </row>
    <row r="85" ht="15" customHeight="1" s="44">
      <c r="A85" s="53" t="n">
        <v>46073</v>
      </c>
      <c r="B85" s="48" t="inlineStr">
        <is>
          <t>Gusto, Inc.</t>
        </is>
      </c>
      <c r="C85" s="48" t="inlineStr">
        <is>
          <t>Senior Manager, Program Manager</t>
        </is>
      </c>
      <c r="D85" s="48" t="inlineStr">
        <is>
          <t>Senior Manager (people manager)</t>
        </is>
      </c>
      <c r="E85" s="48" t="inlineStr">
        <is>
          <t>US</t>
        </is>
      </c>
      <c r="F85" s="48" t="inlineStr">
        <is>
          <t>Denver, CO / NYC / SF / Seattle / LA (Hybrid 2-3 days)</t>
        </is>
      </c>
      <c r="G85" s="48" t="n">
        <v>77</v>
      </c>
      <c r="H85" s="48" t="inlineStr">
        <is>
          <t>Cold Portal</t>
        </is>
      </c>
      <c r="I85" s="48" t="n"/>
      <c r="J85" s="48" t="inlineStr">
        <is>
          <t>Yes</t>
        </is>
      </c>
      <c r="K85" s="49" t="inlineStr">
        <is>
          <t>Rejected</t>
        </is>
      </c>
      <c r="L85" s="48" t="n"/>
      <c r="M85" s="48">
        <f>IF(OR(L85="",A85=""),"",L85-A85)</f>
        <v/>
      </c>
      <c r="N85" s="48" t="n"/>
      <c r="O85" s="48" t="n"/>
      <c r="P85" s="51" t="inlineStr">
        <is>
          <t>From Greenhouse portal: 'Applied 7 months ago'; title cut off; date approximate | User confirmed rejected (Sep 20, 2026). | PMO leadership role; leads team of 3-5 Program Managers driving cross-functional CX/Product/Eng initiatives with AI-enabled operational readiness. 8+ years program management, 4+ years leading/coaching PMs (including leading leaders). Strong fit: closely mirrors enterprise portfolio/PMO leadership, executive influence, and AI-driven program experience; people-manager scope (leading a PM team) is a good match given demonstrated leadership background. Cash comp $154,045-$223,573 depending on location.</t>
        </is>
      </c>
      <c r="Q85" s="48" t="n"/>
      <c r="R85" s="48" t="inlineStr">
        <is>
          <t>Strong fit — no clear skills gap identified</t>
        </is>
      </c>
      <c r="S85" s="51" t="inlineStr">
        <is>
          <t>8+ yrs program mgmt/ops/PM. 4+ yrs leading/coaching PMs (leading leaders). AI-driven program experience required. Service design principles. Tools: Asana/Notion/Airtable/JIRA.</t>
        </is>
      </c>
      <c r="T85" s="52">
        <f>IF(G85="","",G85)</f>
        <v/>
      </c>
      <c r="U85" s="52">
        <f>IF(C85="","",IF(OR(ISNUMBER(SEARCH("Director",C85)),ISNUMBER(SEARCH("Lead",C85)),ISNUMBER(SEARCH("Senior",C85)),ISNUMBER(SEARCH("Sr.",C85))),90,IF(OR(ISNUMBER(SEARCH("Manager",C85)),ISNUMBER(SEARCH("Program",C85)),ISNUMBER(SEARCH("Portfolio",C85))),80,60)))</f>
        <v/>
      </c>
      <c r="V85" s="52">
        <f>IF(C85="","",IF(OR(ISNUMBER(SEARCH("AI",C85)),ISNUMBER(SEARCH("Data",C85)),ISNUMBER(SEARCH("Technology",C85)),ISNUMBER(SEARCH("Technical",C85)),ISNUMBER(SEARCH("Engineering",C85)),ISNUMBER(SEARCH("Platform",C85)),ISNUMBER(SEARCH("Portfolio",C85))),85,65))</f>
        <v/>
      </c>
      <c r="W85" s="52">
        <f>IF(C85="","",MIN(100,50+IF(S85&lt;&gt;"",25,0)+IF(R85&lt;&gt;"",15,0)+IF(P85&lt;&gt;"",10,0)))</f>
        <v/>
      </c>
      <c r="X85" s="52">
        <f>IF(E85="","",IF(OR(E85="Canada",E85="CA"),100,IF(OR(E85="United States",E85="USA",E85="US"),IF(J85="Yes",45,75),65)))</f>
        <v/>
      </c>
      <c r="Y85" s="52">
        <f>IF(C85="","",IF(OR(ISNUMBER(SEARCH("Program",C85)),ISNUMBER(SEARCH("Portfolio",C85)),ISNUMBER(SEARCH("Operations",C85)),ISNUMBER(SEARCH("Transformation",C85))),85,IF(ISNUMBER(SEARCH("Product Manager",C85)),55,70)))</f>
        <v/>
      </c>
      <c r="Z85" s="52">
        <f>IF(C85="","",MIN(100,IF(I85&lt;&gt;"",60,10)+IF(AA85&gt;0,MIN(40,AA85*20),0)))</f>
        <v/>
      </c>
      <c r="AA85" s="52">
        <f>IF(T85="","",ROUND(T85*25%+U85*15%+V85*10%+W85*15%+X85*15%+Y85*10%+Z85*10%,0))</f>
        <v/>
      </c>
      <c r="AB85" s="52">
        <f>IF(AA85="","",IF(X85&lt;50,"Selective / Barrier",IF(AA85&gt;=80,"Tier 1 - Pursue",IF(AA85&gt;=70,"Tier 2 - Pursue",IF(AA85&gt;=60,"Tier 3 - Selective","Do Not Pursue")))))</f>
        <v/>
      </c>
      <c r="AC85" s="52">
        <f>IF(C85="","",IF(I85&lt;&gt;"","Named Contact",IF(AA85&gt;0,"Outreach Logged","Cold")))</f>
        <v/>
      </c>
      <c r="AD85" s="52">
        <f>IF(B85="","",COUNTIF('Outreach Log'!$C:$C,B85))</f>
        <v/>
      </c>
      <c r="AE85" s="52">
        <f>IF(A85="","",IF(OR(K85="Rejected",K85="Closed"),IF(L85&lt;&gt;"",L85-A85,TODAY()-A85),TODAY()-A85))</f>
        <v/>
      </c>
      <c r="AF85" s="52">
        <f>IF(C85="","",IF(AND(AA85&gt;=70,AC85="Cold"),"High-fit but cold",IF(AND(AA85&lt;60,K85="Applied"),"Low-fit application",IF(AND(AA85&gt;=70,OR(AC85="Named Contact",AC85="Outreach Logged")),"Targeted pursuit","Review"))))</f>
        <v/>
      </c>
    </row>
    <row r="86" ht="15" customHeight="1" s="44">
      <c r="A86" s="53" t="n">
        <v>46073</v>
      </c>
      <c r="B86" s="48" t="inlineStr">
        <is>
          <t>FeverUp</t>
        </is>
      </c>
      <c r="C86" s="48" t="inlineStr">
        <is>
          <t>Team Lead - Scalable Projects</t>
        </is>
      </c>
      <c r="D86" s="48" t="inlineStr">
        <is>
          <t>Manager (people manager)</t>
        </is>
      </c>
      <c r="E86" s="48" t="inlineStr">
        <is>
          <t>Canada</t>
        </is>
      </c>
      <c r="F86" s="48" t="inlineStr">
        <is>
          <t>Toronto (in-office 3-4 days/week)</t>
        </is>
      </c>
      <c r="G86" s="48" t="n">
        <v>46</v>
      </c>
      <c r="H86" s="48" t="inlineStr">
        <is>
          <t>Cold Portal</t>
        </is>
      </c>
      <c r="I86" s="48" t="n"/>
      <c r="J86" s="48" t="inlineStr">
        <is>
          <t>No</t>
        </is>
      </c>
      <c r="K86" s="49" t="inlineStr">
        <is>
          <t>Rejected</t>
        </is>
      </c>
      <c r="L86" s="48" t="n"/>
      <c r="M86" s="48">
        <f>IF(OR(L86="",A86=""),"",L86-A86)</f>
        <v/>
      </c>
      <c r="N86" s="48" t="n"/>
      <c r="O86" s="48" t="n"/>
      <c r="P86" s="51" t="inlineStr">
        <is>
          <t>From Greenhouse portal: 'Applied 7 months ago'; date approximate | User confirmed rejected (Sep 20, 2026). | Leads team of project managers/producers for live entertainment experience portfolio (Canada); owns budget, revenue growth, venue/partner deal negotiation, on-site event execution. 7-10 years PM/consulting background; fluent English + French required. Low fit: entertainment/events industry domain (venue negotiation, on-site production, revenue/sales ownership) is a significant departure from enterprise tech program management, plus explicit French bilingual requirement. Total comp $100,000-$140,000 CAD.</t>
        </is>
      </c>
      <c r="Q86" s="48" t="n"/>
      <c r="R86" s="48" t="inlineStr">
        <is>
          <t>Industry domain mismatch (live entertainment/events) + French language requirement</t>
        </is>
      </c>
      <c r="S86" s="51" t="inlineStr">
        <is>
          <t>7-10 yrs PM/startup/consulting. Fluent English + French required. Venue/partner deal negotiation. Revenue/budget ownership. In-office 3-4 days/week.</t>
        </is>
      </c>
      <c r="T86" s="52">
        <f>IF(G86="","",G86)</f>
        <v/>
      </c>
      <c r="U86" s="52">
        <f>IF(C86="","",IF(OR(ISNUMBER(SEARCH("Director",C86)),ISNUMBER(SEARCH("Lead",C86)),ISNUMBER(SEARCH("Senior",C86)),ISNUMBER(SEARCH("Sr.",C86))),90,IF(OR(ISNUMBER(SEARCH("Manager",C86)),ISNUMBER(SEARCH("Program",C86)),ISNUMBER(SEARCH("Portfolio",C86))),80,60)))</f>
        <v/>
      </c>
      <c r="V86" s="52">
        <f>IF(C86="","",IF(OR(ISNUMBER(SEARCH("AI",C86)),ISNUMBER(SEARCH("Data",C86)),ISNUMBER(SEARCH("Technology",C86)),ISNUMBER(SEARCH("Technical",C86)),ISNUMBER(SEARCH("Engineering",C86)),ISNUMBER(SEARCH("Platform",C86)),ISNUMBER(SEARCH("Portfolio",C86))),85,65))</f>
        <v/>
      </c>
      <c r="W86" s="52">
        <f>IF(C86="","",MIN(100,50+IF(S86&lt;&gt;"",25,0)+IF(R86&lt;&gt;"",15,0)+IF(P86&lt;&gt;"",10,0)))</f>
        <v/>
      </c>
      <c r="X86" s="52">
        <f>IF(E86="","",IF(OR(E86="Canada",E86="CA"),100,IF(OR(E86="United States",E86="USA",E86="US"),IF(J86="Yes",45,75),65)))</f>
        <v/>
      </c>
      <c r="Y86" s="52">
        <f>IF(C86="","",IF(OR(ISNUMBER(SEARCH("Program",C86)),ISNUMBER(SEARCH("Portfolio",C86)),ISNUMBER(SEARCH("Operations",C86)),ISNUMBER(SEARCH("Transformation",C86))),85,IF(ISNUMBER(SEARCH("Product Manager",C86)),55,70)))</f>
        <v/>
      </c>
      <c r="Z86" s="52">
        <f>IF(C86="","",MIN(100,IF(I86&lt;&gt;"",60,10)+IF(AA86&gt;0,MIN(40,AA86*20),0)))</f>
        <v/>
      </c>
      <c r="AA86" s="52">
        <f>IF(T86="","",ROUND(T86*25%+U86*15%+V86*10%+W86*15%+X86*15%+Y86*10%+Z86*10%,0))</f>
        <v/>
      </c>
      <c r="AB86" s="52">
        <f>IF(AA86="","",IF(X86&lt;50,"Selective / Barrier",IF(AA86&gt;=80,"Tier 1 - Pursue",IF(AA86&gt;=70,"Tier 2 - Pursue",IF(AA86&gt;=60,"Tier 3 - Selective","Do Not Pursue")))))</f>
        <v/>
      </c>
      <c r="AC86" s="52">
        <f>IF(C86="","",IF(I86&lt;&gt;"","Named Contact",IF(AA86&gt;0,"Outreach Logged","Cold")))</f>
        <v/>
      </c>
      <c r="AD86" s="52">
        <f>IF(B86="","",COUNTIF('Outreach Log'!$C:$C,B86))</f>
        <v/>
      </c>
      <c r="AE86" s="52">
        <f>IF(A86="","",IF(OR(K86="Rejected",K86="Closed"),IF(L86&lt;&gt;"",L86-A86,TODAY()-A86),TODAY()-A86))</f>
        <v/>
      </c>
      <c r="AF86" s="52">
        <f>IF(C86="","",IF(AND(AA86&gt;=70,AC86="Cold"),"High-fit but cold",IF(AND(AA86&lt;60,K86="Applied"),"Low-fit application",IF(AND(AA86&gt;=70,OR(AC86="Named Contact",AC86="Outreach Logged")),"Targeted pursuit","Review"))))</f>
        <v/>
      </c>
    </row>
    <row r="87" ht="15" customHeight="1" s="44">
      <c r="A87" s="53" t="n">
        <v>46073</v>
      </c>
      <c r="B87" s="48" t="inlineStr">
        <is>
          <t>Anthropic</t>
        </is>
      </c>
      <c r="C87" s="48" t="inlineStr">
        <is>
          <t>Product Operations Manager, Research Product</t>
        </is>
      </c>
      <c r="D87" s="48" t="inlineStr">
        <is>
          <t>Mid-Senior</t>
        </is>
      </c>
      <c r="E87" s="48" t="inlineStr">
        <is>
          <t>US</t>
        </is>
      </c>
      <c r="F87" s="48" t="inlineStr">
        <is>
          <t>San Francisco, CA</t>
        </is>
      </c>
      <c r="G87" s="48" t="n">
        <v>48</v>
      </c>
      <c r="H87" s="48" t="inlineStr">
        <is>
          <t>Cold Portal</t>
        </is>
      </c>
      <c r="I87" s="48" t="n"/>
      <c r="J87" s="48" t="inlineStr">
        <is>
          <t>Yes</t>
        </is>
      </c>
      <c r="K87" s="49" t="inlineStr">
        <is>
          <t>Rejected</t>
        </is>
      </c>
      <c r="L87" s="48" t="n"/>
      <c r="M87" s="48">
        <f>IF(OR(L86="",A86=""),"",L86-A86)</f>
        <v/>
      </c>
      <c r="N87" s="48" t="n"/>
      <c r="O87" s="48" t="n"/>
      <c r="P87" s="51" t="inlineStr">
        <is>
          <t>From Greenhouse portal: 'Applied 7 months ago'; distinct from Anthropic TPM Compute Partnerships and TPM Apps Platform already logged; date approximate | User confirmed rejected (Sep 20, 2026). | Product Ops for Research Product team (launching new models). Builds feedback loops, launch playbooks, EAPs/beta programs. Only 4+ years product ops/PM experience required — more junior-mid level than senior portfolio scope. Moderate-low fit: strong process/ops building skills overlap, but role is Product-Ops-specific (not TPM) and seniority level sits below 20+ years experience. Salary $210,000-$240,000 USD.</t>
        </is>
      </c>
      <c r="Q87" s="48" t="n"/>
      <c r="R87" s="48" t="inlineStr">
        <is>
          <t>Role-type mismatch (Product Ops, not TPM) + seniority level below experience</t>
        </is>
      </c>
      <c r="S87" s="51" t="inlineStr">
        <is>
          <t>4+ yrs product ops/PM in hyper-scaling tech. 0-to-1 process building. Deep AI/frontier model experience. Launch coordination/EAPs. Cross-functional influence without authority.</t>
        </is>
      </c>
      <c r="T87" s="52">
        <f>IF(G87="","",G87)</f>
        <v/>
      </c>
      <c r="U87" s="52">
        <f>IF(C87="","",IF(OR(ISNUMBER(SEARCH("Director",C87)),ISNUMBER(SEARCH("Lead",C87)),ISNUMBER(SEARCH("Senior",C87)),ISNUMBER(SEARCH("Sr.",C87))),90,IF(OR(ISNUMBER(SEARCH("Manager",C87)),ISNUMBER(SEARCH("Program",C87)),ISNUMBER(SEARCH("Portfolio",C87))),80,60)))</f>
        <v/>
      </c>
      <c r="V87" s="52">
        <f>IF(C87="","",IF(OR(ISNUMBER(SEARCH("AI",C87)),ISNUMBER(SEARCH("Data",C87)),ISNUMBER(SEARCH("Technology",C87)),ISNUMBER(SEARCH("Technical",C87)),ISNUMBER(SEARCH("Engineering",C87)),ISNUMBER(SEARCH("Platform",C87)),ISNUMBER(SEARCH("Portfolio",C87))),85,65))</f>
        <v/>
      </c>
      <c r="W87" s="52">
        <f>IF(C87="","",MIN(100,50+IF(S87&lt;&gt;"",25,0)+IF(R87&lt;&gt;"",15,0)+IF(P87&lt;&gt;"",10,0)))</f>
        <v/>
      </c>
      <c r="X87" s="52">
        <f>IF(E87="","",IF(OR(E87="Canada",E87="CA"),100,IF(OR(E87="United States",E87="USA",E87="US"),IF(J87="Yes",45,75),65)))</f>
        <v/>
      </c>
      <c r="Y87" s="52">
        <f>IF(C87="","",IF(OR(ISNUMBER(SEARCH("Program",C87)),ISNUMBER(SEARCH("Portfolio",C87)),ISNUMBER(SEARCH("Operations",C87)),ISNUMBER(SEARCH("Transformation",C87))),85,IF(ISNUMBER(SEARCH("Product Manager",C87)),55,70)))</f>
        <v/>
      </c>
      <c r="Z87" s="52">
        <f>IF(C87="","",MIN(100,IF(I87&lt;&gt;"",60,10)+IF(AA87&gt;0,MIN(40,AA87*20),0)))</f>
        <v/>
      </c>
      <c r="AA87" s="52">
        <f>IF(T87="","",ROUND(T87*25%+U87*15%+V87*10%+W87*15%+X87*15%+Y87*10%+Z87*10%,0))</f>
        <v/>
      </c>
      <c r="AB87" s="52">
        <f>IF(AA87="","",IF(X87&lt;50,"Selective / Barrier",IF(AA87&gt;=80,"Tier 1 - Pursue",IF(AA87&gt;=70,"Tier 2 - Pursue",IF(AA87&gt;=60,"Tier 3 - Selective","Do Not Pursue")))))</f>
        <v/>
      </c>
      <c r="AC87" s="52">
        <f>IF(C87="","",IF(I87&lt;&gt;"","Named Contact",IF(AA87&gt;0,"Outreach Logged","Cold")))</f>
        <v/>
      </c>
      <c r="AD87" s="52">
        <f>IF(B87="","",COUNTIF('Outreach Log'!$C:$C,B87))</f>
        <v/>
      </c>
      <c r="AE87" s="52">
        <f>IF(A87="","",IF(OR(K87="Rejected",K87="Closed"),IF(L87&lt;&gt;"",L87-A87,TODAY()-A87),TODAY()-A87))</f>
        <v/>
      </c>
      <c r="AF87" s="52">
        <f>IF(C87="","",IF(AND(AA87&gt;=70,AC87="Cold"),"High-fit but cold",IF(AND(AA87&lt;60,K87="Applied"),"Low-fit application",IF(AND(AA87&gt;=70,OR(AC87="Named Contact",AC87="Outreach Logged")),"Targeted pursuit","Review"))))</f>
        <v/>
      </c>
    </row>
    <row r="88" ht="15" customHeight="1" s="44">
      <c r="A88" s="53" t="n">
        <v>46073</v>
      </c>
      <c r="B88" s="48" t="inlineStr">
        <is>
          <t>Anthropic</t>
        </is>
      </c>
      <c r="C88" s="48" t="inlineStr">
        <is>
          <t>Product Operations Manager, Public Sector</t>
        </is>
      </c>
      <c r="D88" s="48" t="inlineStr">
        <is>
          <t>Mid-Senior</t>
        </is>
      </c>
      <c r="E88" s="48" t="inlineStr">
        <is>
          <t>US</t>
        </is>
      </c>
      <c r="F88" s="48" t="inlineStr">
        <is>
          <t>San Francisco, CA</t>
        </is>
      </c>
      <c r="G88" s="48" t="n">
        <v>44</v>
      </c>
      <c r="H88" s="48" t="inlineStr">
        <is>
          <t>Cold Portal</t>
        </is>
      </c>
      <c r="I88" s="48" t="n"/>
      <c r="J88" s="48" t="inlineStr">
        <is>
          <t>Yes</t>
        </is>
      </c>
      <c r="K88" s="49" t="inlineStr">
        <is>
          <t>Rejected</t>
        </is>
      </c>
      <c r="L88" s="48" t="n"/>
      <c r="M88" s="48">
        <f>IF(OR(L87="",A87=""),"",L87-A87)</f>
        <v/>
      </c>
      <c r="N88" s="48" t="n"/>
      <c r="O88" s="48" t="n"/>
      <c r="P88" s="51" t="inlineStr">
        <is>
          <t>From Greenhouse portal: 'Applied 7 months ago'; second distinct Product Operations Manager role at Anthropic; title cut off; date approximate | User confirmed rejected (Sep 20, 2026). | Same Product Ops function as Research Product role but for Public Sector team; requires U.S. citizenship verification (federal/state/local government customer restriction). 5+ years product ops/PM. Lower fit: citizenship requirement is an automatic disqualifier if not a US citizen, on top of the same role-type/seniority gaps as the Research Product version. Salary $210,000-$240,000 USD.</t>
        </is>
      </c>
      <c r="Q88" s="48" t="n"/>
      <c r="R88" s="48" t="inlineStr">
        <is>
          <t>Citizenship requirement (hard disqualifier) + role-type/seniority mismatch</t>
        </is>
      </c>
      <c r="S88" s="51" t="inlineStr">
        <is>
          <t>5+ yrs product ops/PM. Public Sector org experience. US citizenship verification required. 0-to-1 process building. Deep AI/frontier model experience.</t>
        </is>
      </c>
      <c r="T88" s="52">
        <f>IF(G88="","",G88)</f>
        <v/>
      </c>
      <c r="U88" s="52">
        <f>IF(C88="","",IF(OR(ISNUMBER(SEARCH("Director",C88)),ISNUMBER(SEARCH("Lead",C88)),ISNUMBER(SEARCH("Senior",C88)),ISNUMBER(SEARCH("Sr.",C88))),90,IF(OR(ISNUMBER(SEARCH("Manager",C88)),ISNUMBER(SEARCH("Program",C88)),ISNUMBER(SEARCH("Portfolio",C88))),80,60)))</f>
        <v/>
      </c>
      <c r="V88" s="52">
        <f>IF(C88="","",IF(OR(ISNUMBER(SEARCH("AI",C88)),ISNUMBER(SEARCH("Data",C88)),ISNUMBER(SEARCH("Technology",C88)),ISNUMBER(SEARCH("Technical",C88)),ISNUMBER(SEARCH("Engineering",C88)),ISNUMBER(SEARCH("Platform",C88)),ISNUMBER(SEARCH("Portfolio",C88))),85,65))</f>
        <v/>
      </c>
      <c r="W88" s="52">
        <f>IF(C88="","",MIN(100,50+IF(S88&lt;&gt;"",25,0)+IF(R88&lt;&gt;"",15,0)+IF(P88&lt;&gt;"",10,0)))</f>
        <v/>
      </c>
      <c r="X88" s="52">
        <f>IF(E88="","",IF(OR(E88="Canada",E88="CA"),100,IF(OR(E88="United States",E88="USA",E88="US"),IF(J88="Yes",45,75),65)))</f>
        <v/>
      </c>
      <c r="Y88" s="52">
        <f>IF(C88="","",IF(OR(ISNUMBER(SEARCH("Program",C88)),ISNUMBER(SEARCH("Portfolio",C88)),ISNUMBER(SEARCH("Operations",C88)),ISNUMBER(SEARCH("Transformation",C88))),85,IF(ISNUMBER(SEARCH("Product Manager",C88)),55,70)))</f>
        <v/>
      </c>
      <c r="Z88" s="52">
        <f>IF(C88="","",MIN(100,IF(I88&lt;&gt;"",60,10)+IF(AA88&gt;0,MIN(40,AA88*20),0)))</f>
        <v/>
      </c>
      <c r="AA88" s="52">
        <f>IF(T88="","",ROUND(T88*25%+U88*15%+V88*10%+W88*15%+X88*15%+Y88*10%+Z88*10%,0))</f>
        <v/>
      </c>
      <c r="AB88" s="52">
        <f>IF(AA88="","",IF(X88&lt;50,"Selective / Barrier",IF(AA88&gt;=80,"Tier 1 - Pursue",IF(AA88&gt;=70,"Tier 2 - Pursue",IF(AA88&gt;=60,"Tier 3 - Selective","Do Not Pursue")))))</f>
        <v/>
      </c>
      <c r="AC88" s="52">
        <f>IF(C88="","",IF(I88&lt;&gt;"","Named Contact",IF(AA88&gt;0,"Outreach Logged","Cold")))</f>
        <v/>
      </c>
      <c r="AD88" s="52">
        <f>IF(B88="","",COUNTIF('Outreach Log'!$C:$C,B88))</f>
        <v/>
      </c>
      <c r="AE88" s="52">
        <f>IF(A88="","",IF(OR(K88="Rejected",K88="Closed"),IF(L88&lt;&gt;"",L88-A88,TODAY()-A88),TODAY()-A88))</f>
        <v/>
      </c>
      <c r="AF88" s="52">
        <f>IF(C88="","",IF(AND(AA88&gt;=70,AC88="Cold"),"High-fit but cold",IF(AND(AA88&lt;60,K88="Applied"),"Low-fit application",IF(AND(AA88&gt;=70,OR(AC88="Named Contact",AC88="Outreach Logged")),"Targeted pursuit","Review"))))</f>
        <v/>
      </c>
    </row>
    <row r="89" ht="15" customHeight="1" s="44">
      <c r="A89" s="53" t="n">
        <v>46073</v>
      </c>
      <c r="B89" s="48" t="inlineStr">
        <is>
          <t>Reddit</t>
        </is>
      </c>
      <c r="C89" s="48" t="inlineStr">
        <is>
          <t>Manager, Program Management (Vendor Operations)</t>
        </is>
      </c>
      <c r="D89" s="48" t="inlineStr">
        <is>
          <t>Manager (people manager)</t>
        </is>
      </c>
      <c r="E89" s="48" t="inlineStr">
        <is>
          <t>US</t>
        </is>
      </c>
      <c r="F89" s="48" t="inlineStr">
        <is>
          <t>Remote US (EST preferred)</t>
        </is>
      </c>
      <c r="G89" s="48" t="n">
        <v>62</v>
      </c>
      <c r="H89" s="48" t="inlineStr">
        <is>
          <t>Cold Portal</t>
        </is>
      </c>
      <c r="I89" s="48" t="n"/>
      <c r="J89" s="48" t="inlineStr">
        <is>
          <t>Yes</t>
        </is>
      </c>
      <c r="K89" s="49" t="inlineStr">
        <is>
          <t>Rejected</t>
        </is>
      </c>
      <c r="L89" s="48" t="n"/>
      <c r="M89" s="48">
        <f>IF(OR(L89="",A89=""),"",L89-A89)</f>
        <v/>
      </c>
      <c r="N89" s="48" t="n"/>
      <c r="O89" s="48" t="n"/>
      <c r="P89" s="51" t="inlineStr">
        <is>
          <t>From Greenhouse portal: 'Applied 7 months ago'; title cut off; date approximate | User confirmed rejected (Sep 20, 2026). | Owns large-scale third-party vendor operations: SLA/KPI performance, SOW renewals, vendor budgets, QBRs; leads team of FTE Vendor Operations Managers. 7+ years Operations/Vendor Management, 3+ years direct people management, SQL/BI tool proficiency. Moderate fit: strong vendor management, cross-functional coordination, and people-leadership overlap; role is Vendor Operations discipline (not enterprise program/portfolio management) and expects direct hands-on SQL/data analysis skills.</t>
        </is>
      </c>
      <c r="Q89" s="48" t="n"/>
      <c r="R89" s="48" t="inlineStr">
        <is>
          <t>Role-type mismatch (Vendor Operations, not core program management) + SQL skill gap</t>
        </is>
      </c>
      <c r="S89" s="51" t="inlineStr">
        <is>
          <t>7+ yrs Operations/Vendor Mgmt. 3+ yrs direct people mgmt. SQL/Excel/BI tools (Tableau/Looker). SLA/KPI/SOW ownership. QBR leadership.</t>
        </is>
      </c>
      <c r="T89" s="52">
        <f>IF(G89="","",G89)</f>
        <v/>
      </c>
      <c r="U89" s="52">
        <f>IF(C89="","",IF(OR(ISNUMBER(SEARCH("Director",C89)),ISNUMBER(SEARCH("Lead",C89)),ISNUMBER(SEARCH("Senior",C89)),ISNUMBER(SEARCH("Sr.",C89))),90,IF(OR(ISNUMBER(SEARCH("Manager",C89)),ISNUMBER(SEARCH("Program",C89)),ISNUMBER(SEARCH("Portfolio",C89))),80,60)))</f>
        <v/>
      </c>
      <c r="V89" s="52">
        <f>IF(C89="","",IF(OR(ISNUMBER(SEARCH("AI",C89)),ISNUMBER(SEARCH("Data",C89)),ISNUMBER(SEARCH("Technology",C89)),ISNUMBER(SEARCH("Technical",C89)),ISNUMBER(SEARCH("Engineering",C89)),ISNUMBER(SEARCH("Platform",C89)),ISNUMBER(SEARCH("Portfolio",C89))),85,65))</f>
        <v/>
      </c>
      <c r="W89" s="52">
        <f>IF(C89="","",MIN(100,50+IF(S89&lt;&gt;"",25,0)+IF(R89&lt;&gt;"",15,0)+IF(P89&lt;&gt;"",10,0)))</f>
        <v/>
      </c>
      <c r="X89" s="52">
        <f>IF(E89="","",IF(OR(E89="Canada",E89="CA"),100,IF(OR(E89="United States",E89="USA",E89="US"),IF(J89="Yes",45,75),65)))</f>
        <v/>
      </c>
      <c r="Y89" s="52">
        <f>IF(C89="","",IF(OR(ISNUMBER(SEARCH("Program",C89)),ISNUMBER(SEARCH("Portfolio",C89)),ISNUMBER(SEARCH("Operations",C89)),ISNUMBER(SEARCH("Transformation",C89))),85,IF(ISNUMBER(SEARCH("Product Manager",C89)),55,70)))</f>
        <v/>
      </c>
      <c r="Z89" s="52">
        <f>IF(C89="","",MIN(100,IF(I89&lt;&gt;"",60,10)+IF(AA89&gt;0,MIN(40,AA89*20),0)))</f>
        <v/>
      </c>
      <c r="AA89" s="52">
        <f>IF(T89="","",ROUND(T89*25%+U89*15%+V89*10%+W89*15%+X89*15%+Y89*10%+Z89*10%,0))</f>
        <v/>
      </c>
      <c r="AB89" s="52">
        <f>IF(AA89="","",IF(X89&lt;50,"Selective / Barrier",IF(AA89&gt;=80,"Tier 1 - Pursue",IF(AA89&gt;=70,"Tier 2 - Pursue",IF(AA89&gt;=60,"Tier 3 - Selective","Do Not Pursue")))))</f>
        <v/>
      </c>
      <c r="AC89" s="52">
        <f>IF(C89="","",IF(I89&lt;&gt;"","Named Contact",IF(AA89&gt;0,"Outreach Logged","Cold")))</f>
        <v/>
      </c>
      <c r="AD89" s="52">
        <f>IF(B89="","",COUNTIF('Outreach Log'!$C:$C,B89))</f>
        <v/>
      </c>
      <c r="AE89" s="52">
        <f>IF(A89="","",IF(OR(K89="Rejected",K89="Closed"),IF(L89&lt;&gt;"",L89-A89,TODAY()-A89),TODAY()-A89))</f>
        <v/>
      </c>
      <c r="AF89" s="52">
        <f>IF(C89="","",IF(AND(AA89&gt;=70,AC89="Cold"),"High-fit but cold",IF(AND(AA89&lt;60,K89="Applied"),"Low-fit application",IF(AND(AA89&gt;=70,OR(AC89="Named Contact",AC89="Outreach Logged")),"Targeted pursuit","Review"))))</f>
        <v/>
      </c>
    </row>
    <row r="90" ht="15" customHeight="1" s="44">
      <c r="A90" s="53" t="n">
        <v>46073</v>
      </c>
      <c r="B90" s="48" t="inlineStr">
        <is>
          <t>Five9</t>
        </is>
      </c>
      <c r="C90" s="48" t="inlineStr">
        <is>
          <t>Professional Services Program Manager (duplicate application)</t>
        </is>
      </c>
      <c r="D90" s="48" t="inlineStr">
        <is>
          <t>Senior</t>
        </is>
      </c>
      <c r="E90" s="48" t="inlineStr">
        <is>
          <t>Canada</t>
        </is>
      </c>
      <c r="F90" s="48" t="inlineStr">
        <is>
          <t>Remote, Canada (Ontario-based pay range)</t>
        </is>
      </c>
      <c r="G90" s="48" t="n">
        <v>54</v>
      </c>
      <c r="H90" s="48" t="inlineStr">
        <is>
          <t>Cold Portal</t>
        </is>
      </c>
      <c r="I90" s="48" t="n"/>
      <c r="J90" s="48" t="inlineStr">
        <is>
          <t>No</t>
        </is>
      </c>
      <c r="K90" s="49" t="inlineStr">
        <is>
          <t>Rejected</t>
        </is>
      </c>
      <c r="L90" s="48" t="n"/>
      <c r="M90" s="48" t="n"/>
      <c r="N90" s="48" t="n"/>
      <c r="O90" s="48" t="n"/>
      <c r="P90" s="51" t="inlineStr">
        <is>
          <t>Duplicate application to same posting as existing Professional Services Program Manager entry (same JD, same date). User confirmed 3 total Five9 applications, Sep 20 2026. Leads multi-customer Contact Center/AI deployment implementation. 5+ years PM/Scrum Master/Technical Consultant; Contact Center industry and VoIP/CCaaS platform experience highly desired; bilingual English/French required. Salary $81,200-$150,800 CAD.</t>
        </is>
      </c>
      <c r="Q90" s="48" t="n"/>
      <c r="R90" s="48" t="inlineStr">
        <is>
          <t>Industry domain gap (contact center/telephony) + language requirement (French)</t>
        </is>
      </c>
      <c r="S90" s="51" t="inlineStr">
        <is>
          <t>5+ yrs PM/Scrum Master/Tech Consultant. Contact Center/VoIP/CCaaS platform experience (Genesys/Avaya/Cisco/NICE). Bilingual English/French. PMP/PRINCE2/Agile cert preferred.</t>
        </is>
      </c>
      <c r="T90" s="52">
        <f>IF(G90="","",G90)</f>
        <v/>
      </c>
      <c r="U90" s="52">
        <f>IF(C90="","",IF(OR(ISNUMBER(SEARCH("Director",C90)),ISNUMBER(SEARCH("Lead",C90)),ISNUMBER(SEARCH("Senior",C90)),ISNUMBER(SEARCH("Sr.",C90))),90,IF(OR(ISNUMBER(SEARCH("Manager",C90)),ISNUMBER(SEARCH("Program",C90)),ISNUMBER(SEARCH("Portfolio",C90))),80,60)))</f>
        <v/>
      </c>
      <c r="V90" s="52">
        <f>IF(C90="","",IF(OR(ISNUMBER(SEARCH("AI",C90)),ISNUMBER(SEARCH("Data",C90)),ISNUMBER(SEARCH("Technology",C90)),ISNUMBER(SEARCH("Technical",C90)),ISNUMBER(SEARCH("Engineering",C90)),ISNUMBER(SEARCH("Platform",C90)),ISNUMBER(SEARCH("Portfolio",C90))),85,65))</f>
        <v/>
      </c>
      <c r="W90" s="52">
        <f>IF(C90="","",MIN(100,50+IF(S90&lt;&gt;"",25,0)+IF(R90&lt;&gt;"",15,0)+IF(P90&lt;&gt;"",10,0)))</f>
        <v/>
      </c>
      <c r="X90" s="52">
        <f>IF(E90="","",IF(OR(E90="Canada",E90="CA"),100,IF(OR(E90="United States",E90="USA",E90="US"),IF(J90="Yes",45,75),65)))</f>
        <v/>
      </c>
      <c r="Y90" s="52">
        <f>IF(C90="","",IF(OR(ISNUMBER(SEARCH("Program",C90)),ISNUMBER(SEARCH("Portfolio",C90)),ISNUMBER(SEARCH("Operations",C90)),ISNUMBER(SEARCH("Transformation",C90))),85,IF(ISNUMBER(SEARCH("Product Manager",C90)),55,70)))</f>
        <v/>
      </c>
      <c r="Z90" s="52">
        <f>IF(C90="","",MIN(100,IF(I90&lt;&gt;"",60,10)+IF(AA90&gt;0,MIN(40,AA90*20),0)))</f>
        <v/>
      </c>
      <c r="AA90" s="52">
        <f>IF(T90="","",ROUND(T90*25%+U90*15%+V90*10%+W90*15%+X90*15%+Y90*10%+Z90*10%,0))</f>
        <v/>
      </c>
      <c r="AB90" s="52">
        <f>IF(AA90="","",IF(X90&lt;50,"Selective / Barrier",IF(AA90&gt;=80,"Tier 1 - Pursue",IF(AA90&gt;=70,"Tier 2 - Pursue",IF(AA90&gt;=60,"Tier 3 - Selective","Do Not Pursue")))))</f>
        <v/>
      </c>
      <c r="AC90" s="52">
        <f>IF(C90="","",IF(I90&lt;&gt;"","Named Contact",IF(AA90&gt;0,"Outreach Logged","Cold")))</f>
        <v/>
      </c>
      <c r="AD90" s="52">
        <f>IF(B90="","",COUNTIF('Outreach Log'!$C:$C,B90))</f>
        <v/>
      </c>
      <c r="AE90" s="52">
        <f>IF(A90="","",IF(OR(K90="Rejected",K90="Closed"),IF(L90&lt;&gt;"",L90-A90,TODAY()-A90),TODAY()-A90))</f>
        <v/>
      </c>
      <c r="AF90" s="52">
        <f>IF(C90="","",IF(AND(AA90&gt;=70,AC90="Cold"),"High-fit but cold",IF(AND(AA90&lt;60,K90="Applied"),"Low-fit application",IF(AND(AA90&gt;=70,OR(AC90="Named Contact",AC90="Outreach Logged")),"Targeted pursuit","Review"))))</f>
        <v/>
      </c>
    </row>
    <row r="91" ht="15" customHeight="1" s="44">
      <c r="A91" s="53" t="n">
        <v>46083</v>
      </c>
      <c r="B91" s="48" t="inlineStr">
        <is>
          <t>McKesson</t>
        </is>
      </c>
      <c r="C91" s="48" t="inlineStr">
        <is>
          <t>Lead Technical Project Manager (JR0140514)</t>
        </is>
      </c>
      <c r="D91" s="48" t="inlineStr">
        <is>
          <t>Lead</t>
        </is>
      </c>
      <c r="E91" s="48" t="inlineStr">
        <is>
          <t>Canada</t>
        </is>
      </c>
      <c r="F91" s="48" t="inlineStr">
        <is>
          <t>Mississauga, ON</t>
        </is>
      </c>
      <c r="G91" s="48" t="n">
        <v>62</v>
      </c>
      <c r="H91" s="48" t="inlineStr">
        <is>
          <t>Cold Portal</t>
        </is>
      </c>
      <c r="I91" s="48" t="n"/>
      <c r="J91" s="48" t="inlineStr">
        <is>
          <t>No</t>
        </is>
      </c>
      <c r="K91" s="49" t="inlineStr">
        <is>
          <t>Rejected</t>
        </is>
      </c>
      <c r="L91" s="50" t="n">
        <v>46113</v>
      </c>
      <c r="M91" s="48">
        <f>IF(OR(L19="",A19=""),"",L19-A19)</f>
        <v/>
      </c>
      <c r="N91" s="48" t="n"/>
      <c r="O91" s="48" t="n"/>
      <c r="P91" s="51" t="inlineStr">
        <is>
          <t>Applied 2026-03-02 (confirmed via Workday confirmation email). REJECTED 2026-04-01 (confirmed via Workday rejection email): "After careful consideration, we regret to inform you that you have not been selected for this position." Distinct from rows 136 and 242. Est. fit score: 62 — Technical Project Manager (not Program Manager) is a step below her core delivery-governance lane.</t>
        </is>
      </c>
      <c r="Q91" s="48" t="n"/>
      <c r="R91" s="48" t="n"/>
      <c r="S91" s="51" t="n"/>
      <c r="T91" s="52">
        <f>IF(G91="","",G91)</f>
        <v/>
      </c>
      <c r="U91" s="52">
        <f>IF(C91="","",IF(OR(ISNUMBER(SEARCH("Director",C91)),ISNUMBER(SEARCH("Lead",C91)),ISNUMBER(SEARCH("Senior",C91)),ISNUMBER(SEARCH("Sr.",C91))),90,IF(OR(ISNUMBER(SEARCH("Manager",C91)),ISNUMBER(SEARCH("Program",C91)),ISNUMBER(SEARCH("Portfolio",C91))),80,60)))</f>
        <v/>
      </c>
      <c r="V91" s="52">
        <f>IF(C91="","",IF(OR(ISNUMBER(SEARCH("AI",C91)),ISNUMBER(SEARCH("Data",C91)),ISNUMBER(SEARCH("Technology",C91)),ISNUMBER(SEARCH("Technical",C91)),ISNUMBER(SEARCH("Engineering",C91)),ISNUMBER(SEARCH("Platform",C91)),ISNUMBER(SEARCH("Portfolio",C91))),85,65))</f>
        <v/>
      </c>
      <c r="W91" s="52">
        <f>IF(C91="","",MIN(100,50+IF(S91&lt;&gt;"",25,0)+IF(R91&lt;&gt;"",15,0)+IF(P91&lt;&gt;"",10,0)))</f>
        <v/>
      </c>
      <c r="X91" s="52">
        <f>IF(E91="","",IF(OR(E91="Canada",E91="CA"),100,IF(OR(E91="United States",E91="USA",E91="US"),IF(J91="Yes",45,75),65)))</f>
        <v/>
      </c>
      <c r="Y91" s="52">
        <f>IF(C91="","",IF(OR(ISNUMBER(SEARCH("Program",C91)),ISNUMBER(SEARCH("Portfolio",C91)),ISNUMBER(SEARCH("Operations",C91)),ISNUMBER(SEARCH("Transformation",C91))),85,IF(ISNUMBER(SEARCH("Product Manager",C91)),55,70)))</f>
        <v/>
      </c>
      <c r="Z91" s="52">
        <f>IF(C91="","",MIN(100,IF(I91&lt;&gt;"",60,10)+IF(AA91&gt;0,MIN(40,AA91*20),0)))</f>
        <v/>
      </c>
      <c r="AA91" s="52">
        <f>IF(T91="","",ROUND(T91*25%+U91*15%+V91*10%+W91*15%+X91*15%+Y91*10%+Z91*10%,0))</f>
        <v/>
      </c>
      <c r="AB91" s="52">
        <f>IF(AA91="","",IF(X91&lt;50,"Selective / Barrier",IF(AA91&gt;=80,"Tier 1 - Pursue",IF(AA91&gt;=70,"Tier 2 - Pursue",IF(AA91&gt;=60,"Tier 3 - Selective","Do Not Pursue")))))</f>
        <v/>
      </c>
      <c r="AC91" s="52">
        <f>IF(C91="","",IF(I91&lt;&gt;"","Named Contact",IF(AA91&gt;0,"Outreach Logged","Cold")))</f>
        <v/>
      </c>
      <c r="AD91" s="52">
        <f>IF(B91="","",COUNTIF('Outreach Log'!$C:$C,B91))</f>
        <v/>
      </c>
      <c r="AE91" s="52">
        <f>IF(A91="","",IF(OR(K91="Rejected",K91="Closed"),IF(L91&lt;&gt;"",L91-A91,TODAY()-A91),TODAY()-A91))</f>
        <v/>
      </c>
      <c r="AF91" s="52">
        <f>IF(C91="","",IF(AND(AA91&gt;=70,AC91="Cold"),"High-fit but cold",IF(AND(AA91&lt;60,K91="Applied"),"Low-fit application",IF(AND(AA91&gt;=70,OR(AC91="Named Contact",AC91="Outreach Logged")),"Targeted pursuit","Review"))))</f>
        <v/>
      </c>
    </row>
    <row r="92" ht="15" customHeight="1" s="44">
      <c r="A92" s="53" t="n">
        <v>46095</v>
      </c>
      <c r="B92" s="48" t="inlineStr">
        <is>
          <t>Manulife</t>
        </is>
      </c>
      <c r="C92" s="48" t="inlineStr">
        <is>
          <t>Global AI Platforms, Program Manager</t>
        </is>
      </c>
      <c r="D92" s="48" t="inlineStr">
        <is>
          <t>Manager</t>
        </is>
      </c>
      <c r="E92" s="48" t="inlineStr">
        <is>
          <t>Canada</t>
        </is>
      </c>
      <c r="F92" s="48" t="inlineStr">
        <is>
          <t>Toronto</t>
        </is>
      </c>
      <c r="G92" s="48" t="n">
        <v>80</v>
      </c>
      <c r="H92" s="48" t="inlineStr">
        <is>
          <t>Cold Portal</t>
        </is>
      </c>
      <c r="I92" s="48" t="n"/>
      <c r="J92" s="48" t="inlineStr">
        <is>
          <t>No</t>
        </is>
      </c>
      <c r="K92" s="55" t="inlineStr">
        <is>
          <t>Applied</t>
        </is>
      </c>
      <c r="L92" s="48" t="n"/>
      <c r="M92" s="48">
        <f>IF(OR(L20="",A20=""),"",L20-A20)</f>
        <v/>
      </c>
      <c r="N92" s="48" t="n"/>
      <c r="O92" s="48" t="n"/>
      <c r="P92" s="51" t="inlineStr">
        <is>
          <t>Applied 2026-03-14 (Workday confirmation). No rejection or further response found on file. Retroactively logged via full Manulife Gmail history review 2026-09-16 — was missing from tracker. Est. fit score: 80 — Program Manager for Global AI Platforms closely matches her AI delivery governance work.</t>
        </is>
      </c>
      <c r="Q92" s="48" t="n"/>
      <c r="R92" s="48" t="n"/>
      <c r="S92" s="51" t="n"/>
      <c r="T92" s="52">
        <f>IF(G92="","",G92)</f>
        <v/>
      </c>
      <c r="U92" s="52">
        <f>IF(C92="","",IF(OR(ISNUMBER(SEARCH("Director",C92)),ISNUMBER(SEARCH("Lead",C92)),ISNUMBER(SEARCH("Senior",C92)),ISNUMBER(SEARCH("Sr.",C92))),90,IF(OR(ISNUMBER(SEARCH("Manager",C92)),ISNUMBER(SEARCH("Program",C92)),ISNUMBER(SEARCH("Portfolio",C92))),80,60)))</f>
        <v/>
      </c>
      <c r="V92" s="52">
        <f>IF(C92="","",IF(OR(ISNUMBER(SEARCH("AI",C92)),ISNUMBER(SEARCH("Data",C92)),ISNUMBER(SEARCH("Technology",C92)),ISNUMBER(SEARCH("Technical",C92)),ISNUMBER(SEARCH("Engineering",C92)),ISNUMBER(SEARCH("Platform",C92)),ISNUMBER(SEARCH("Portfolio",C92))),85,65))</f>
        <v/>
      </c>
      <c r="W92" s="52">
        <f>IF(C92="","",MIN(100,50+IF(S92&lt;&gt;"",25,0)+IF(R92&lt;&gt;"",15,0)+IF(P92&lt;&gt;"",10,0)))</f>
        <v/>
      </c>
      <c r="X92" s="52">
        <f>IF(E92="","",IF(OR(E92="Canada",E92="CA"),100,IF(OR(E92="United States",E92="USA",E92="US"),IF(J92="Yes",45,75),65)))</f>
        <v/>
      </c>
      <c r="Y92" s="52">
        <f>IF(C92="","",IF(OR(ISNUMBER(SEARCH("Program",C92)),ISNUMBER(SEARCH("Portfolio",C92)),ISNUMBER(SEARCH("Operations",C92)),ISNUMBER(SEARCH("Transformation",C92))),85,IF(ISNUMBER(SEARCH("Product Manager",C92)),55,70)))</f>
        <v/>
      </c>
      <c r="Z92" s="52">
        <f>IF(C92="","",MIN(100,IF(I92&lt;&gt;"",60,10)+IF(AA92&gt;0,MIN(40,AA92*20),0)))</f>
        <v/>
      </c>
      <c r="AA92" s="52">
        <f>IF(T92="","",ROUND(T92*25%+U92*15%+V92*10%+W92*15%+X92*15%+Y92*10%+Z92*10%,0))</f>
        <v/>
      </c>
      <c r="AB92" s="52">
        <f>IF(AA92="","",IF(X92&lt;50,"Selective / Barrier",IF(AA92&gt;=80,"Tier 1 - Pursue",IF(AA92&gt;=70,"Tier 2 - Pursue",IF(AA92&gt;=60,"Tier 3 - Selective","Do Not Pursue")))))</f>
        <v/>
      </c>
      <c r="AC92" s="52">
        <f>IF(C92="","",IF(I92&lt;&gt;"","Named Contact",IF(AA92&gt;0,"Outreach Logged","Cold")))</f>
        <v/>
      </c>
      <c r="AD92" s="52">
        <f>IF(B92="","",COUNTIF('Outreach Log'!$C:$C,B92))</f>
        <v/>
      </c>
      <c r="AE92" s="52">
        <f>IF(A92="","",IF(OR(K92="Rejected",K92="Closed"),IF(L92&lt;&gt;"",L92-A92,TODAY()-A92),TODAY()-A92))</f>
        <v/>
      </c>
      <c r="AF92" s="52">
        <f>IF(C92="","",IF(AND(AA92&gt;=70,AC92="Cold"),"High-fit but cold",IF(AND(AA92&lt;60,K92="Applied"),"Low-fit application",IF(AND(AA92&gt;=70,OR(AC92="Named Contact",AC92="Outreach Logged")),"Targeted pursuit","Review"))))</f>
        <v/>
      </c>
    </row>
    <row r="93" ht="15" customHeight="1" s="44">
      <c r="A93" s="53" t="n">
        <v>46097</v>
      </c>
      <c r="B93" s="48" t="inlineStr">
        <is>
          <t>Appian</t>
        </is>
      </c>
      <c r="C93" s="48" t="inlineStr">
        <is>
          <t>Technical Delivery Manager</t>
        </is>
      </c>
      <c r="D93" s="48" t="inlineStr">
        <is>
          <t>Manager</t>
        </is>
      </c>
      <c r="E93" s="48" t="inlineStr">
        <is>
          <t>US</t>
        </is>
      </c>
      <c r="F93" s="48" t="inlineStr">
        <is>
          <t>US (exact city/remote status unknown — verify)</t>
        </is>
      </c>
      <c r="G93" s="48" t="n">
        <v>58</v>
      </c>
      <c r="H93" s="48" t="inlineStr">
        <is>
          <t>Cold Portal</t>
        </is>
      </c>
      <c r="I93" s="48" t="n"/>
      <c r="J93" s="48" t="inlineStr">
        <is>
          <t>Yes</t>
        </is>
      </c>
      <c r="K93" s="49" t="inlineStr">
        <is>
          <t>Rejected</t>
        </is>
      </c>
      <c r="L93" s="50" t="n">
        <v>46255</v>
      </c>
      <c r="M93" s="48">
        <f>IF(OR(L21="",A21=""),"",L21-A21)</f>
        <v/>
      </c>
      <c r="N93" s="48" t="inlineStr">
        <is>
          <t>Confirm original application date and details with Elena to complete this row (location, sponsorship, fit score)</t>
        </is>
      </c>
      <c r="O93" s="48" t="n"/>
      <c r="P93" s="51" t="inlineStr">
        <is>
          <t>REJECTED 2026-08-21 9:23am ET via Greenhouse (no-reply@us.greenhouse-mail.io): "found a few that are a closer match to our target profile," kept on file for future roles. US-based role (confirmed by Elena), sponsorship likely required. NOTE: this application was not previously reviewed or logged — original submission date, exact location, and fit score remain unknown. Appian is a low-code automation/BPM software company; Technical Delivery Manager is typically a client-facing delivery role for Appian platform implementations, similar in shape to the RAVL and Pivotree roles (delivery leadership, client-facing, platform implementation) reviewed elsewhere in this tracker. | Est. fit score: 58% — client-facing technical delivery role similar in shape to Pivotree/RAVL delivery roles, but Manager-level (below her Director/Sr TPM level) at a low-code/BPM company with limited AI focus; US role, sponsorship likely required | Date Applied confirmed 2026-03-16 via Gmail confirmation screenshot (Greenhouse, 8:38 PM).</t>
        </is>
      </c>
      <c r="Q93" s="48" t="n"/>
      <c r="R93" s="48" t="n"/>
      <c r="S93" s="51" t="n"/>
      <c r="T93" s="52">
        <f>IF(G93="","",G93)</f>
        <v/>
      </c>
      <c r="U93" s="52">
        <f>IF(C93="","",IF(OR(ISNUMBER(SEARCH("Director",C93)),ISNUMBER(SEARCH("Lead",C93)),ISNUMBER(SEARCH("Senior",C93)),ISNUMBER(SEARCH("Sr.",C93))),90,IF(OR(ISNUMBER(SEARCH("Manager",C93)),ISNUMBER(SEARCH("Program",C93)),ISNUMBER(SEARCH("Portfolio",C93))),80,60)))</f>
        <v/>
      </c>
      <c r="V93" s="52">
        <f>IF(C93="","",IF(OR(ISNUMBER(SEARCH("AI",C93)),ISNUMBER(SEARCH("Data",C93)),ISNUMBER(SEARCH("Technology",C93)),ISNUMBER(SEARCH("Technical",C93)),ISNUMBER(SEARCH("Engineering",C93)),ISNUMBER(SEARCH("Platform",C93)),ISNUMBER(SEARCH("Portfolio",C93))),85,65))</f>
        <v/>
      </c>
      <c r="W93" s="52">
        <f>IF(C93="","",MIN(100,50+IF(S93&lt;&gt;"",25,0)+IF(R93&lt;&gt;"",15,0)+IF(P93&lt;&gt;"",10,0)))</f>
        <v/>
      </c>
      <c r="X93" s="52">
        <f>IF(E93="","",IF(OR(E93="Canada",E93="CA"),100,IF(OR(E93="United States",E93="USA",E93="US"),IF(J93="Yes",45,75),65)))</f>
        <v/>
      </c>
      <c r="Y93" s="52">
        <f>IF(C93="","",IF(OR(ISNUMBER(SEARCH("Program",C93)),ISNUMBER(SEARCH("Portfolio",C93)),ISNUMBER(SEARCH("Operations",C93)),ISNUMBER(SEARCH("Transformation",C93))),85,IF(ISNUMBER(SEARCH("Product Manager",C93)),55,70)))</f>
        <v/>
      </c>
      <c r="Z93" s="52">
        <f>IF(C93="","",MIN(100,IF(I93&lt;&gt;"",60,10)+IF(AA93&gt;0,MIN(40,AA93*20),0)))</f>
        <v/>
      </c>
      <c r="AA93" s="52">
        <f>IF(T93="","",ROUND(T93*25%+U93*15%+V93*10%+W93*15%+X93*15%+Y93*10%+Z93*10%,0))</f>
        <v/>
      </c>
      <c r="AB93" s="52">
        <f>IF(AA93="","",IF(X93&lt;50,"Selective / Barrier",IF(AA93&gt;=80,"Tier 1 - Pursue",IF(AA93&gt;=70,"Tier 2 - Pursue",IF(AA93&gt;=60,"Tier 3 - Selective","Do Not Pursue")))))</f>
        <v/>
      </c>
      <c r="AC93" s="52">
        <f>IF(C93="","",IF(I93&lt;&gt;"","Named Contact",IF(AA93&gt;0,"Outreach Logged","Cold")))</f>
        <v/>
      </c>
      <c r="AD93" s="52">
        <f>IF(B93="","",COUNTIF('Outreach Log'!$C:$C,B93))</f>
        <v/>
      </c>
      <c r="AE93" s="52">
        <f>IF(A93="","",IF(OR(K93="Rejected",K93="Closed"),IF(L93&lt;&gt;"",L93-A93,TODAY()-A93),TODAY()-A93))</f>
        <v/>
      </c>
      <c r="AF93" s="52">
        <f>IF(C93="","",IF(AND(AA93&gt;=70,AC93="Cold"),"High-fit but cold",IF(AND(AA93&lt;60,K93="Applied"),"Low-fit application",IF(AND(AA93&gt;=70,OR(AC93="Named Contact",AC93="Outreach Logged")),"Targeted pursuit","Review"))))</f>
        <v/>
      </c>
    </row>
    <row r="94" ht="15" customHeight="1" s="44">
      <c r="A94" s="53" t="n">
        <v>46097</v>
      </c>
      <c r="B94" s="48" t="inlineStr">
        <is>
          <t>Appian</t>
        </is>
      </c>
      <c r="C94" s="48" t="inlineStr">
        <is>
          <t>Technical Customer Success Manager</t>
        </is>
      </c>
      <c r="D94" s="48" t="inlineStr">
        <is>
          <t>Manager</t>
        </is>
      </c>
      <c r="E94" s="48" t="inlineStr">
        <is>
          <t>US</t>
        </is>
      </c>
      <c r="F94" s="48" t="inlineStr">
        <is>
          <t>US (exact city/remote status unknown — verify)</t>
        </is>
      </c>
      <c r="G94" s="48" t="n"/>
      <c r="H94" s="48" t="inlineStr">
        <is>
          <t>Cold Portal</t>
        </is>
      </c>
      <c r="I94" s="48" t="n"/>
      <c r="J94" s="48" t="inlineStr">
        <is>
          <t>Yes</t>
        </is>
      </c>
      <c r="K94" s="49" t="inlineStr">
        <is>
          <t>Rejected</t>
        </is>
      </c>
      <c r="L94" s="48" t="n"/>
      <c r="M94" s="48">
        <f>IF(OR(L22="",A22=""),"",L22-A22)</f>
        <v/>
      </c>
      <c r="N94" s="48" t="n"/>
      <c r="O94" s="48" t="n"/>
      <c r="P94" s="51" t="inlineStr">
        <is>
          <t>Applied 2026-03-16 via Greenhouse (confirmation email 8:55 PM). Retroactively logged — was missing from tracker; found via Gmail screenshot review 2026-09-12. No response on file yet. | Status updated to Rejected per Greenhouse portal review / Gmail check, confirmed 2026-09-20 (was: Applied).</t>
        </is>
      </c>
      <c r="Q94" s="48" t="n"/>
      <c r="R94" s="48" t="n"/>
      <c r="S94" s="51" t="n"/>
      <c r="T94" s="52">
        <f>IF(G94="","",G94)</f>
        <v/>
      </c>
      <c r="U94" s="52">
        <f>IF(C94="","",IF(OR(ISNUMBER(SEARCH("Director",C94)),ISNUMBER(SEARCH("Lead",C94)),ISNUMBER(SEARCH("Senior",C94)),ISNUMBER(SEARCH("Sr.",C94))),90,IF(OR(ISNUMBER(SEARCH("Manager",C94)),ISNUMBER(SEARCH("Program",C94)),ISNUMBER(SEARCH("Portfolio",C94))),80,60)))</f>
        <v/>
      </c>
      <c r="V94" s="52">
        <f>IF(C94="","",IF(OR(ISNUMBER(SEARCH("AI",C94)),ISNUMBER(SEARCH("Data",C94)),ISNUMBER(SEARCH("Technology",C94)),ISNUMBER(SEARCH("Technical",C94)),ISNUMBER(SEARCH("Engineering",C94)),ISNUMBER(SEARCH("Platform",C94)),ISNUMBER(SEARCH("Portfolio",C94))),85,65))</f>
        <v/>
      </c>
      <c r="W94" s="52">
        <f>IF(C94="","",MIN(100,50+IF(S94&lt;&gt;"",25,0)+IF(R94&lt;&gt;"",15,0)+IF(P94&lt;&gt;"",10,0)))</f>
        <v/>
      </c>
      <c r="X94" s="52">
        <f>IF(E94="","",IF(OR(E94="Canada",E94="CA"),100,IF(OR(E94="United States",E94="USA",E94="US"),IF(J94="Yes",45,75),65)))</f>
        <v/>
      </c>
      <c r="Y94" s="52">
        <f>IF(C94="","",IF(OR(ISNUMBER(SEARCH("Program",C94)),ISNUMBER(SEARCH("Portfolio",C94)),ISNUMBER(SEARCH("Operations",C94)),ISNUMBER(SEARCH("Transformation",C94))),85,IF(ISNUMBER(SEARCH("Product Manager",C94)),55,70)))</f>
        <v/>
      </c>
      <c r="Z94" s="52">
        <f>IF(C94="","",MIN(100,IF(I94&lt;&gt;"",60,10)+IF(AA94&gt;0,MIN(40,AA94*20),0)))</f>
        <v/>
      </c>
      <c r="AA94" s="52">
        <f>IF(T94="","",ROUND(T94*25%+U94*15%+V94*10%+W94*15%+X94*15%+Y94*10%+Z94*10%,0))</f>
        <v/>
      </c>
      <c r="AB94" s="52">
        <f>IF(AA94="","",IF(X94&lt;50,"Selective / Barrier",IF(AA94&gt;=80,"Tier 1 - Pursue",IF(AA94&gt;=70,"Tier 2 - Pursue",IF(AA94&gt;=60,"Tier 3 - Selective","Do Not Pursue")))))</f>
        <v/>
      </c>
      <c r="AC94" s="52">
        <f>IF(C94="","",IF(I94&lt;&gt;"","Named Contact",IF(AA94&gt;0,"Outreach Logged","Cold")))</f>
        <v/>
      </c>
      <c r="AD94" s="52">
        <f>IF(B94="","",COUNTIF('Outreach Log'!$C:$C,B94))</f>
        <v/>
      </c>
      <c r="AE94" s="52">
        <f>IF(A94="","",IF(OR(K94="Rejected",K94="Closed"),IF(L94&lt;&gt;"",L94-A94,TODAY()-A94),TODAY()-A94))</f>
        <v/>
      </c>
      <c r="AF94" s="52">
        <f>IF(C94="","",IF(AND(AA94&gt;=70,AC94="Cold"),"High-fit but cold",IF(AND(AA94&lt;60,K94="Applied"),"Low-fit application",IF(AND(AA94&gt;=70,OR(AC94="Named Contact",AC94="Outreach Logged")),"Targeted pursuit","Review"))))</f>
        <v/>
      </c>
    </row>
    <row r="95" ht="15" customHeight="1" s="44">
      <c r="A95" s="53" t="n">
        <v>46097</v>
      </c>
      <c r="B95" s="48" t="inlineStr">
        <is>
          <t>RBC</t>
        </is>
      </c>
      <c r="C95" s="48" t="inlineStr">
        <is>
          <t>Lead Scrum Master/Technical Delivery Lead (Req R-0000163216)</t>
        </is>
      </c>
      <c r="D95" s="48" t="inlineStr">
        <is>
          <t>Lead</t>
        </is>
      </c>
      <c r="E95" s="48" t="inlineStr">
        <is>
          <t>Canada</t>
        </is>
      </c>
      <c r="F95" s="48" t="inlineStr">
        <is>
          <t>Toronto</t>
        </is>
      </c>
      <c r="G95" s="48" t="n">
        <v>65</v>
      </c>
      <c r="H95" s="48" t="inlineStr">
        <is>
          <t>Cold Portal</t>
        </is>
      </c>
      <c r="I95" s="48" t="n"/>
      <c r="J95" s="48" t="inlineStr">
        <is>
          <t>No</t>
        </is>
      </c>
      <c r="K95" s="56" t="inlineStr">
        <is>
          <t>Ghosted (30d+)</t>
        </is>
      </c>
      <c r="L95" s="48" t="n"/>
      <c r="M95" s="48">
        <f>IF(OR(L23="",A23=""),"",L23-A23)</f>
        <v/>
      </c>
      <c r="N95" s="48" t="n"/>
      <c r="O95" s="48" t="n"/>
      <c r="P95" s="51" t="inlineStr">
        <is>
          <t>Applied 2026-03-16 (Workday confirmation). First interview held 2026-03-30 (30-min virtual, camera-on) with Ryan Aird. No further response found after the interview — marked Ghosted per 30-day rule. Retroactively logged via Gmail review 2026-09-18 — was missing from tracker entirely; distinct from her other 7 RBC applications. Est. fit score: 65 — Scrum Master/Technical Delivery Lead is adjacent to her core TPM lane but more IC-execution focused than her recent Director/Sr Manager targeting.</t>
        </is>
      </c>
      <c r="Q95" s="50" t="n">
        <v>46111</v>
      </c>
      <c r="R95" s="48" t="n"/>
      <c r="S95" s="51" t="n"/>
      <c r="T95" s="52">
        <f>IF(G95="","",G95)</f>
        <v/>
      </c>
      <c r="U95" s="52">
        <f>IF(C95="","",IF(OR(ISNUMBER(SEARCH("Director",C95)),ISNUMBER(SEARCH("Lead",C95)),ISNUMBER(SEARCH("Senior",C95)),ISNUMBER(SEARCH("Sr.",C95))),90,IF(OR(ISNUMBER(SEARCH("Manager",C95)),ISNUMBER(SEARCH("Program",C95)),ISNUMBER(SEARCH("Portfolio",C95))),80,60)))</f>
        <v/>
      </c>
      <c r="V95" s="52">
        <f>IF(C95="","",IF(OR(ISNUMBER(SEARCH("AI",C95)),ISNUMBER(SEARCH("Data",C95)),ISNUMBER(SEARCH("Technology",C95)),ISNUMBER(SEARCH("Technical",C95)),ISNUMBER(SEARCH("Engineering",C95)),ISNUMBER(SEARCH("Platform",C95)),ISNUMBER(SEARCH("Portfolio",C95))),85,65))</f>
        <v/>
      </c>
      <c r="W95" s="52">
        <f>IF(C95="","",MIN(100,50+IF(S95&lt;&gt;"",25,0)+IF(R95&lt;&gt;"",15,0)+IF(P95&lt;&gt;"",10,0)))</f>
        <v/>
      </c>
      <c r="X95" s="52">
        <f>IF(E95="","",IF(OR(E95="Canada",E95="CA"),100,IF(OR(E95="United States",E95="USA",E95="US"),IF(J95="Yes",45,75),65)))</f>
        <v/>
      </c>
      <c r="Y95" s="52">
        <f>IF(C95="","",IF(OR(ISNUMBER(SEARCH("Program",C95)),ISNUMBER(SEARCH("Portfolio",C95)),ISNUMBER(SEARCH("Operations",C95)),ISNUMBER(SEARCH("Transformation",C95))),85,IF(ISNUMBER(SEARCH("Product Manager",C95)),55,70)))</f>
        <v/>
      </c>
      <c r="Z95" s="52">
        <f>IF(C95="","",MIN(100,IF(I95&lt;&gt;"",60,10)+IF(AA95&gt;0,MIN(40,AA95*20),0)))</f>
        <v/>
      </c>
      <c r="AA95" s="52">
        <f>IF(T95="","",ROUND(T95*25%+U95*15%+V95*10%+W95*15%+X95*15%+Y95*10%+Z95*10%,0))</f>
        <v/>
      </c>
      <c r="AB95" s="52">
        <f>IF(AA95="","",IF(X95&lt;50,"Selective / Barrier",IF(AA95&gt;=80,"Tier 1 - Pursue",IF(AA95&gt;=70,"Tier 2 - Pursue",IF(AA95&gt;=60,"Tier 3 - Selective","Do Not Pursue")))))</f>
        <v/>
      </c>
      <c r="AC95" s="52">
        <f>IF(C95="","",IF(I95&lt;&gt;"","Named Contact",IF(AA95&gt;0,"Outreach Logged","Cold")))</f>
        <v/>
      </c>
      <c r="AD95" s="52">
        <f>IF(B95="","",COUNTIF('Outreach Log'!$C:$C,B95))</f>
        <v/>
      </c>
      <c r="AE95" s="52">
        <f>IF(A95="","",IF(OR(K95="Rejected",K95="Closed"),IF(L95&lt;&gt;"",L95-A95,TODAY()-A95),TODAY()-A95))</f>
        <v/>
      </c>
      <c r="AF95" s="52">
        <f>IF(C95="","",IF(AND(AA95&gt;=70,AC95="Cold"),"High-fit but cold",IF(AND(AA95&lt;60,K95="Applied"),"Low-fit application",IF(AND(AA95&gt;=70,OR(AC95="Named Contact",AC95="Outreach Logged")),"Targeted pursuit","Review"))))</f>
        <v/>
      </c>
    </row>
    <row r="96" ht="15" customHeight="1" s="44">
      <c r="A96" s="53" t="n">
        <v>46101</v>
      </c>
      <c r="B96" s="48" t="inlineStr">
        <is>
          <t>AMD</t>
        </is>
      </c>
      <c r="C96" s="48" t="inlineStr">
        <is>
          <t>Program Manager (req 2026-79788)</t>
        </is>
      </c>
      <c r="D96" s="48" t="inlineStr">
        <is>
          <t>Manager</t>
        </is>
      </c>
      <c r="E96" s="48" t="inlineStr">
        <is>
          <t>US</t>
        </is>
      </c>
      <c r="F96" s="48" t="inlineStr">
        <is>
          <t>Unconfirmed</t>
        </is>
      </c>
      <c r="G96" s="48" t="n"/>
      <c r="H96" s="48" t="inlineStr">
        <is>
          <t>Cold Portal (iCIMS)</t>
        </is>
      </c>
      <c r="I96" s="48" t="n"/>
      <c r="J96" s="48" t="inlineStr">
        <is>
          <t>Yes</t>
        </is>
      </c>
      <c r="K96" s="49" t="inlineStr">
        <is>
          <t>Rejected</t>
        </is>
      </c>
      <c r="L96" s="50" t="n">
        <v>46141</v>
      </c>
      <c r="M96" s="48">
        <f>IF(OR(L24="",A24=""),"",L24-A24)</f>
        <v/>
      </c>
      <c r="N96" s="48" t="n"/>
      <c r="O96" s="48" t="n"/>
      <c r="P96" s="51" t="inlineStr">
        <is>
          <t>REJECTED, confirmed via AMD candidate portal (req 2026-79788, "Program Manager") 2026-09-13: "No longer under consideration for the role", last updated 4/29/2026. Distinct from row 26 (Director, Program Management (AI), req 2026-77733). Retroactively logged via AMD portal screenshot review. | Date Applied confirmed 2026-03-20 via AMD confirmation email matching this exact title ("Program Manager").</t>
        </is>
      </c>
      <c r="Q96" s="48" t="n"/>
      <c r="R96" s="48" t="n"/>
      <c r="S96" s="51" t="n"/>
      <c r="T96" s="52">
        <f>IF(G96="","",G96)</f>
        <v/>
      </c>
      <c r="U96" s="52">
        <f>IF(C96="","",IF(OR(ISNUMBER(SEARCH("Director",C96)),ISNUMBER(SEARCH("Lead",C96)),ISNUMBER(SEARCH("Senior",C96)),ISNUMBER(SEARCH("Sr.",C96))),90,IF(OR(ISNUMBER(SEARCH("Manager",C96)),ISNUMBER(SEARCH("Program",C96)),ISNUMBER(SEARCH("Portfolio",C96))),80,60)))</f>
        <v/>
      </c>
      <c r="V96" s="52">
        <f>IF(C96="","",IF(OR(ISNUMBER(SEARCH("AI",C96)),ISNUMBER(SEARCH("Data",C96)),ISNUMBER(SEARCH("Technology",C96)),ISNUMBER(SEARCH("Technical",C96)),ISNUMBER(SEARCH("Engineering",C96)),ISNUMBER(SEARCH("Platform",C96)),ISNUMBER(SEARCH("Portfolio",C96))),85,65))</f>
        <v/>
      </c>
      <c r="W96" s="52">
        <f>IF(C96="","",MIN(100,50+IF(S96&lt;&gt;"",25,0)+IF(R96&lt;&gt;"",15,0)+IF(P96&lt;&gt;"",10,0)))</f>
        <v/>
      </c>
      <c r="X96" s="52">
        <f>IF(E96="","",IF(OR(E96="Canada",E96="CA"),100,IF(OR(E96="United States",E96="USA",E96="US"),IF(J96="Yes",45,75),65)))</f>
        <v/>
      </c>
      <c r="Y96" s="52">
        <f>IF(C96="","",IF(OR(ISNUMBER(SEARCH("Program",C96)),ISNUMBER(SEARCH("Portfolio",C96)),ISNUMBER(SEARCH("Operations",C96)),ISNUMBER(SEARCH("Transformation",C96))),85,IF(ISNUMBER(SEARCH("Product Manager",C96)),55,70)))</f>
        <v/>
      </c>
      <c r="Z96" s="52">
        <f>IF(C96="","",MIN(100,IF(I96&lt;&gt;"",60,10)+IF(AA96&gt;0,MIN(40,AA96*20),0)))</f>
        <v/>
      </c>
      <c r="AA96" s="52">
        <f>IF(T96="","",ROUND(T96*25%+U96*15%+V96*10%+W96*15%+X96*15%+Y96*10%+Z96*10%,0))</f>
        <v/>
      </c>
      <c r="AB96" s="52">
        <f>IF(AA96="","",IF(X96&lt;50,"Selective / Barrier",IF(AA96&gt;=80,"Tier 1 - Pursue",IF(AA96&gt;=70,"Tier 2 - Pursue",IF(AA96&gt;=60,"Tier 3 - Selective","Do Not Pursue")))))</f>
        <v/>
      </c>
      <c r="AC96" s="52">
        <f>IF(C96="","",IF(I96&lt;&gt;"","Named Contact",IF(AA96&gt;0,"Outreach Logged","Cold")))</f>
        <v/>
      </c>
      <c r="AD96" s="52">
        <f>IF(B96="","",COUNTIF('Outreach Log'!$C:$C,B96))</f>
        <v/>
      </c>
      <c r="AE96" s="52">
        <f>IF(A96="","",IF(OR(K96="Rejected",K96="Closed"),IF(L96&lt;&gt;"",L96-A96,TODAY()-A96),TODAY()-A96))</f>
        <v/>
      </c>
      <c r="AF96" s="52">
        <f>IF(C96="","",IF(AND(AA96&gt;=70,AC96="Cold"),"High-fit but cold",IF(AND(AA96&lt;60,K96="Applied"),"Low-fit application",IF(AND(AA96&gt;=70,OR(AC96="Named Contact",AC96="Outreach Logged")),"Targeted pursuit","Review"))))</f>
        <v/>
      </c>
    </row>
    <row r="97" ht="15" customHeight="1" s="44">
      <c r="A97" s="53" t="n">
        <v>46101</v>
      </c>
      <c r="B97" s="48" t="inlineStr">
        <is>
          <t>Samsara</t>
        </is>
      </c>
      <c r="C97" s="48" t="inlineStr">
        <is>
          <t>Program Manager - Customer Support Enablement</t>
        </is>
      </c>
      <c r="D97" s="48" t="inlineStr">
        <is>
          <t>Senior/Manager</t>
        </is>
      </c>
      <c r="E97" s="48" t="inlineStr">
        <is>
          <t>Canada</t>
        </is>
      </c>
      <c r="F97" s="48" t="inlineStr">
        <is>
          <t>Remote Canada</t>
        </is>
      </c>
      <c r="G97" s="48" t="n">
        <v>65</v>
      </c>
      <c r="H97" s="48" t="inlineStr">
        <is>
          <t>Cold Portal</t>
        </is>
      </c>
      <c r="I97" s="48" t="n"/>
      <c r="J97" s="48" t="inlineStr">
        <is>
          <t>No</t>
        </is>
      </c>
      <c r="K97" s="49" t="inlineStr">
        <is>
          <t>Rejected</t>
        </is>
      </c>
      <c r="L97" s="48" t="n"/>
      <c r="M97" s="48">
        <f>IF(OR(L97="",A97=""),"",L97-A97)</f>
        <v/>
      </c>
      <c r="N97" s="48" t="n"/>
      <c r="O97" s="48" t="n"/>
      <c r="P97" s="51" t="inlineStr">
        <is>
          <t>From Greenhouse portal: 'Applied 6 months ago' (corrected per user) (Remote - Canada); date approximate | User confirmed rejected (Sep 20, 2026). | Customer Support Enablement team at IoT/Connected Operations company; designs/manages agent enablement programs (training strategies, product adoption, technical fluency), reports to Director of Global Enablement &amp; QA. 6-8 years enablement/strategy program management, ideally high-growth SaaS. Moderate fit: strong program strategy, stakeholder alignment, and data-driven reporting overlap with enterprise portfolio background; role is Enablement-specific (training/L&amp;D adjacent) rather than core technical program management. Base salary $111,265-$143,990 CAD.</t>
        </is>
      </c>
      <c r="Q97" s="48" t="n"/>
      <c r="R97" s="48" t="inlineStr">
        <is>
          <t>Role-type mismatch (Enablement/Training program management, not core TPM)</t>
        </is>
      </c>
      <c r="S97" s="51" t="inlineStr">
        <is>
          <t>6-8 yrs enablement/strategy PM, high-growth SaaS ideal. Training strategy design. PMP/Agile/Prosci certs a plus. Customer Support/CX org experience.</t>
        </is>
      </c>
      <c r="T97" s="52">
        <f>IF(G97="","",G97)</f>
        <v/>
      </c>
      <c r="U97" s="52">
        <f>IF(C97="","",IF(OR(ISNUMBER(SEARCH("Director",C97)),ISNUMBER(SEARCH("Lead",C97)),ISNUMBER(SEARCH("Senior",C97)),ISNUMBER(SEARCH("Sr.",C97))),90,IF(OR(ISNUMBER(SEARCH("Manager",C97)),ISNUMBER(SEARCH("Program",C97)),ISNUMBER(SEARCH("Portfolio",C97))),80,60)))</f>
        <v/>
      </c>
      <c r="V97" s="52">
        <f>IF(C97="","",IF(OR(ISNUMBER(SEARCH("AI",C97)),ISNUMBER(SEARCH("Data",C97)),ISNUMBER(SEARCH("Technology",C97)),ISNUMBER(SEARCH("Technical",C97)),ISNUMBER(SEARCH("Engineering",C97)),ISNUMBER(SEARCH("Platform",C97)),ISNUMBER(SEARCH("Portfolio",C97))),85,65))</f>
        <v/>
      </c>
      <c r="W97" s="52">
        <f>IF(C97="","",MIN(100,50+IF(S97&lt;&gt;"",25,0)+IF(R97&lt;&gt;"",15,0)+IF(P97&lt;&gt;"",10,0)))</f>
        <v/>
      </c>
      <c r="X97" s="52">
        <f>IF(E97="","",IF(OR(E97="Canada",E97="CA"),100,IF(OR(E97="United States",E97="USA",E97="US"),IF(J97="Yes",45,75),65)))</f>
        <v/>
      </c>
      <c r="Y97" s="52">
        <f>IF(C97="","",IF(OR(ISNUMBER(SEARCH("Program",C97)),ISNUMBER(SEARCH("Portfolio",C97)),ISNUMBER(SEARCH("Operations",C97)),ISNUMBER(SEARCH("Transformation",C97))),85,IF(ISNUMBER(SEARCH("Product Manager",C97)),55,70)))</f>
        <v/>
      </c>
      <c r="Z97" s="52">
        <f>IF(C97="","",MIN(100,IF(I97&lt;&gt;"",60,10)+IF(AA97&gt;0,MIN(40,AA97*20),0)))</f>
        <v/>
      </c>
      <c r="AA97" s="52">
        <f>IF(T97="","",ROUND(T97*25%+U97*15%+V97*10%+W97*15%+X97*15%+Y97*10%+Z97*10%,0))</f>
        <v/>
      </c>
      <c r="AB97" s="52">
        <f>IF(AA97="","",IF(X97&lt;50,"Selective / Barrier",IF(AA97&gt;=80,"Tier 1 - Pursue",IF(AA97&gt;=70,"Tier 2 - Pursue",IF(AA97&gt;=60,"Tier 3 - Selective","Do Not Pursue")))))</f>
        <v/>
      </c>
      <c r="AC97" s="52">
        <f>IF(C97="","",IF(I97&lt;&gt;"","Named Contact",IF(AA97&gt;0,"Outreach Logged","Cold")))</f>
        <v/>
      </c>
      <c r="AD97" s="52">
        <f>IF(B97="","",COUNTIF('Outreach Log'!$C:$C,B97))</f>
        <v/>
      </c>
      <c r="AE97" s="52">
        <f>IF(A97="","",IF(OR(K97="Rejected",K97="Closed"),IF(L97&lt;&gt;"",L97-A97,TODAY()-A97),TODAY()-A97))</f>
        <v/>
      </c>
      <c r="AF97" s="52">
        <f>IF(C97="","",IF(AND(AA97&gt;=70,AC97="Cold"),"High-fit but cold",IF(AND(AA97&lt;60,K97="Applied"),"Low-fit application",IF(AND(AA97&gt;=70,OR(AC97="Named Contact",AC97="Outreach Logged")),"Targeted pursuit","Review"))))</f>
        <v/>
      </c>
    </row>
    <row r="98" ht="15" customHeight="1" s="44">
      <c r="A98" s="53" t="n">
        <v>46101</v>
      </c>
      <c r="B98" s="48" t="inlineStr">
        <is>
          <t>Coveo</t>
        </is>
      </c>
      <c r="C98" s="48" t="inlineStr">
        <is>
          <t>Portfolio Owner, GTM Systems</t>
        </is>
      </c>
      <c r="D98" s="48" t="inlineStr">
        <is>
          <t>Senior</t>
        </is>
      </c>
      <c r="E98" s="48" t="inlineStr">
        <is>
          <t>Canada</t>
        </is>
      </c>
      <c r="F98" s="48" t="inlineStr">
        <is>
          <t>Montreal or Quebec City, QC</t>
        </is>
      </c>
      <c r="G98" s="48" t="n">
        <v>61</v>
      </c>
      <c r="H98" s="48" t="inlineStr">
        <is>
          <t>Cold Portal</t>
        </is>
      </c>
      <c r="I98" s="48" t="n"/>
      <c r="J98" s="48" t="inlineStr">
        <is>
          <t>No</t>
        </is>
      </c>
      <c r="K98" s="49" t="inlineStr">
        <is>
          <t>Rejected</t>
        </is>
      </c>
      <c r="L98" s="48" t="n"/>
      <c r="M98" s="48">
        <f>IF(OR(L98="",A98=""),"",L98-A98)</f>
        <v/>
      </c>
      <c r="N98" s="48" t="n"/>
      <c r="O98" s="48" t="n"/>
      <c r="P98" s="51" t="inlineStr">
        <is>
          <t>From Greenhouse portal: 'Applied 6 months ago'; date approximate | User confirmed rejected (Sep 20, 2026). | Owns vision/roadmap for GTM systems portfolio (CRM, marketing automation, revenue systems); strategic prioritization, vendor/stakeholder connective role, governance. 5+ years owning/evolving CRM/marketing automation/revenue systems specifically. Moderate fit: strong portfolio ownership, prioritization, and cross-functional stakeholder overlap; role requires specific GTM/RevOps systems (CRM, MAP) domain depth rather than general enterprise portfolio background. Quebec location may carry an implicit French expectation though not explicitly stated.</t>
        </is>
      </c>
      <c r="Q98" s="48" t="n"/>
      <c r="R98" s="48" t="inlineStr">
        <is>
          <t>Domain mismatch (GTM/RevOps systems — CRM, marketing automation specifically)</t>
        </is>
      </c>
      <c r="S98" s="51" t="inlineStr">
        <is>
          <t>5+ yrs owning/evolving CRM/marketing automation/revenue systems. GTM strategy in SaaS. Portfolio-level prioritization/trade-offs. Vendor/multi-system management.</t>
        </is>
      </c>
      <c r="T98" s="52">
        <f>IF(G98="","",G98)</f>
        <v/>
      </c>
      <c r="U98" s="52">
        <f>IF(C98="","",IF(OR(ISNUMBER(SEARCH("Director",C98)),ISNUMBER(SEARCH("Lead",C98)),ISNUMBER(SEARCH("Senior",C98)),ISNUMBER(SEARCH("Sr.",C98))),90,IF(OR(ISNUMBER(SEARCH("Manager",C98)),ISNUMBER(SEARCH("Program",C98)),ISNUMBER(SEARCH("Portfolio",C98))),80,60)))</f>
        <v/>
      </c>
      <c r="V98" s="52">
        <f>IF(C98="","",IF(OR(ISNUMBER(SEARCH("AI",C98)),ISNUMBER(SEARCH("Data",C98)),ISNUMBER(SEARCH("Technology",C98)),ISNUMBER(SEARCH("Technical",C98)),ISNUMBER(SEARCH("Engineering",C98)),ISNUMBER(SEARCH("Platform",C98)),ISNUMBER(SEARCH("Portfolio",C98))),85,65))</f>
        <v/>
      </c>
      <c r="W98" s="52">
        <f>IF(C98="","",MIN(100,50+IF(S98&lt;&gt;"",25,0)+IF(R98&lt;&gt;"",15,0)+IF(P98&lt;&gt;"",10,0)))</f>
        <v/>
      </c>
      <c r="X98" s="52">
        <f>IF(E98="","",IF(OR(E98="Canada",E98="CA"),100,IF(OR(E98="United States",E98="USA",E98="US"),IF(J98="Yes",45,75),65)))</f>
        <v/>
      </c>
      <c r="Y98" s="52">
        <f>IF(C98="","",IF(OR(ISNUMBER(SEARCH("Program",C98)),ISNUMBER(SEARCH("Portfolio",C98)),ISNUMBER(SEARCH("Operations",C98)),ISNUMBER(SEARCH("Transformation",C98))),85,IF(ISNUMBER(SEARCH("Product Manager",C98)),55,70)))</f>
        <v/>
      </c>
      <c r="Z98" s="52">
        <f>IF(C98="","",MIN(100,IF(I98&lt;&gt;"",60,10)+IF(AA98&gt;0,MIN(40,AA98*20),0)))</f>
        <v/>
      </c>
      <c r="AA98" s="52">
        <f>IF(T98="","",ROUND(T98*25%+U98*15%+V98*10%+W98*15%+X98*15%+Y98*10%+Z98*10%,0))</f>
        <v/>
      </c>
      <c r="AB98" s="52">
        <f>IF(AA98="","",IF(X98&lt;50,"Selective / Barrier",IF(AA98&gt;=80,"Tier 1 - Pursue",IF(AA98&gt;=70,"Tier 2 - Pursue",IF(AA98&gt;=60,"Tier 3 - Selective","Do Not Pursue")))))</f>
        <v/>
      </c>
      <c r="AC98" s="52">
        <f>IF(C98="","",IF(I98&lt;&gt;"","Named Contact",IF(AA98&gt;0,"Outreach Logged","Cold")))</f>
        <v/>
      </c>
      <c r="AD98" s="52">
        <f>IF(B98="","",COUNTIF('Outreach Log'!$C:$C,B98))</f>
        <v/>
      </c>
      <c r="AE98" s="52">
        <f>IF(A98="","",IF(OR(K98="Rejected",K98="Closed"),IF(L98&lt;&gt;"",L98-A98,TODAY()-A98),TODAY()-A98))</f>
        <v/>
      </c>
      <c r="AF98" s="52">
        <f>IF(C98="","",IF(AND(AA98&gt;=70,AC98="Cold"),"High-fit but cold",IF(AND(AA98&lt;60,K98="Applied"),"Low-fit application",IF(AND(AA98&gt;=70,OR(AC98="Named Contact",AC98="Outreach Logged")),"Targeted pursuit","Review"))))</f>
        <v/>
      </c>
    </row>
    <row r="99" ht="15" customHeight="1" s="44">
      <c r="A99" s="53" t="n">
        <v>46101</v>
      </c>
      <c r="B99" s="48" t="inlineStr">
        <is>
          <t>WPP</t>
        </is>
      </c>
      <c r="C99" s="48" t="inlineStr">
        <is>
          <t>Project Manager, Finance Transformation</t>
        </is>
      </c>
      <c r="D99" s="48" t="inlineStr">
        <is>
          <t>Senior</t>
        </is>
      </c>
      <c r="E99" s="48" t="inlineStr">
        <is>
          <t>US</t>
        </is>
      </c>
      <c r="F99" s="48" t="inlineStr">
        <is>
          <t>New York, NY (Hybrid)</t>
        </is>
      </c>
      <c r="G99" s="48" t="n">
        <v>74</v>
      </c>
      <c r="H99" s="48" t="inlineStr">
        <is>
          <t>Cold Portal</t>
        </is>
      </c>
      <c r="I99" s="48" t="n"/>
      <c r="J99" s="48" t="inlineStr">
        <is>
          <t>Yes</t>
        </is>
      </c>
      <c r="K99" s="49" t="inlineStr">
        <is>
          <t>Rejected</t>
        </is>
      </c>
      <c r="L99" s="48" t="n"/>
      <c r="M99" s="48">
        <f>IF(OR(L99="",A99=""),"",L99-A99)</f>
        <v/>
      </c>
      <c r="N99" s="48" t="n"/>
      <c r="O99" s="48" t="n"/>
      <c r="P99" s="51" t="inlineStr">
        <is>
          <t>From Greenhouse portal: 'Applied 6 months ago'; title cut off; date approximate | User confirmed rejected (Sep 20, 2026). | Reports to Global Finance Transformation Program Director; delivers global finance transformation workstreams (operating model design, shared services, ERP/Cloud finance systems). 7-10 years progressive PM in large-scale global transformation, finance transformation focus. Strong fit: closely mirrors enterprise transformation program delivery, SteerCo/executive reporting, and risk/interdependency management background; specific finance operating-model/ERP domain depth (Workday Financials) is the main gap. Base salary $60,000-$140,000 USD.</t>
        </is>
      </c>
      <c r="Q99" s="48" t="n"/>
      <c r="R99" s="48" t="inlineStr">
        <is>
          <t>Strong fit — Finance/ERP systems domain depth (Workday Financials) is the main gap</t>
        </is>
      </c>
      <c r="S99" s="51" t="inlineStr">
        <is>
          <t>7-10 yrs PM, large-scale global transformation w/ finance focus. Operating model/shared services/ERP (Workday Financials). SteerCo/board reporting. PMP/Agile cert desirable.</t>
        </is>
      </c>
      <c r="T99" s="52">
        <f>IF(G99="","",G99)</f>
        <v/>
      </c>
      <c r="U99" s="52">
        <f>IF(C99="","",IF(OR(ISNUMBER(SEARCH("Director",C99)),ISNUMBER(SEARCH("Lead",C99)),ISNUMBER(SEARCH("Senior",C99)),ISNUMBER(SEARCH("Sr.",C99))),90,IF(OR(ISNUMBER(SEARCH("Manager",C99)),ISNUMBER(SEARCH("Program",C99)),ISNUMBER(SEARCH("Portfolio",C99))),80,60)))</f>
        <v/>
      </c>
      <c r="V99" s="52">
        <f>IF(C99="","",IF(OR(ISNUMBER(SEARCH("AI",C99)),ISNUMBER(SEARCH("Data",C99)),ISNUMBER(SEARCH("Technology",C99)),ISNUMBER(SEARCH("Technical",C99)),ISNUMBER(SEARCH("Engineering",C99)),ISNUMBER(SEARCH("Platform",C99)),ISNUMBER(SEARCH("Portfolio",C99))),85,65))</f>
        <v/>
      </c>
      <c r="W99" s="52">
        <f>IF(C99="","",MIN(100,50+IF(S99&lt;&gt;"",25,0)+IF(R99&lt;&gt;"",15,0)+IF(P99&lt;&gt;"",10,0)))</f>
        <v/>
      </c>
      <c r="X99" s="52">
        <f>IF(E99="","",IF(OR(E99="Canada",E99="CA"),100,IF(OR(E99="United States",E99="USA",E99="US"),IF(J99="Yes",45,75),65)))</f>
        <v/>
      </c>
      <c r="Y99" s="52">
        <f>IF(C99="","",IF(OR(ISNUMBER(SEARCH("Program",C99)),ISNUMBER(SEARCH("Portfolio",C99)),ISNUMBER(SEARCH("Operations",C99)),ISNUMBER(SEARCH("Transformation",C99))),85,IF(ISNUMBER(SEARCH("Product Manager",C99)),55,70)))</f>
        <v/>
      </c>
      <c r="Z99" s="52">
        <f>IF(C99="","",MIN(100,IF(I99&lt;&gt;"",60,10)+IF(AA99&gt;0,MIN(40,AA99*20),0)))</f>
        <v/>
      </c>
      <c r="AA99" s="52">
        <f>IF(T99="","",ROUND(T99*25%+U99*15%+V99*10%+W99*15%+X99*15%+Y99*10%+Z99*10%,0))</f>
        <v/>
      </c>
      <c r="AB99" s="52">
        <f>IF(AA99="","",IF(X99&lt;50,"Selective / Barrier",IF(AA99&gt;=80,"Tier 1 - Pursue",IF(AA99&gt;=70,"Tier 2 - Pursue",IF(AA99&gt;=60,"Tier 3 - Selective","Do Not Pursue")))))</f>
        <v/>
      </c>
      <c r="AC99" s="52">
        <f>IF(C99="","",IF(I99&lt;&gt;"","Named Contact",IF(AA99&gt;0,"Outreach Logged","Cold")))</f>
        <v/>
      </c>
      <c r="AD99" s="52">
        <f>IF(B99="","",COUNTIF('Outreach Log'!$C:$C,B99))</f>
        <v/>
      </c>
      <c r="AE99" s="52">
        <f>IF(A99="","",IF(OR(K99="Rejected",K99="Closed"),IF(L99&lt;&gt;"",L99-A99,TODAY()-A99),TODAY()-A99))</f>
        <v/>
      </c>
      <c r="AF99" s="52">
        <f>IF(C99="","",IF(AND(AA99&gt;=70,AC99="Cold"),"High-fit but cold",IF(AND(AA99&lt;60,K99="Applied"),"Low-fit application",IF(AND(AA99&gt;=70,OR(AC99="Named Contact",AC99="Outreach Logged")),"Targeted pursuit","Review"))))</f>
        <v/>
      </c>
    </row>
    <row r="100" ht="15" customHeight="1" s="44">
      <c r="A100" s="53" t="n">
        <v>46101</v>
      </c>
      <c r="B100" s="48" t="inlineStr">
        <is>
          <t>GitLab</t>
        </is>
      </c>
      <c r="C100" s="48" t="inlineStr">
        <is>
          <t>Lead Project Manager, CRO Programs</t>
        </is>
      </c>
      <c r="D100" s="48" t="inlineStr">
        <is>
          <t>Senior/Lead</t>
        </is>
      </c>
      <c r="E100" s="48" t="inlineStr">
        <is>
          <t>US</t>
        </is>
      </c>
      <c r="F100" s="48" t="inlineStr">
        <is>
          <t>Remote North America</t>
        </is>
      </c>
      <c r="G100" s="48" t="n">
        <v>75</v>
      </c>
      <c r="H100" s="48" t="inlineStr">
        <is>
          <t>Cold Portal</t>
        </is>
      </c>
      <c r="I100" s="48" t="n"/>
      <c r="J100" s="48" t="inlineStr">
        <is>
          <t>Yes</t>
        </is>
      </c>
      <c r="K100" s="49" t="inlineStr">
        <is>
          <t>Rejected</t>
        </is>
      </c>
      <c r="L100" s="48" t="n"/>
      <c r="M100" s="48">
        <f>IF(OR(L100="",A100=""),"",L100-A100)</f>
        <v/>
      </c>
      <c r="N100" s="48" t="n"/>
      <c r="O100" s="48" t="n"/>
      <c r="P100" s="51" t="inlineStr">
        <is>
          <t>From Greenhouse portal: 'Applied 6 months ago'; date approximate | User confirmed rejected (Sep 20, 2026). | Office of the CRO; coordinates CRO-level strategic initiatives (GTM changes, operating model, compensation plans) across Sales/RevOps/Finance/People, reports to Chief of Staff to CRO. No specific years-experience threshold stated; emphasizes coordination/follow-through/executive communication skills transferable from program management or operations backgrounds. Strong fit: closely mirrors enterprise program coordination, executive stakeholder management, and operating-cadence background; revenue/GTM domain familiarity (Sales/RevOps rhythms) is a minor gap. Base salary $103,600-$222,000 USD.</t>
        </is>
      </c>
      <c r="Q100" s="48" t="n"/>
      <c r="R100" s="48" t="inlineStr">
        <is>
          <t>Strong fit — revenue/GTM domain familiarity is a minor gap</t>
        </is>
      </c>
      <c r="S100" s="51" t="inlineStr">
        <is>
          <t>Cross-functional strategic initiative coordination. Drives follow-through without direct authority. Executive-ready communication. Revenue-facing team familiarity (Sales/RevOps) a plus.</t>
        </is>
      </c>
      <c r="T100" s="52">
        <f>IF(G100="","",G100)</f>
        <v/>
      </c>
      <c r="U100" s="52">
        <f>IF(C100="","",IF(OR(ISNUMBER(SEARCH("Director",C100)),ISNUMBER(SEARCH("Lead",C100)),ISNUMBER(SEARCH("Senior",C100)),ISNUMBER(SEARCH("Sr.",C100))),90,IF(OR(ISNUMBER(SEARCH("Manager",C100)),ISNUMBER(SEARCH("Program",C100)),ISNUMBER(SEARCH("Portfolio",C100))),80,60)))</f>
        <v/>
      </c>
      <c r="V100" s="52">
        <f>IF(C100="","",IF(OR(ISNUMBER(SEARCH("AI",C100)),ISNUMBER(SEARCH("Data",C100)),ISNUMBER(SEARCH("Technology",C100)),ISNUMBER(SEARCH("Technical",C100)),ISNUMBER(SEARCH("Engineering",C100)),ISNUMBER(SEARCH("Platform",C100)),ISNUMBER(SEARCH("Portfolio",C100))),85,65))</f>
        <v/>
      </c>
      <c r="W100" s="52">
        <f>IF(C100="","",MIN(100,50+IF(S100&lt;&gt;"",25,0)+IF(R100&lt;&gt;"",15,0)+IF(P100&lt;&gt;"",10,0)))</f>
        <v/>
      </c>
      <c r="X100" s="52">
        <f>IF(E100="","",IF(OR(E100="Canada",E100="CA"),100,IF(OR(E100="United States",E100="USA",E100="US"),IF(J100="Yes",45,75),65)))</f>
        <v/>
      </c>
      <c r="Y100" s="52">
        <f>IF(C100="","",IF(OR(ISNUMBER(SEARCH("Program",C100)),ISNUMBER(SEARCH("Portfolio",C100)),ISNUMBER(SEARCH("Operations",C100)),ISNUMBER(SEARCH("Transformation",C100))),85,IF(ISNUMBER(SEARCH("Product Manager",C100)),55,70)))</f>
        <v/>
      </c>
      <c r="Z100" s="52">
        <f>IF(C100="","",MIN(100,IF(I100&lt;&gt;"",60,10)+IF(AA100&gt;0,MIN(40,AA100*20),0)))</f>
        <v/>
      </c>
      <c r="AA100" s="52">
        <f>IF(T100="","",ROUND(T100*25%+U100*15%+V100*10%+W100*15%+X100*15%+Y100*10%+Z100*10%,0))</f>
        <v/>
      </c>
      <c r="AB100" s="52">
        <f>IF(AA100="","",IF(X100&lt;50,"Selective / Barrier",IF(AA100&gt;=80,"Tier 1 - Pursue",IF(AA100&gt;=70,"Tier 2 - Pursue",IF(AA100&gt;=60,"Tier 3 - Selective","Do Not Pursue")))))</f>
        <v/>
      </c>
      <c r="AC100" s="52">
        <f>IF(C100="","",IF(I100&lt;&gt;"","Named Contact",IF(AA100&gt;0,"Outreach Logged","Cold")))</f>
        <v/>
      </c>
      <c r="AD100" s="52">
        <f>IF(B100="","",COUNTIF('Outreach Log'!$C:$C,B100))</f>
        <v/>
      </c>
      <c r="AE100" s="52">
        <f>IF(A100="","",IF(OR(K100="Rejected",K100="Closed"),IF(L100&lt;&gt;"",L100-A100,TODAY()-A100),TODAY()-A100))</f>
        <v/>
      </c>
      <c r="AF100" s="52">
        <f>IF(C100="","",IF(AND(AA100&gt;=70,AC100="Cold"),"High-fit but cold",IF(AND(AA100&lt;60,K100="Applied"),"Low-fit application",IF(AND(AA100&gt;=70,OR(AC100="Named Contact",AC100="Outreach Logged")),"Targeted pursuit","Review"))))</f>
        <v/>
      </c>
    </row>
    <row r="101" ht="15" customHeight="1" s="44">
      <c r="A101" s="53" t="n">
        <v>46103</v>
      </c>
      <c r="B101" s="48" t="inlineStr">
        <is>
          <t>Hydro One</t>
        </is>
      </c>
      <c r="C101" s="48" t="inlineStr">
        <is>
          <t>Senior Project Manager (Req ID: 51330)</t>
        </is>
      </c>
      <c r="D101" s="48" t="inlineStr">
        <is>
          <t>Senior</t>
        </is>
      </c>
      <c r="E101" s="48" t="inlineStr">
        <is>
          <t>Canada</t>
        </is>
      </c>
      <c r="F101" s="48" t="inlineStr">
        <is>
          <t>Barrie, ON</t>
        </is>
      </c>
      <c r="G101" s="48" t="n"/>
      <c r="H101" s="48" t="inlineStr">
        <is>
          <t>Cold Portal</t>
        </is>
      </c>
      <c r="I101" s="48" t="n"/>
      <c r="J101" s="48" t="inlineStr">
        <is>
          <t>No</t>
        </is>
      </c>
      <c r="K101" s="55" t="inlineStr">
        <is>
          <t>Applied</t>
        </is>
      </c>
      <c r="L101" s="48" t="n"/>
      <c r="M101" s="48">
        <f>IF(OR(L25="",A25=""),"",L25-A25)</f>
        <v/>
      </c>
      <c r="N101" s="48" t="n"/>
      <c r="O101" s="48" t="n"/>
      <c r="P101" s="51" t="inlineStr">
        <is>
          <t>Applied 2026-03-22 via SuccessFactors. Regular role located in Barrie, ON. Retroactively logged — was missing from tracker; found via Gmail screenshot review 2026-09-12. No response on file yet — distinct from the already-tracked "Finance Manager - Technology" Hydro One application (Rejected 8/14).</t>
        </is>
      </c>
      <c r="Q101" s="48" t="n"/>
      <c r="R101" s="48" t="n"/>
      <c r="S101" s="51" t="n"/>
      <c r="T101" s="52">
        <f>IF(G101="","",G101)</f>
        <v/>
      </c>
      <c r="U101" s="52">
        <f>IF(C101="","",IF(OR(ISNUMBER(SEARCH("Director",C101)),ISNUMBER(SEARCH("Lead",C101)),ISNUMBER(SEARCH("Senior",C101)),ISNUMBER(SEARCH("Sr.",C101))),90,IF(OR(ISNUMBER(SEARCH("Manager",C101)),ISNUMBER(SEARCH("Program",C101)),ISNUMBER(SEARCH("Portfolio",C101))),80,60)))</f>
        <v/>
      </c>
      <c r="V101" s="52">
        <f>IF(C101="","",IF(OR(ISNUMBER(SEARCH("AI",C101)),ISNUMBER(SEARCH("Data",C101)),ISNUMBER(SEARCH("Technology",C101)),ISNUMBER(SEARCH("Technical",C101)),ISNUMBER(SEARCH("Engineering",C101)),ISNUMBER(SEARCH("Platform",C101)),ISNUMBER(SEARCH("Portfolio",C101))),85,65))</f>
        <v/>
      </c>
      <c r="W101" s="52">
        <f>IF(C101="","",MIN(100,50+IF(S101&lt;&gt;"",25,0)+IF(R101&lt;&gt;"",15,0)+IF(P101&lt;&gt;"",10,0)))</f>
        <v/>
      </c>
      <c r="X101" s="52">
        <f>IF(E101="","",IF(OR(E101="Canada",E101="CA"),100,IF(OR(E101="United States",E101="USA",E101="US"),IF(J101="Yes",45,75),65)))</f>
        <v/>
      </c>
      <c r="Y101" s="52">
        <f>IF(C101="","",IF(OR(ISNUMBER(SEARCH("Program",C101)),ISNUMBER(SEARCH("Portfolio",C101)),ISNUMBER(SEARCH("Operations",C101)),ISNUMBER(SEARCH("Transformation",C101))),85,IF(ISNUMBER(SEARCH("Product Manager",C101)),55,70)))</f>
        <v/>
      </c>
      <c r="Z101" s="52">
        <f>IF(C101="","",MIN(100,IF(I101&lt;&gt;"",60,10)+IF(AA101&gt;0,MIN(40,AA101*20),0)))</f>
        <v/>
      </c>
      <c r="AA101" s="52">
        <f>IF(T101="","",ROUND(T101*25%+U101*15%+V101*10%+W101*15%+X101*15%+Y101*10%+Z101*10%,0))</f>
        <v/>
      </c>
      <c r="AB101" s="52">
        <f>IF(AA101="","",IF(X101&lt;50,"Selective / Barrier",IF(AA101&gt;=80,"Tier 1 - Pursue",IF(AA101&gt;=70,"Tier 2 - Pursue",IF(AA101&gt;=60,"Tier 3 - Selective","Do Not Pursue")))))</f>
        <v/>
      </c>
      <c r="AC101" s="52">
        <f>IF(C101="","",IF(I101&lt;&gt;"","Named Contact",IF(AA101&gt;0,"Outreach Logged","Cold")))</f>
        <v/>
      </c>
      <c r="AD101" s="52">
        <f>IF(B101="","",COUNTIF('Outreach Log'!$C:$C,B101))</f>
        <v/>
      </c>
      <c r="AE101" s="52">
        <f>IF(A101="","",IF(OR(K101="Rejected",K101="Closed"),IF(L101&lt;&gt;"",L101-A101,TODAY()-A101),TODAY()-A101))</f>
        <v/>
      </c>
      <c r="AF101" s="52">
        <f>IF(C101="","",IF(AND(AA101&gt;=70,AC101="Cold"),"High-fit but cold",IF(AND(AA101&lt;60,K101="Applied"),"Low-fit application",IF(AND(AA101&gt;=70,OR(AC101="Named Contact",AC101="Outreach Logged")),"Targeted pursuit","Review"))))</f>
        <v/>
      </c>
    </row>
    <row r="102" ht="15" customHeight="1" s="44">
      <c r="A102" s="53" t="n">
        <v>46103</v>
      </c>
      <c r="B102" s="48" t="inlineStr">
        <is>
          <t>Manulife</t>
        </is>
      </c>
      <c r="C102" s="48" t="inlineStr">
        <is>
          <t>Program Director</t>
        </is>
      </c>
      <c r="D102" s="48" t="inlineStr">
        <is>
          <t>Director</t>
        </is>
      </c>
      <c r="E102" s="48" t="inlineStr">
        <is>
          <t>Canada</t>
        </is>
      </c>
      <c r="F102" s="48" t="inlineStr">
        <is>
          <t>Toronto</t>
        </is>
      </c>
      <c r="G102" s="48" t="n">
        <v>78</v>
      </c>
      <c r="H102" s="48" t="inlineStr">
        <is>
          <t>Cold Portal</t>
        </is>
      </c>
      <c r="I102" s="48" t="n"/>
      <c r="J102" s="48" t="inlineStr">
        <is>
          <t>No</t>
        </is>
      </c>
      <c r="K102" s="49" t="inlineStr">
        <is>
          <t>Rejected</t>
        </is>
      </c>
      <c r="L102" s="50" t="n">
        <v>46157</v>
      </c>
      <c r="M102" s="48">
        <f>IF(OR(L26="",A26=""),"",L26-A26)</f>
        <v/>
      </c>
      <c r="N102" s="48" t="n"/>
      <c r="O102" s="48" t="n"/>
      <c r="P102" s="51" t="inlineStr">
        <is>
          <t>Applied 2026-03-22. REJECTED 2026-05-15: "after a preliminary review of applications, we won't be moving forward with your application at this time." Retroactively logged via full Manulife Gmail history review 2026-09-16.</t>
        </is>
      </c>
      <c r="Q102" s="48" t="n"/>
      <c r="R102" s="48" t="n"/>
      <c r="S102" s="51" t="n"/>
      <c r="T102" s="52">
        <f>IF(G102="","",G102)</f>
        <v/>
      </c>
      <c r="U102" s="52">
        <f>IF(C102="","",IF(OR(ISNUMBER(SEARCH("Director",C102)),ISNUMBER(SEARCH("Lead",C102)),ISNUMBER(SEARCH("Senior",C102)),ISNUMBER(SEARCH("Sr.",C102))),90,IF(OR(ISNUMBER(SEARCH("Manager",C102)),ISNUMBER(SEARCH("Program",C102)),ISNUMBER(SEARCH("Portfolio",C102))),80,60)))</f>
        <v/>
      </c>
      <c r="V102" s="52">
        <f>IF(C102="","",IF(OR(ISNUMBER(SEARCH("AI",C102)),ISNUMBER(SEARCH("Data",C102)),ISNUMBER(SEARCH("Technology",C102)),ISNUMBER(SEARCH("Technical",C102)),ISNUMBER(SEARCH("Engineering",C102)),ISNUMBER(SEARCH("Platform",C102)),ISNUMBER(SEARCH("Portfolio",C102))),85,65))</f>
        <v/>
      </c>
      <c r="W102" s="52">
        <f>IF(C102="","",MIN(100,50+IF(S102&lt;&gt;"",25,0)+IF(R102&lt;&gt;"",15,0)+IF(P102&lt;&gt;"",10,0)))</f>
        <v/>
      </c>
      <c r="X102" s="52">
        <f>IF(E102="","",IF(OR(E102="Canada",E102="CA"),100,IF(OR(E102="United States",E102="USA",E102="US"),IF(J102="Yes",45,75),65)))</f>
        <v/>
      </c>
      <c r="Y102" s="52">
        <f>IF(C102="","",IF(OR(ISNUMBER(SEARCH("Program",C102)),ISNUMBER(SEARCH("Portfolio",C102)),ISNUMBER(SEARCH("Operations",C102)),ISNUMBER(SEARCH("Transformation",C102))),85,IF(ISNUMBER(SEARCH("Product Manager",C102)),55,70)))</f>
        <v/>
      </c>
      <c r="Z102" s="52">
        <f>IF(C102="","",MIN(100,IF(I102&lt;&gt;"",60,10)+IF(AA102&gt;0,MIN(40,AA102*20),0)))</f>
        <v/>
      </c>
      <c r="AA102" s="52">
        <f>IF(T102="","",ROUND(T102*25%+U102*15%+V102*10%+W102*15%+X102*15%+Y102*10%+Z102*10%,0))</f>
        <v/>
      </c>
      <c r="AB102" s="52">
        <f>IF(AA102="","",IF(X102&lt;50,"Selective / Barrier",IF(AA102&gt;=80,"Tier 1 - Pursue",IF(AA102&gt;=70,"Tier 2 - Pursue",IF(AA102&gt;=60,"Tier 3 - Selective","Do Not Pursue")))))</f>
        <v/>
      </c>
      <c r="AC102" s="52">
        <f>IF(C102="","",IF(I102&lt;&gt;"","Named Contact",IF(AA102&gt;0,"Outreach Logged","Cold")))</f>
        <v/>
      </c>
      <c r="AD102" s="52">
        <f>IF(B102="","",COUNTIF('Outreach Log'!$C:$C,B102))</f>
        <v/>
      </c>
      <c r="AE102" s="52">
        <f>IF(A102="","",IF(OR(K102="Rejected",K102="Closed"),IF(L102&lt;&gt;"",L102-A102,TODAY()-A102),TODAY()-A102))</f>
        <v/>
      </c>
      <c r="AF102" s="52">
        <f>IF(C102="","",IF(AND(AA102&gt;=70,AC102="Cold"),"High-fit but cold",IF(AND(AA102&lt;60,K102="Applied"),"Low-fit application",IF(AND(AA102&gt;=70,OR(AC102="Named Contact",AC102="Outreach Logged")),"Targeted pursuit","Review"))))</f>
        <v/>
      </c>
    </row>
    <row r="103" ht="15" customHeight="1" s="44">
      <c r="A103" s="53" t="n">
        <v>46103</v>
      </c>
      <c r="B103" s="48" t="inlineStr">
        <is>
          <t>Data Elephant</t>
        </is>
      </c>
      <c r="C103" s="48" t="inlineStr">
        <is>
          <t>Agile Delivery Lead</t>
        </is>
      </c>
      <c r="D103" s="48" t="inlineStr">
        <is>
          <t>Lead</t>
        </is>
      </c>
      <c r="E103" s="48" t="inlineStr">
        <is>
          <t>Canada</t>
        </is>
      </c>
      <c r="F103" s="48" t="inlineStr">
        <is>
          <t>Toronto</t>
        </is>
      </c>
      <c r="G103" s="48" t="n">
        <v>65</v>
      </c>
      <c r="H103" s="48" t="inlineStr">
        <is>
          <t>Cold Portal</t>
        </is>
      </c>
      <c r="I103" s="48" t="n"/>
      <c r="J103" s="48" t="n"/>
      <c r="K103" s="56" t="inlineStr">
        <is>
          <t>Ghosted (30d+)</t>
        </is>
      </c>
      <c r="L103" s="48" t="n"/>
      <c r="M103" s="48">
        <f>IF(OR(L27="",A27=""),"",L27-A27)</f>
        <v/>
      </c>
      <c r="N103" s="48" t="n"/>
      <c r="O103" s="48" t="n"/>
      <c r="P103" s="51" t="inlineStr">
        <is>
          <t>Applied 2026-03-22 (BambooHR confirmation). Intro call (interview) held 2026-03-24 with Danielle Leffler. Second follow-up call requested 2026-04-08 for a chat with Adrienne and Mathew — outcome of that second call unconfirmed, and no rejection ever received. Marked Ghosted per 30-day rule. Retroactively logged via Gmail review 2026-09-18 — was missing from tracker entirely. Location/sponsorship unconfirmed — verify. Est. fit score: 65 — Agile Delivery Lead is adjacent to her core TPM/delivery lane.</t>
        </is>
      </c>
      <c r="Q103" s="50" t="n">
        <v>46105</v>
      </c>
      <c r="R103" s="48" t="n"/>
      <c r="S103" s="51" t="n"/>
      <c r="T103" s="52">
        <f>IF(G103="","",G103)</f>
        <v/>
      </c>
      <c r="U103" s="52">
        <f>IF(C103="","",IF(OR(ISNUMBER(SEARCH("Director",C103)),ISNUMBER(SEARCH("Lead",C103)),ISNUMBER(SEARCH("Senior",C103)),ISNUMBER(SEARCH("Sr.",C103))),90,IF(OR(ISNUMBER(SEARCH("Manager",C103)),ISNUMBER(SEARCH("Program",C103)),ISNUMBER(SEARCH("Portfolio",C103))),80,60)))</f>
        <v/>
      </c>
      <c r="V103" s="52">
        <f>IF(C103="","",IF(OR(ISNUMBER(SEARCH("AI",C103)),ISNUMBER(SEARCH("Data",C103)),ISNUMBER(SEARCH("Technology",C103)),ISNUMBER(SEARCH("Technical",C103)),ISNUMBER(SEARCH("Engineering",C103)),ISNUMBER(SEARCH("Platform",C103)),ISNUMBER(SEARCH("Portfolio",C103))),85,65))</f>
        <v/>
      </c>
      <c r="W103" s="52">
        <f>IF(C103="","",MIN(100,50+IF(S103&lt;&gt;"",25,0)+IF(R103&lt;&gt;"",15,0)+IF(P103&lt;&gt;"",10,0)))</f>
        <v/>
      </c>
      <c r="X103" s="52">
        <f>IF(E103="","",IF(OR(E103="Canada",E103="CA"),100,IF(OR(E103="United States",E103="USA",E103="US"),IF(J103="Yes",45,75),65)))</f>
        <v/>
      </c>
      <c r="Y103" s="52">
        <f>IF(C103="","",IF(OR(ISNUMBER(SEARCH("Program",C103)),ISNUMBER(SEARCH("Portfolio",C103)),ISNUMBER(SEARCH("Operations",C103)),ISNUMBER(SEARCH("Transformation",C103))),85,IF(ISNUMBER(SEARCH("Product Manager",C103)),55,70)))</f>
        <v/>
      </c>
      <c r="Z103" s="52">
        <f>IF(C103="","",MIN(100,IF(I103&lt;&gt;"",60,10)+IF(AA103&gt;0,MIN(40,AA103*20),0)))</f>
        <v/>
      </c>
      <c r="AA103" s="52">
        <f>IF(T103="","",ROUND(T103*25%+U103*15%+V103*10%+W103*15%+X103*15%+Y103*10%+Z103*10%,0))</f>
        <v/>
      </c>
      <c r="AB103" s="52">
        <f>IF(AA103="","",IF(X103&lt;50,"Selective / Barrier",IF(AA103&gt;=80,"Tier 1 - Pursue",IF(AA103&gt;=70,"Tier 2 - Pursue",IF(AA103&gt;=60,"Tier 3 - Selective","Do Not Pursue")))))</f>
        <v/>
      </c>
      <c r="AC103" s="52">
        <f>IF(C103="","",IF(I103&lt;&gt;"","Named Contact",IF(AA103&gt;0,"Outreach Logged","Cold")))</f>
        <v/>
      </c>
      <c r="AD103" s="52">
        <f>IF(B103="","",COUNTIF('Outreach Log'!$C:$C,B103))</f>
        <v/>
      </c>
      <c r="AE103" s="52">
        <f>IF(A103="","",IF(OR(K103="Rejected",K103="Closed"),IF(L103&lt;&gt;"",L103-A103,TODAY()-A103),TODAY()-A103))</f>
        <v/>
      </c>
      <c r="AF103" s="52">
        <f>IF(C103="","",IF(AND(AA103&gt;=70,AC103="Cold"),"High-fit but cold",IF(AND(AA103&lt;60,K103="Applied"),"Low-fit application",IF(AND(AA103&gt;=70,OR(AC103="Named Contact",AC103="Outreach Logged")),"Targeted pursuit","Review"))))</f>
        <v/>
      </c>
    </row>
    <row r="104" ht="15" customHeight="1" s="44">
      <c r="A104" s="53" t="n">
        <v>46104</v>
      </c>
      <c r="B104" s="48" t="inlineStr">
        <is>
          <t>Manulife</t>
        </is>
      </c>
      <c r="C104" s="48" t="inlineStr">
        <is>
          <t>Senior Technology Project Manager</t>
        </is>
      </c>
      <c r="D104" s="48" t="inlineStr">
        <is>
          <t>Senior</t>
        </is>
      </c>
      <c r="E104" s="48" t="inlineStr">
        <is>
          <t>Canada</t>
        </is>
      </c>
      <c r="F104" s="48" t="inlineStr">
        <is>
          <t>Toronto</t>
        </is>
      </c>
      <c r="G104" s="48" t="n">
        <v>72</v>
      </c>
      <c r="H104" s="48" t="inlineStr">
        <is>
          <t>Cold Portal</t>
        </is>
      </c>
      <c r="I104" s="48" t="n"/>
      <c r="J104" s="48" t="inlineStr">
        <is>
          <t>No</t>
        </is>
      </c>
      <c r="K104" s="49" t="inlineStr">
        <is>
          <t>Rejected</t>
        </is>
      </c>
      <c r="L104" s="50" t="n">
        <v>46134</v>
      </c>
      <c r="M104" s="48">
        <f>IF(OR(L28="",A28=""),"",L28-A28)</f>
        <v/>
      </c>
      <c r="N104" s="48" t="n"/>
      <c r="O104" s="48" t="n"/>
      <c r="P104" s="51" t="inlineStr">
        <is>
          <t>Applied 2026-03-23. REJECTED 2026-04-22: "after a preliminary review of applications, we won't be moving forward with your application at this time." Retroactively logged via full Manulife Gmail history review 2026-09-16.</t>
        </is>
      </c>
      <c r="Q104" s="48" t="n"/>
      <c r="R104" s="48" t="n"/>
      <c r="S104" s="51" t="n"/>
      <c r="T104" s="52">
        <f>IF(G104="","",G104)</f>
        <v/>
      </c>
      <c r="U104" s="52">
        <f>IF(C104="","",IF(OR(ISNUMBER(SEARCH("Director",C104)),ISNUMBER(SEARCH("Lead",C104)),ISNUMBER(SEARCH("Senior",C104)),ISNUMBER(SEARCH("Sr.",C104))),90,IF(OR(ISNUMBER(SEARCH("Manager",C104)),ISNUMBER(SEARCH("Program",C104)),ISNUMBER(SEARCH("Portfolio",C104))),80,60)))</f>
        <v/>
      </c>
      <c r="V104" s="52">
        <f>IF(C104="","",IF(OR(ISNUMBER(SEARCH("AI",C104)),ISNUMBER(SEARCH("Data",C104)),ISNUMBER(SEARCH("Technology",C104)),ISNUMBER(SEARCH("Technical",C104)),ISNUMBER(SEARCH("Engineering",C104)),ISNUMBER(SEARCH("Platform",C104)),ISNUMBER(SEARCH("Portfolio",C104))),85,65))</f>
        <v/>
      </c>
      <c r="W104" s="52">
        <f>IF(C104="","",MIN(100,50+IF(S104&lt;&gt;"",25,0)+IF(R104&lt;&gt;"",15,0)+IF(P104&lt;&gt;"",10,0)))</f>
        <v/>
      </c>
      <c r="X104" s="52">
        <f>IF(E104="","",IF(OR(E104="Canada",E104="CA"),100,IF(OR(E104="United States",E104="USA",E104="US"),IF(J104="Yes",45,75),65)))</f>
        <v/>
      </c>
      <c r="Y104" s="52">
        <f>IF(C104="","",IF(OR(ISNUMBER(SEARCH("Program",C104)),ISNUMBER(SEARCH("Portfolio",C104)),ISNUMBER(SEARCH("Operations",C104)),ISNUMBER(SEARCH("Transformation",C104))),85,IF(ISNUMBER(SEARCH("Product Manager",C104)),55,70)))</f>
        <v/>
      </c>
      <c r="Z104" s="52">
        <f>IF(C104="","",MIN(100,IF(I104&lt;&gt;"",60,10)+IF(AA104&gt;0,MIN(40,AA104*20),0)))</f>
        <v/>
      </c>
      <c r="AA104" s="52">
        <f>IF(T104="","",ROUND(T104*25%+U104*15%+V104*10%+W104*15%+X104*15%+Y104*10%+Z104*10%,0))</f>
        <v/>
      </c>
      <c r="AB104" s="52">
        <f>IF(AA104="","",IF(X104&lt;50,"Selective / Barrier",IF(AA104&gt;=80,"Tier 1 - Pursue",IF(AA104&gt;=70,"Tier 2 - Pursue",IF(AA104&gt;=60,"Tier 3 - Selective","Do Not Pursue")))))</f>
        <v/>
      </c>
      <c r="AC104" s="52">
        <f>IF(C104="","",IF(I104&lt;&gt;"","Named Contact",IF(AA104&gt;0,"Outreach Logged","Cold")))</f>
        <v/>
      </c>
      <c r="AD104" s="52">
        <f>IF(B104="","",COUNTIF('Outreach Log'!$C:$C,B104))</f>
        <v/>
      </c>
      <c r="AE104" s="52">
        <f>IF(A104="","",IF(OR(K104="Rejected",K104="Closed"),IF(L104&lt;&gt;"",L104-A104,TODAY()-A104),TODAY()-A104))</f>
        <v/>
      </c>
      <c r="AF104" s="52">
        <f>IF(C104="","",IF(AND(AA104&gt;=70,AC104="Cold"),"High-fit but cold",IF(AND(AA104&lt;60,K104="Applied"),"Low-fit application",IF(AND(AA104&gt;=70,OR(AC104="Named Contact",AC104="Outreach Logged")),"Targeted pursuit","Review"))))</f>
        <v/>
      </c>
    </row>
    <row r="105" ht="15" customHeight="1" s="44">
      <c r="A105" s="53" t="n">
        <v>46110</v>
      </c>
      <c r="B105" s="48" t="inlineStr">
        <is>
          <t>RBC</t>
        </is>
      </c>
      <c r="C105" s="48" t="inlineStr">
        <is>
          <t>Director of Program Management, Marketplace Delivery</t>
        </is>
      </c>
      <c r="D105" s="48" t="inlineStr">
        <is>
          <t>Director</t>
        </is>
      </c>
      <c r="E105" s="48" t="inlineStr">
        <is>
          <t>Canada</t>
        </is>
      </c>
      <c r="F105" s="48" t="inlineStr">
        <is>
          <t>Toronto</t>
        </is>
      </c>
      <c r="G105" s="48" t="n">
        <v>78</v>
      </c>
      <c r="H105" s="48" t="inlineStr">
        <is>
          <t>Cold Portal</t>
        </is>
      </c>
      <c r="I105" s="48" t="n"/>
      <c r="J105" s="48" t="inlineStr">
        <is>
          <t>No</t>
        </is>
      </c>
      <c r="K105" s="55" t="inlineStr">
        <is>
          <t>Applied</t>
        </is>
      </c>
      <c r="L105" s="48" t="n"/>
      <c r="M105" s="48">
        <f>IF(OR(L29="",A29=""),"",L29-A29)</f>
        <v/>
      </c>
      <c r="N105" s="48" t="n"/>
      <c r="O105" s="48" t="n"/>
      <c r="P105" s="51" t="inlineStr">
        <is>
          <t>Req ID R-0000164897. Confirmed via RBC Workday candidate portal screenshot 08/05 — status "Application Received", active.</t>
        </is>
      </c>
      <c r="Q105" s="48" t="n"/>
      <c r="R105" s="48" t="n"/>
      <c r="S105" s="51" t="n"/>
      <c r="T105" s="52">
        <f>IF(G105="","",G105)</f>
        <v/>
      </c>
      <c r="U105" s="52">
        <f>IF(C105="","",IF(OR(ISNUMBER(SEARCH("Director",C105)),ISNUMBER(SEARCH("Lead",C105)),ISNUMBER(SEARCH("Senior",C105)),ISNUMBER(SEARCH("Sr.",C105))),90,IF(OR(ISNUMBER(SEARCH("Manager",C105)),ISNUMBER(SEARCH("Program",C105)),ISNUMBER(SEARCH("Portfolio",C105))),80,60)))</f>
        <v/>
      </c>
      <c r="V105" s="52">
        <f>IF(C105="","",IF(OR(ISNUMBER(SEARCH("AI",C105)),ISNUMBER(SEARCH("Data",C105)),ISNUMBER(SEARCH("Technology",C105)),ISNUMBER(SEARCH("Technical",C105)),ISNUMBER(SEARCH("Engineering",C105)),ISNUMBER(SEARCH("Platform",C105)),ISNUMBER(SEARCH("Portfolio",C105))),85,65))</f>
        <v/>
      </c>
      <c r="W105" s="52">
        <f>IF(C105="","",MIN(100,50+IF(S105&lt;&gt;"",25,0)+IF(R105&lt;&gt;"",15,0)+IF(P105&lt;&gt;"",10,0)))</f>
        <v/>
      </c>
      <c r="X105" s="52">
        <f>IF(E105="","",IF(OR(E105="Canada",E105="CA"),100,IF(OR(E105="United States",E105="USA",E105="US"),IF(J105="Yes",45,75),65)))</f>
        <v/>
      </c>
      <c r="Y105" s="52">
        <f>IF(C105="","",IF(OR(ISNUMBER(SEARCH("Program",C105)),ISNUMBER(SEARCH("Portfolio",C105)),ISNUMBER(SEARCH("Operations",C105)),ISNUMBER(SEARCH("Transformation",C105))),85,IF(ISNUMBER(SEARCH("Product Manager",C105)),55,70)))</f>
        <v/>
      </c>
      <c r="Z105" s="52">
        <f>IF(C105="","",MIN(100,IF(I105&lt;&gt;"",60,10)+IF(AA105&gt;0,MIN(40,AA105*20),0)))</f>
        <v/>
      </c>
      <c r="AA105" s="52">
        <f>IF(T105="","",ROUND(T105*25%+U105*15%+V105*10%+W105*15%+X105*15%+Y105*10%+Z105*10%,0))</f>
        <v/>
      </c>
      <c r="AB105" s="52">
        <f>IF(AA105="","",IF(X105&lt;50,"Selective / Barrier",IF(AA105&gt;=80,"Tier 1 - Pursue",IF(AA105&gt;=70,"Tier 2 - Pursue",IF(AA105&gt;=60,"Tier 3 - Selective","Do Not Pursue")))))</f>
        <v/>
      </c>
      <c r="AC105" s="52">
        <f>IF(C105="","",IF(I105&lt;&gt;"","Named Contact",IF(AA105&gt;0,"Outreach Logged","Cold")))</f>
        <v/>
      </c>
      <c r="AD105" s="52">
        <f>IF(B105="","",COUNTIF('Outreach Log'!$C:$C,B105))</f>
        <v/>
      </c>
      <c r="AE105" s="52">
        <f>IF(A105="","",IF(OR(K105="Rejected",K105="Closed"),IF(L105&lt;&gt;"",L105-A105,TODAY()-A105),TODAY()-A105))</f>
        <v/>
      </c>
      <c r="AF105" s="52">
        <f>IF(C105="","",IF(AND(AA105&gt;=70,AC105="Cold"),"High-fit but cold",IF(AND(AA105&lt;60,K105="Applied"),"Low-fit application",IF(AND(AA105&gt;=70,OR(AC105="Named Contact",AC105="Outreach Logged")),"Targeted pursuit","Review"))))</f>
        <v/>
      </c>
    </row>
    <row r="106" ht="15" customHeight="1" s="44">
      <c r="A106" s="53" t="n">
        <v>46113</v>
      </c>
      <c r="B106" s="48" t="inlineStr">
        <is>
          <t>Loblaw Digital</t>
        </is>
      </c>
      <c r="C106" s="48" t="inlineStr">
        <is>
          <t>Senior Technical Program Manager</t>
        </is>
      </c>
      <c r="D106" s="48" t="inlineStr">
        <is>
          <t>Senior Manager</t>
        </is>
      </c>
      <c r="E106" s="48" t="inlineStr">
        <is>
          <t>Canada</t>
        </is>
      </c>
      <c r="F106" s="48" t="inlineStr">
        <is>
          <t>Toronto</t>
        </is>
      </c>
      <c r="G106" s="48" t="n">
        <v>75</v>
      </c>
      <c r="H106" s="48" t="inlineStr">
        <is>
          <t>Cold Portal</t>
        </is>
      </c>
      <c r="I106" s="48" t="n"/>
      <c r="J106" s="48" t="inlineStr">
        <is>
          <t>No</t>
        </is>
      </c>
      <c r="K106" s="49" t="inlineStr">
        <is>
          <t>Rejected</t>
        </is>
      </c>
      <c r="L106" s="50" t="n">
        <v>46135</v>
      </c>
      <c r="M106" s="48">
        <f>IF(OR(L30="",A30=""),"",L30-A30)</f>
        <v/>
      </c>
      <c r="N106" s="48" t="n"/>
      <c r="O106" s="48" t="n"/>
      <c r="P106" s="51" t="inlineStr">
        <is>
          <t>Historical entry, previously unlogged. Interviewed April 2026, rejected 04/23. Exact original apply date unknown (estimated).</t>
        </is>
      </c>
      <c r="Q106" s="50" t="n">
        <v>46128</v>
      </c>
      <c r="R106" s="48" t="n"/>
      <c r="S106" s="51" t="n"/>
      <c r="T106" s="52">
        <f>IF(G106="","",G106)</f>
        <v/>
      </c>
      <c r="U106" s="52">
        <f>IF(C106="","",IF(OR(ISNUMBER(SEARCH("Director",C106)),ISNUMBER(SEARCH("Lead",C106)),ISNUMBER(SEARCH("Senior",C106)),ISNUMBER(SEARCH("Sr.",C106))),90,IF(OR(ISNUMBER(SEARCH("Manager",C106)),ISNUMBER(SEARCH("Program",C106)),ISNUMBER(SEARCH("Portfolio",C106))),80,60)))</f>
        <v/>
      </c>
      <c r="V106" s="52">
        <f>IF(C106="","",IF(OR(ISNUMBER(SEARCH("AI",C106)),ISNUMBER(SEARCH("Data",C106)),ISNUMBER(SEARCH("Technology",C106)),ISNUMBER(SEARCH("Technical",C106)),ISNUMBER(SEARCH("Engineering",C106)),ISNUMBER(SEARCH("Platform",C106)),ISNUMBER(SEARCH("Portfolio",C106))),85,65))</f>
        <v/>
      </c>
      <c r="W106" s="52">
        <f>IF(C106="","",MIN(100,50+IF(S106&lt;&gt;"",25,0)+IF(R106&lt;&gt;"",15,0)+IF(P106&lt;&gt;"",10,0)))</f>
        <v/>
      </c>
      <c r="X106" s="52">
        <f>IF(E106="","",IF(OR(E106="Canada",E106="CA"),100,IF(OR(E106="United States",E106="USA",E106="US"),IF(J106="Yes",45,75),65)))</f>
        <v/>
      </c>
      <c r="Y106" s="52">
        <f>IF(C106="","",IF(OR(ISNUMBER(SEARCH("Program",C106)),ISNUMBER(SEARCH("Portfolio",C106)),ISNUMBER(SEARCH("Operations",C106)),ISNUMBER(SEARCH("Transformation",C106))),85,IF(ISNUMBER(SEARCH("Product Manager",C106)),55,70)))</f>
        <v/>
      </c>
      <c r="Z106" s="52">
        <f>IF(C106="","",MIN(100,IF(I106&lt;&gt;"",60,10)+IF(AA106&gt;0,MIN(40,AA106*20),0)))</f>
        <v/>
      </c>
      <c r="AA106" s="52">
        <f>IF(T106="","",ROUND(T106*25%+U106*15%+V106*10%+W106*15%+X106*15%+Y106*10%+Z106*10%,0))</f>
        <v/>
      </c>
      <c r="AB106" s="52">
        <f>IF(AA106="","",IF(X106&lt;50,"Selective / Barrier",IF(AA106&gt;=80,"Tier 1 - Pursue",IF(AA106&gt;=70,"Tier 2 - Pursue",IF(AA106&gt;=60,"Tier 3 - Selective","Do Not Pursue")))))</f>
        <v/>
      </c>
      <c r="AC106" s="52">
        <f>IF(C106="","",IF(I106&lt;&gt;"","Named Contact",IF(AA106&gt;0,"Outreach Logged","Cold")))</f>
        <v/>
      </c>
      <c r="AD106" s="52">
        <f>IF(B106="","",COUNTIF('Outreach Log'!$C:$C,B106))</f>
        <v/>
      </c>
      <c r="AE106" s="52">
        <f>IF(A106="","",IF(OR(K106="Rejected",K106="Closed"),IF(L106&lt;&gt;"",L106-A106,TODAY()-A106),TODAY()-A106))</f>
        <v/>
      </c>
      <c r="AF106" s="52">
        <f>IF(C106="","",IF(AND(AA106&gt;=70,AC106="Cold"),"High-fit but cold",IF(AND(AA106&lt;60,K106="Applied"),"Low-fit application",IF(AND(AA106&gt;=70,OR(AC106="Named Contact",AC106="Outreach Logged")),"Targeted pursuit","Review"))))</f>
        <v/>
      </c>
    </row>
    <row r="107" ht="15" customHeight="1" s="44">
      <c r="A107" s="53" t="n">
        <v>46115</v>
      </c>
      <c r="B107" s="48" t="inlineStr">
        <is>
          <t>AMD</t>
        </is>
      </c>
      <c r="C107" s="48" t="inlineStr">
        <is>
          <t>Manager, Program Management (req 2026-79148)</t>
        </is>
      </c>
      <c r="D107" s="48" t="inlineStr">
        <is>
          <t>Manager</t>
        </is>
      </c>
      <c r="E107" s="48" t="inlineStr">
        <is>
          <t>US</t>
        </is>
      </c>
      <c r="F107" s="48" t="inlineStr">
        <is>
          <t>Unconfirmed</t>
        </is>
      </c>
      <c r="G107" s="48" t="n"/>
      <c r="H107" s="48" t="inlineStr">
        <is>
          <t>Cold Portal (iCIMS)</t>
        </is>
      </c>
      <c r="I107" s="48" t="n"/>
      <c r="J107" s="48" t="inlineStr">
        <is>
          <t>Yes</t>
        </is>
      </c>
      <c r="K107" s="49" t="inlineStr">
        <is>
          <t>Rejected</t>
        </is>
      </c>
      <c r="L107" s="50" t="n">
        <v>46122</v>
      </c>
      <c r="M107" s="48">
        <f>IF(OR(L31="",A31=""),"",L31-A31)</f>
        <v/>
      </c>
      <c r="N107" s="48" t="n"/>
      <c r="O107" s="48" t="n"/>
      <c r="P107" s="51" t="inlineStr">
        <is>
          <t>Applied 2026-04-03 (confirmation email). REJECTED 2026-04-10: "we regret to inform you that you were not selected for further consideration." Distinct req (2026-79148) from row 231 (2026-79788, "Program Manager") — separate application despite similar title. Retroactively logged via Gmail review 2026-09-13.</t>
        </is>
      </c>
      <c r="Q107" s="48" t="n"/>
      <c r="R107" s="48" t="n"/>
      <c r="S107" s="51" t="n"/>
      <c r="T107" s="52">
        <f>IF(G107="","",G107)</f>
        <v/>
      </c>
      <c r="U107" s="52">
        <f>IF(C107="","",IF(OR(ISNUMBER(SEARCH("Director",C107)),ISNUMBER(SEARCH("Lead",C107)),ISNUMBER(SEARCH("Senior",C107)),ISNUMBER(SEARCH("Sr.",C107))),90,IF(OR(ISNUMBER(SEARCH("Manager",C107)),ISNUMBER(SEARCH("Program",C107)),ISNUMBER(SEARCH("Portfolio",C107))),80,60)))</f>
        <v/>
      </c>
      <c r="V107" s="52">
        <f>IF(C107="","",IF(OR(ISNUMBER(SEARCH("AI",C107)),ISNUMBER(SEARCH("Data",C107)),ISNUMBER(SEARCH("Technology",C107)),ISNUMBER(SEARCH("Technical",C107)),ISNUMBER(SEARCH("Engineering",C107)),ISNUMBER(SEARCH("Platform",C107)),ISNUMBER(SEARCH("Portfolio",C107))),85,65))</f>
        <v/>
      </c>
      <c r="W107" s="52">
        <f>IF(C107="","",MIN(100,50+IF(S107&lt;&gt;"",25,0)+IF(R107&lt;&gt;"",15,0)+IF(P107&lt;&gt;"",10,0)))</f>
        <v/>
      </c>
      <c r="X107" s="52">
        <f>IF(E107="","",IF(OR(E107="Canada",E107="CA"),100,IF(OR(E107="United States",E107="USA",E107="US"),IF(J107="Yes",45,75),65)))</f>
        <v/>
      </c>
      <c r="Y107" s="52">
        <f>IF(C107="","",IF(OR(ISNUMBER(SEARCH("Program",C107)),ISNUMBER(SEARCH("Portfolio",C107)),ISNUMBER(SEARCH("Operations",C107)),ISNUMBER(SEARCH("Transformation",C107))),85,IF(ISNUMBER(SEARCH("Product Manager",C107)),55,70)))</f>
        <v/>
      </c>
      <c r="Z107" s="52">
        <f>IF(C107="","",MIN(100,IF(I107&lt;&gt;"",60,10)+IF(AA107&gt;0,MIN(40,AA107*20),0)))</f>
        <v/>
      </c>
      <c r="AA107" s="52">
        <f>IF(T107="","",ROUND(T107*25%+U107*15%+V107*10%+W107*15%+X107*15%+Y107*10%+Z107*10%,0))</f>
        <v/>
      </c>
      <c r="AB107" s="52">
        <f>IF(AA107="","",IF(X107&lt;50,"Selective / Barrier",IF(AA107&gt;=80,"Tier 1 - Pursue",IF(AA107&gt;=70,"Tier 2 - Pursue",IF(AA107&gt;=60,"Tier 3 - Selective","Do Not Pursue")))))</f>
        <v/>
      </c>
      <c r="AC107" s="52">
        <f>IF(C107="","",IF(I107&lt;&gt;"","Named Contact",IF(AA107&gt;0,"Outreach Logged","Cold")))</f>
        <v/>
      </c>
      <c r="AD107" s="52">
        <f>IF(B107="","",COUNTIF('Outreach Log'!$C:$C,B107))</f>
        <v/>
      </c>
      <c r="AE107" s="52">
        <f>IF(A107="","",IF(OR(K107="Rejected",K107="Closed"),IF(L107&lt;&gt;"",L107-A107,TODAY()-A107),TODAY()-A107))</f>
        <v/>
      </c>
      <c r="AF107" s="52">
        <f>IF(C107="","",IF(AND(AA107&gt;=70,AC107="Cold"),"High-fit but cold",IF(AND(AA107&lt;60,K107="Applied"),"Low-fit application",IF(AND(AA107&gt;=70,OR(AC107="Named Contact",AC107="Outreach Logged")),"Targeted pursuit","Review"))))</f>
        <v/>
      </c>
    </row>
    <row r="108" ht="15" customHeight="1" s="44">
      <c r="A108" s="53" t="n">
        <v>46122</v>
      </c>
      <c r="B108" s="48" t="inlineStr">
        <is>
          <t>McKesson</t>
        </is>
      </c>
      <c r="C108" s="48" t="inlineStr">
        <is>
          <t>Principal Program Manager (JR0144844)</t>
        </is>
      </c>
      <c r="D108" s="48" t="inlineStr">
        <is>
          <t>Principal</t>
        </is>
      </c>
      <c r="E108" s="48" t="inlineStr">
        <is>
          <t>Canada</t>
        </is>
      </c>
      <c r="F108" s="48" t="inlineStr">
        <is>
          <t>Mississauga, ON</t>
        </is>
      </c>
      <c r="G108" s="48" t="n">
        <v>82</v>
      </c>
      <c r="H108" s="48" t="inlineStr">
        <is>
          <t>Cold Portal</t>
        </is>
      </c>
      <c r="I108" s="48" t="n"/>
      <c r="J108" s="48" t="inlineStr">
        <is>
          <t>No</t>
        </is>
      </c>
      <c r="K108" s="49" t="inlineStr">
        <is>
          <t>Rejected</t>
        </is>
      </c>
      <c r="L108" s="50" t="n">
        <v>46161</v>
      </c>
      <c r="M108" s="48">
        <f>IF(OR(L32="",A32=""),"",L32-A32)</f>
        <v/>
      </c>
      <c r="N108" s="48" t="n"/>
      <c r="O108" s="48" t="n"/>
      <c r="P108" s="51" t="inlineStr">
        <is>
          <t>Applied 2026-04-10 (confirmed via Workday confirmation email). REJECTED 2026-05-19 (confirmed via Workday rejection email): "After careful consideration, we regret to inform you that you have not been selected for this position." Distinct from rows 136 and 242. Est. fit score: 82 — Principal Program Manager closely matches her Principal-level targeting and core Program Management lane; healthcare vertical already has a strong precedent (row 136).</t>
        </is>
      </c>
      <c r="Q108" s="48" t="n"/>
      <c r="R108" s="48" t="n"/>
      <c r="S108" s="51" t="n"/>
      <c r="T108" s="52">
        <f>IF(G108="","",G108)</f>
        <v/>
      </c>
      <c r="U108" s="52">
        <f>IF(C108="","",IF(OR(ISNUMBER(SEARCH("Director",C108)),ISNUMBER(SEARCH("Lead",C108)),ISNUMBER(SEARCH("Senior",C108)),ISNUMBER(SEARCH("Sr.",C108))),90,IF(OR(ISNUMBER(SEARCH("Manager",C108)),ISNUMBER(SEARCH("Program",C108)),ISNUMBER(SEARCH("Portfolio",C108))),80,60)))</f>
        <v/>
      </c>
      <c r="V108" s="52">
        <f>IF(C108="","",IF(OR(ISNUMBER(SEARCH("AI",C108)),ISNUMBER(SEARCH("Data",C108)),ISNUMBER(SEARCH("Technology",C108)),ISNUMBER(SEARCH("Technical",C108)),ISNUMBER(SEARCH("Engineering",C108)),ISNUMBER(SEARCH("Platform",C108)),ISNUMBER(SEARCH("Portfolio",C108))),85,65))</f>
        <v/>
      </c>
      <c r="W108" s="52">
        <f>IF(C108="","",MIN(100,50+IF(S108&lt;&gt;"",25,0)+IF(R108&lt;&gt;"",15,0)+IF(P108&lt;&gt;"",10,0)))</f>
        <v/>
      </c>
      <c r="X108" s="52">
        <f>IF(E108="","",IF(OR(E108="Canada",E108="CA"),100,IF(OR(E108="United States",E108="USA",E108="US"),IF(J108="Yes",45,75),65)))</f>
        <v/>
      </c>
      <c r="Y108" s="52">
        <f>IF(C108="","",IF(OR(ISNUMBER(SEARCH("Program",C108)),ISNUMBER(SEARCH("Portfolio",C108)),ISNUMBER(SEARCH("Operations",C108)),ISNUMBER(SEARCH("Transformation",C108))),85,IF(ISNUMBER(SEARCH("Product Manager",C108)),55,70)))</f>
        <v/>
      </c>
      <c r="Z108" s="52">
        <f>IF(C108="","",MIN(100,IF(I108&lt;&gt;"",60,10)+IF(AA108&gt;0,MIN(40,AA108*20),0)))</f>
        <v/>
      </c>
      <c r="AA108" s="52">
        <f>IF(T108="","",ROUND(T108*25%+U108*15%+V108*10%+W108*15%+X108*15%+Y108*10%+Z108*10%,0))</f>
        <v/>
      </c>
      <c r="AB108" s="52">
        <f>IF(AA108="","",IF(X108&lt;50,"Selective / Barrier",IF(AA108&gt;=80,"Tier 1 - Pursue",IF(AA108&gt;=70,"Tier 2 - Pursue",IF(AA108&gt;=60,"Tier 3 - Selective","Do Not Pursue")))))</f>
        <v/>
      </c>
      <c r="AC108" s="52">
        <f>IF(C108="","",IF(I108&lt;&gt;"","Named Contact",IF(AA108&gt;0,"Outreach Logged","Cold")))</f>
        <v/>
      </c>
      <c r="AD108" s="52">
        <f>IF(B108="","",COUNTIF('Outreach Log'!$C:$C,B108))</f>
        <v/>
      </c>
      <c r="AE108" s="52">
        <f>IF(A108="","",IF(OR(K108="Rejected",K108="Closed"),IF(L108&lt;&gt;"",L108-A108,TODAY()-A108),TODAY()-A108))</f>
        <v/>
      </c>
      <c r="AF108" s="52">
        <f>IF(C108="","",IF(AND(AA108&gt;=70,AC108="Cold"),"High-fit but cold",IF(AND(AA108&lt;60,K108="Applied"),"Low-fit application",IF(AND(AA108&gt;=70,OR(AC108="Named Contact",AC108="Outreach Logged")),"Targeted pursuit","Review"))))</f>
        <v/>
      </c>
    </row>
    <row r="109" ht="15" customHeight="1" s="44">
      <c r="A109" s="53" t="n">
        <v>46132</v>
      </c>
      <c r="B109" s="48" t="inlineStr">
        <is>
          <t>Playlist</t>
        </is>
      </c>
      <c r="C109" s="48" t="inlineStr">
        <is>
          <t>Sr. Technical Program Manager, AI Special Projects</t>
        </is>
      </c>
      <c r="D109" s="48" t="inlineStr">
        <is>
          <t>Senior</t>
        </is>
      </c>
      <c r="E109" s="48" t="inlineStr">
        <is>
          <t>US</t>
        </is>
      </c>
      <c r="F109" s="48" t="inlineStr">
        <is>
          <t>US (unspecified)</t>
        </is>
      </c>
      <c r="G109" s="48" t="n">
        <v>71</v>
      </c>
      <c r="H109" s="48" t="inlineStr">
        <is>
          <t>Cold Portal</t>
        </is>
      </c>
      <c r="I109" s="48" t="n"/>
      <c r="J109" s="48" t="inlineStr">
        <is>
          <t>Yes</t>
        </is>
      </c>
      <c r="K109" s="49" t="inlineStr">
        <is>
          <t>Rejected</t>
        </is>
      </c>
      <c r="L109" s="48" t="n"/>
      <c r="M109" s="48">
        <f>IF(OR(L109="",A109=""),"",L109-A109)</f>
        <v/>
      </c>
      <c r="N109" s="48" t="n"/>
      <c r="O109" s="48" t="n"/>
      <c r="P109" s="51" t="inlineStr">
        <is>
          <t>From Greenhouse portal: 'Applied 5 months ago'; date approximate | User confirmed: Inactive status in Greenhouse = Rejected. | Reports to CTO; hands-on AI special projects across Playlist/Mindbody/ClassPass, blending TPM with Chief-of-Staff operating cadence. 5+ years leading cross-functional technical programs/special AI projects. Good fit: strong program leadership, executive communication, and cross-functional coordination overlap; role expects hands-on prototyping with LLM tools (Claude, Codex) directly, which is a moderate technical-depth gap versus program-oversight-level AI exposure. Base salary $99,450-$130,000 USD.</t>
        </is>
      </c>
      <c r="Q109" s="48" t="n"/>
      <c r="R109" s="48" t="inlineStr">
        <is>
          <t>Good fit — hands-on AI prototyping (Claude/Codex) is a moderate technical gap</t>
        </is>
      </c>
      <c r="S109" s="51" t="inlineStr">
        <is>
          <t>5+ yrs leading cross-functional technical/special AI programs. Hands-on LLM prototyping (Claude/Codex). Chief-of-Staff-style operating cadence. Executive-ready communication (reports to CTO).</t>
        </is>
      </c>
      <c r="T109" s="52">
        <f>IF(G109="","",G109)</f>
        <v/>
      </c>
      <c r="U109" s="52">
        <f>IF(C109="","",IF(OR(ISNUMBER(SEARCH("Director",C109)),ISNUMBER(SEARCH("Lead",C109)),ISNUMBER(SEARCH("Senior",C109)),ISNUMBER(SEARCH("Sr.",C109))),90,IF(OR(ISNUMBER(SEARCH("Manager",C109)),ISNUMBER(SEARCH("Program",C109)),ISNUMBER(SEARCH("Portfolio",C109))),80,60)))</f>
        <v/>
      </c>
      <c r="V109" s="52">
        <f>IF(C109="","",IF(OR(ISNUMBER(SEARCH("AI",C109)),ISNUMBER(SEARCH("Data",C109)),ISNUMBER(SEARCH("Technology",C109)),ISNUMBER(SEARCH("Technical",C109)),ISNUMBER(SEARCH("Engineering",C109)),ISNUMBER(SEARCH("Platform",C109)),ISNUMBER(SEARCH("Portfolio",C109))),85,65))</f>
        <v/>
      </c>
      <c r="W109" s="52">
        <f>IF(C109="","",MIN(100,50+IF(S109&lt;&gt;"",25,0)+IF(R109&lt;&gt;"",15,0)+IF(P109&lt;&gt;"",10,0)))</f>
        <v/>
      </c>
      <c r="X109" s="52">
        <f>IF(E109="","",IF(OR(E109="Canada",E109="CA"),100,IF(OR(E109="United States",E109="USA",E109="US"),IF(J109="Yes",45,75),65)))</f>
        <v/>
      </c>
      <c r="Y109" s="52">
        <f>IF(C109="","",IF(OR(ISNUMBER(SEARCH("Program",C109)),ISNUMBER(SEARCH("Portfolio",C109)),ISNUMBER(SEARCH("Operations",C109)),ISNUMBER(SEARCH("Transformation",C109))),85,IF(ISNUMBER(SEARCH("Product Manager",C109)),55,70)))</f>
        <v/>
      </c>
      <c r="Z109" s="52">
        <f>IF(C109="","",MIN(100,IF(I109&lt;&gt;"",60,10)+IF(AA109&gt;0,MIN(40,AA109*20),0)))</f>
        <v/>
      </c>
      <c r="AA109" s="52">
        <f>IF(T109="","",ROUND(T109*25%+U109*15%+V109*10%+W109*15%+X109*15%+Y109*10%+Z109*10%,0))</f>
        <v/>
      </c>
      <c r="AB109" s="52">
        <f>IF(AA109="","",IF(X109&lt;50,"Selective / Barrier",IF(AA109&gt;=80,"Tier 1 - Pursue",IF(AA109&gt;=70,"Tier 2 - Pursue",IF(AA109&gt;=60,"Tier 3 - Selective","Do Not Pursue")))))</f>
        <v/>
      </c>
      <c r="AC109" s="52">
        <f>IF(C109="","",IF(I109&lt;&gt;"","Named Contact",IF(AA109&gt;0,"Outreach Logged","Cold")))</f>
        <v/>
      </c>
      <c r="AD109" s="52">
        <f>IF(B109="","",COUNTIF('Outreach Log'!$C:$C,B109))</f>
        <v/>
      </c>
      <c r="AE109" s="52">
        <f>IF(A109="","",IF(OR(K109="Rejected",K109="Closed"),IF(L109&lt;&gt;"",L109-A109,TODAY()-A109),TODAY()-A109))</f>
        <v/>
      </c>
      <c r="AF109" s="52">
        <f>IF(C109="","",IF(AND(AA109&gt;=70,AC109="Cold"),"High-fit but cold",IF(AND(AA109&lt;60,K109="Applied"),"Low-fit application",IF(AND(AA109&gt;=70,OR(AC109="Named Contact",AC109="Outreach Logged")),"Targeted pursuit","Review"))))</f>
        <v/>
      </c>
    </row>
    <row r="110" ht="15" customHeight="1" s="44">
      <c r="A110" s="53" t="n">
        <v>46132</v>
      </c>
      <c r="B110" s="48" t="inlineStr">
        <is>
          <t>Databricks</t>
        </is>
      </c>
      <c r="C110" s="48" t="inlineStr">
        <is>
          <t>Senior Customer Enablement Program Manager</t>
        </is>
      </c>
      <c r="D110" s="48" t="inlineStr">
        <is>
          <t>Senior</t>
        </is>
      </c>
      <c r="E110" s="48" t="inlineStr">
        <is>
          <t>US</t>
        </is>
      </c>
      <c r="F110" s="48" t="inlineStr">
        <is>
          <t>US-Remote</t>
        </is>
      </c>
      <c r="G110" s="48" t="n">
        <v>55</v>
      </c>
      <c r="H110" s="48" t="inlineStr">
        <is>
          <t>Cold Portal</t>
        </is>
      </c>
      <c r="I110" s="48" t="n"/>
      <c r="J110" s="48" t="inlineStr">
        <is>
          <t>Yes</t>
        </is>
      </c>
      <c r="K110" s="49" t="inlineStr">
        <is>
          <t>Rejected</t>
        </is>
      </c>
      <c r="L110" s="48" t="n"/>
      <c r="M110" s="48">
        <f>IF(OR(L108="",A108=""),"",L108-A108)</f>
        <v/>
      </c>
      <c r="N110" s="48" t="n"/>
      <c r="O110" s="48" t="n"/>
      <c r="P110" s="51" t="inlineStr">
        <is>
          <t>From Greenhouse portal: 'Applied 5 months ago'; third distinct Databricks application (also has Staff Technical Project Manager and Staff Project Manager Professional Services logged); date approximate | User confirmed rejected (Sep 20, 2026). | Global Customer Enablement Practice; owns Scaled Customer Enablement Agent Suite (AI-driven training/enablement automation), free-to-paid nurture motion. 6+ years Sales Enablement/GTM Program Management/Sales Ops in SaaS. Lower fit: role is Sales Enablement/GTM-specific rather than core enterprise TPM/portfolio work, though AI-agent and cross-functional elements do overlap. Pay $93,900-$161,350 USD by zone.</t>
        </is>
      </c>
      <c r="Q110" s="48" t="n"/>
      <c r="R110" s="48" t="inlineStr">
        <is>
          <t>Role-type mismatch (Sales Enablement/GTM vs. core TPM)</t>
        </is>
      </c>
      <c r="S110" s="51" t="inlineStr">
        <is>
          <t>6+ yrs Sales Enablement/GTM PM/Sales Ops in SaaS. RAG-based AI tools (Glean). Cross-functional Sales/Marketing/Technical. Data dashboards.</t>
        </is>
      </c>
      <c r="T110" s="52">
        <f>IF(G110="","",G110)</f>
        <v/>
      </c>
      <c r="U110" s="52">
        <f>IF(C110="","",IF(OR(ISNUMBER(SEARCH("Director",C110)),ISNUMBER(SEARCH("Lead",C110)),ISNUMBER(SEARCH("Senior",C110)),ISNUMBER(SEARCH("Sr.",C110))),90,IF(OR(ISNUMBER(SEARCH("Manager",C110)),ISNUMBER(SEARCH("Program",C110)),ISNUMBER(SEARCH("Portfolio",C110))),80,60)))</f>
        <v/>
      </c>
      <c r="V110" s="52">
        <f>IF(C110="","",IF(OR(ISNUMBER(SEARCH("AI",C110)),ISNUMBER(SEARCH("Data",C110)),ISNUMBER(SEARCH("Technology",C110)),ISNUMBER(SEARCH("Technical",C110)),ISNUMBER(SEARCH("Engineering",C110)),ISNUMBER(SEARCH("Platform",C110)),ISNUMBER(SEARCH("Portfolio",C110))),85,65))</f>
        <v/>
      </c>
      <c r="W110" s="52">
        <f>IF(C110="","",MIN(100,50+IF(S110&lt;&gt;"",25,0)+IF(R110&lt;&gt;"",15,0)+IF(P110&lt;&gt;"",10,0)))</f>
        <v/>
      </c>
      <c r="X110" s="52">
        <f>IF(E110="","",IF(OR(E110="Canada",E110="CA"),100,IF(OR(E110="United States",E110="USA",E110="US"),IF(J110="Yes",45,75),65)))</f>
        <v/>
      </c>
      <c r="Y110" s="52">
        <f>IF(C110="","",IF(OR(ISNUMBER(SEARCH("Program",C110)),ISNUMBER(SEARCH("Portfolio",C110)),ISNUMBER(SEARCH("Operations",C110)),ISNUMBER(SEARCH("Transformation",C110))),85,IF(ISNUMBER(SEARCH("Product Manager",C110)),55,70)))</f>
        <v/>
      </c>
      <c r="Z110" s="52">
        <f>IF(C110="","",MIN(100,IF(I110&lt;&gt;"",60,10)+IF(AA110&gt;0,MIN(40,AA110*20),0)))</f>
        <v/>
      </c>
      <c r="AA110" s="52">
        <f>IF(T110="","",ROUND(T110*25%+U110*15%+V110*10%+W110*15%+X110*15%+Y110*10%+Z110*10%,0))</f>
        <v/>
      </c>
      <c r="AB110" s="52">
        <f>IF(AA110="","",IF(X110&lt;50,"Selective / Barrier",IF(AA110&gt;=80,"Tier 1 - Pursue",IF(AA110&gt;=70,"Tier 2 - Pursue",IF(AA110&gt;=60,"Tier 3 - Selective","Do Not Pursue")))))</f>
        <v/>
      </c>
      <c r="AC110" s="52">
        <f>IF(C110="","",IF(I110&lt;&gt;"","Named Contact",IF(AA110&gt;0,"Outreach Logged","Cold")))</f>
        <v/>
      </c>
      <c r="AD110" s="52">
        <f>IF(B110="","",COUNTIF('Outreach Log'!$C:$C,B110))</f>
        <v/>
      </c>
      <c r="AE110" s="52">
        <f>IF(A110="","",IF(OR(K110="Rejected",K110="Closed"),IF(L110&lt;&gt;"",L110-A110,TODAY()-A110),TODAY()-A110))</f>
        <v/>
      </c>
      <c r="AF110" s="52">
        <f>IF(C110="","",IF(AND(AA110&gt;=70,AC110="Cold"),"High-fit but cold",IF(AND(AA110&lt;60,K110="Applied"),"Low-fit application",IF(AND(AA110&gt;=70,OR(AC110="Named Contact",AC110="Outreach Logged")),"Targeted pursuit","Review"))))</f>
        <v/>
      </c>
    </row>
    <row r="111" ht="15" customHeight="1" s="44">
      <c r="A111" s="53" t="n">
        <v>46132</v>
      </c>
      <c r="B111" s="48" t="inlineStr">
        <is>
          <t>Realtor.com Careers</t>
        </is>
      </c>
      <c r="C111" s="48" t="inlineStr">
        <is>
          <t>PMO Strategic Director, AI Transformation Programs</t>
        </is>
      </c>
      <c r="D111" s="48" t="inlineStr">
        <is>
          <t>Director</t>
        </is>
      </c>
      <c r="E111" s="48" t="inlineStr">
        <is>
          <t>US</t>
        </is>
      </c>
      <c r="F111" s="48" t="inlineStr">
        <is>
          <t>Austin, TX (in-office 3+ days/week)</t>
        </is>
      </c>
      <c r="G111" s="48" t="n">
        <v>74</v>
      </c>
      <c r="H111" s="48" t="inlineStr">
        <is>
          <t>Cold Portal</t>
        </is>
      </c>
      <c r="I111" s="48" t="n"/>
      <c r="J111" s="48" t="inlineStr">
        <is>
          <t>Yes</t>
        </is>
      </c>
      <c r="K111" s="49" t="inlineStr">
        <is>
          <t>Rejected</t>
        </is>
      </c>
      <c r="L111" s="48" t="n"/>
      <c r="M111" s="48">
        <f>IF(OR(L111="",A111=""),"",L111-A111)</f>
        <v/>
      </c>
      <c r="N111" s="48" t="n"/>
      <c r="O111" s="48" t="n"/>
      <c r="P111" s="51" t="inlineStr">
        <is>
          <t>From Greenhouse portal: 'Applied 5 months ago'; date approximate | User confirmed rejected (Sep 20, 2026). | Shapes PMO strategy for AI organizational transformation: capacity modeling for automation impact, strategic hiring plans (ML Engineers/Prompt Engineers), org restructuring for AI integration. 12-15 years corporate strategy/management consulting/PMO leadership, significant AI/ML product development or program management experience. Strong fit: closely mirrors enterprise PMO leadership, AI transformation strategy, and executive stakeholder management background; real estate industry experience (a plus, not required) is a minor gap. In-office 3+ days/week in Austin.</t>
        </is>
      </c>
      <c r="Q111" s="48" t="n"/>
      <c r="R111" s="48" t="inlineStr">
        <is>
          <t>Strong fit — real estate industry experience is a minor (not required) gap</t>
        </is>
      </c>
      <c r="S111" s="51" t="inlineStr">
        <is>
          <t>12-15 yrs corporate strategy/consulting/PMO leadership. AI/ML product dev or program mgmt experience. Capacity modeling, strategic hiring for AI talent. MBA/PMP/ML cert preferred.</t>
        </is>
      </c>
      <c r="T111" s="52">
        <f>IF(G111="","",G111)</f>
        <v/>
      </c>
      <c r="U111" s="52">
        <f>IF(C111="","",IF(OR(ISNUMBER(SEARCH("Director",C111)),ISNUMBER(SEARCH("Lead",C111)),ISNUMBER(SEARCH("Senior",C111)),ISNUMBER(SEARCH("Sr.",C111))),90,IF(OR(ISNUMBER(SEARCH("Manager",C111)),ISNUMBER(SEARCH("Program",C111)),ISNUMBER(SEARCH("Portfolio",C111))),80,60)))</f>
        <v/>
      </c>
      <c r="V111" s="52">
        <f>IF(C111="","",IF(OR(ISNUMBER(SEARCH("AI",C111)),ISNUMBER(SEARCH("Data",C111)),ISNUMBER(SEARCH("Technology",C111)),ISNUMBER(SEARCH("Technical",C111)),ISNUMBER(SEARCH("Engineering",C111)),ISNUMBER(SEARCH("Platform",C111)),ISNUMBER(SEARCH("Portfolio",C111))),85,65))</f>
        <v/>
      </c>
      <c r="W111" s="52">
        <f>IF(C111="","",MIN(100,50+IF(S111&lt;&gt;"",25,0)+IF(R111&lt;&gt;"",15,0)+IF(P111&lt;&gt;"",10,0)))</f>
        <v/>
      </c>
      <c r="X111" s="52">
        <f>IF(E111="","",IF(OR(E111="Canada",E111="CA"),100,IF(OR(E111="United States",E111="USA",E111="US"),IF(J111="Yes",45,75),65)))</f>
        <v/>
      </c>
      <c r="Y111" s="52">
        <f>IF(C111="","",IF(OR(ISNUMBER(SEARCH("Program",C111)),ISNUMBER(SEARCH("Portfolio",C111)),ISNUMBER(SEARCH("Operations",C111)),ISNUMBER(SEARCH("Transformation",C111))),85,IF(ISNUMBER(SEARCH("Product Manager",C111)),55,70)))</f>
        <v/>
      </c>
      <c r="Z111" s="52">
        <f>IF(C111="","",MIN(100,IF(I111&lt;&gt;"",60,10)+IF(AA111&gt;0,MIN(40,AA111*20),0)))</f>
        <v/>
      </c>
      <c r="AA111" s="52">
        <f>IF(T111="","",ROUND(T111*25%+U111*15%+V111*10%+W111*15%+X111*15%+Y111*10%+Z111*10%,0))</f>
        <v/>
      </c>
      <c r="AB111" s="52">
        <f>IF(AA111="","",IF(X111&lt;50,"Selective / Barrier",IF(AA111&gt;=80,"Tier 1 - Pursue",IF(AA111&gt;=70,"Tier 2 - Pursue",IF(AA111&gt;=60,"Tier 3 - Selective","Do Not Pursue")))))</f>
        <v/>
      </c>
      <c r="AC111" s="52">
        <f>IF(C111="","",IF(I111&lt;&gt;"","Named Contact",IF(AA111&gt;0,"Outreach Logged","Cold")))</f>
        <v/>
      </c>
      <c r="AD111" s="52">
        <f>IF(B111="","",COUNTIF('Outreach Log'!$C:$C,B111))</f>
        <v/>
      </c>
      <c r="AE111" s="52">
        <f>IF(A111="","",IF(OR(K111="Rejected",K111="Closed"),IF(L111&lt;&gt;"",L111-A111,TODAY()-A111),TODAY()-A111))</f>
        <v/>
      </c>
      <c r="AF111" s="52">
        <f>IF(C111="","",IF(AND(AA111&gt;=70,AC111="Cold"),"High-fit but cold",IF(AND(AA111&lt;60,K111="Applied"),"Low-fit application",IF(AND(AA111&gt;=70,OR(AC111="Named Contact",AC111="Outreach Logged")),"Targeted pursuit","Review"))))</f>
        <v/>
      </c>
    </row>
    <row r="112" ht="15" customHeight="1" s="44">
      <c r="A112" s="53" t="n">
        <v>46147</v>
      </c>
      <c r="B112" s="48" t="inlineStr">
        <is>
          <t>Kforce Inc</t>
        </is>
      </c>
      <c r="C112" s="48" t="inlineStr">
        <is>
          <t>Project/Program Manager</t>
        </is>
      </c>
      <c r="D112" s="48" t="inlineStr">
        <is>
          <t>PM</t>
        </is>
      </c>
      <c r="E112" s="48" t="inlineStr">
        <is>
          <t>US</t>
        </is>
      </c>
      <c r="F112" s="48" t="inlineStr">
        <is>
          <t>Arlington, VA</t>
        </is>
      </c>
      <c r="G112" s="48" t="n">
        <v>55</v>
      </c>
      <c r="H112" s="48" t="inlineStr">
        <is>
          <t>LinkedIn</t>
        </is>
      </c>
      <c r="I112" s="48" t="n"/>
      <c r="J112" s="48" t="inlineStr">
        <is>
          <t>Yes</t>
        </is>
      </c>
      <c r="K112" s="56" t="inlineStr">
        <is>
          <t>Ghosted (30d+)</t>
        </is>
      </c>
      <c r="L112" s="48" t="n"/>
      <c r="M112" s="48">
        <f>IF(OR(L33="",A33=""),"",L33-A33)</f>
        <v/>
      </c>
      <c r="N112" s="48" t="n"/>
      <c r="O112" s="48" t="n"/>
      <c r="P112" s="51" t="inlineStr">
        <is>
          <t>On-site, staffing agency placement. LinkedIn shows no longer accepting applications.</t>
        </is>
      </c>
      <c r="Q112" s="48" t="n"/>
      <c r="R112" s="48" t="n"/>
      <c r="S112" s="51" t="n"/>
      <c r="T112" s="52">
        <f>IF(G112="","",G112)</f>
        <v/>
      </c>
      <c r="U112" s="52">
        <f>IF(C112="","",IF(OR(ISNUMBER(SEARCH("Director",C112)),ISNUMBER(SEARCH("Lead",C112)),ISNUMBER(SEARCH("Senior",C112)),ISNUMBER(SEARCH("Sr.",C112))),90,IF(OR(ISNUMBER(SEARCH("Manager",C112)),ISNUMBER(SEARCH("Program",C112)),ISNUMBER(SEARCH("Portfolio",C112))),80,60)))</f>
        <v/>
      </c>
      <c r="V112" s="52">
        <f>IF(C112="","",IF(OR(ISNUMBER(SEARCH("AI",C112)),ISNUMBER(SEARCH("Data",C112)),ISNUMBER(SEARCH("Technology",C112)),ISNUMBER(SEARCH("Technical",C112)),ISNUMBER(SEARCH("Engineering",C112)),ISNUMBER(SEARCH("Platform",C112)),ISNUMBER(SEARCH("Portfolio",C112))),85,65))</f>
        <v/>
      </c>
      <c r="W112" s="52">
        <f>IF(C112="","",MIN(100,50+IF(S112&lt;&gt;"",25,0)+IF(R112&lt;&gt;"",15,0)+IF(P112&lt;&gt;"",10,0)))</f>
        <v/>
      </c>
      <c r="X112" s="52">
        <f>IF(E112="","",IF(OR(E112="Canada",E112="CA"),100,IF(OR(E112="United States",E112="USA",E112="US"),IF(J112="Yes",45,75),65)))</f>
        <v/>
      </c>
      <c r="Y112" s="52">
        <f>IF(C112="","",IF(OR(ISNUMBER(SEARCH("Program",C112)),ISNUMBER(SEARCH("Portfolio",C112)),ISNUMBER(SEARCH("Operations",C112)),ISNUMBER(SEARCH("Transformation",C112))),85,IF(ISNUMBER(SEARCH("Product Manager",C112)),55,70)))</f>
        <v/>
      </c>
      <c r="Z112" s="52">
        <f>IF(C112="","",MIN(100,IF(I112&lt;&gt;"",60,10)+IF(AA112&gt;0,MIN(40,AA112*20),0)))</f>
        <v/>
      </c>
      <c r="AA112" s="52">
        <f>IF(T112="","",ROUND(T112*25%+U112*15%+V112*10%+W112*15%+X112*15%+Y112*10%+Z112*10%,0))</f>
        <v/>
      </c>
      <c r="AB112" s="52">
        <f>IF(AA112="","",IF(X112&lt;50,"Selective / Barrier",IF(AA112&gt;=80,"Tier 1 - Pursue",IF(AA112&gt;=70,"Tier 2 - Pursue",IF(AA112&gt;=60,"Tier 3 - Selective","Do Not Pursue")))))</f>
        <v/>
      </c>
      <c r="AC112" s="52">
        <f>IF(C112="","",IF(I112&lt;&gt;"","Named Contact",IF(AA112&gt;0,"Outreach Logged","Cold")))</f>
        <v/>
      </c>
      <c r="AD112" s="52">
        <f>IF(B112="","",COUNTIF('Outreach Log'!$C:$C,B112))</f>
        <v/>
      </c>
      <c r="AE112" s="52">
        <f>IF(A112="","",IF(OR(K112="Rejected",K112="Closed"),IF(L112&lt;&gt;"",L112-A112,TODAY()-A112),TODAY()-A112))</f>
        <v/>
      </c>
      <c r="AF112" s="52">
        <f>IF(C112="","",IF(AND(AA112&gt;=70,AC112="Cold"),"High-fit but cold",IF(AND(AA112&lt;60,K112="Applied"),"Low-fit application",IF(AND(AA112&gt;=70,OR(AC112="Named Contact",AC112="Outreach Logged")),"Targeted pursuit","Review"))))</f>
        <v/>
      </c>
    </row>
    <row r="113" ht="15" customHeight="1" s="44">
      <c r="A113" s="53" t="n">
        <v>46147</v>
      </c>
      <c r="B113" s="48" t="inlineStr">
        <is>
          <t>Accurate Background</t>
        </is>
      </c>
      <c r="C113" s="48" t="inlineStr">
        <is>
          <t>AI Program Manager</t>
        </is>
      </c>
      <c r="D113" s="48" t="inlineStr">
        <is>
          <t>PM</t>
        </is>
      </c>
      <c r="E113" s="48" t="inlineStr">
        <is>
          <t>US</t>
        </is>
      </c>
      <c r="F113" s="48" t="inlineStr">
        <is>
          <t>Remote</t>
        </is>
      </c>
      <c r="G113" s="48" t="n">
        <v>65</v>
      </c>
      <c r="H113" s="48" t="inlineStr">
        <is>
          <t>LinkedIn</t>
        </is>
      </c>
      <c r="I113" s="48" t="n"/>
      <c r="J113" s="48" t="inlineStr">
        <is>
          <t>Yes</t>
        </is>
      </c>
      <c r="K113" s="56" t="inlineStr">
        <is>
          <t>Ghosted (30d+)</t>
        </is>
      </c>
      <c r="L113" s="48" t="n"/>
      <c r="M113" s="48">
        <f>IF(OR(L34="",A34=""),"",L34-A34)</f>
        <v/>
      </c>
      <c r="N113" s="48" t="n"/>
      <c r="O113" s="48" t="n"/>
      <c r="P113" s="51" t="inlineStr">
        <is>
          <t>Remote. LinkedIn shows no longer accepting applications.</t>
        </is>
      </c>
      <c r="Q113" s="48" t="n"/>
      <c r="R113" s="48" t="n"/>
      <c r="S113" s="51" t="n"/>
      <c r="T113" s="52">
        <f>IF(G113="","",G113)</f>
        <v/>
      </c>
      <c r="U113" s="52">
        <f>IF(C113="","",IF(OR(ISNUMBER(SEARCH("Director",C113)),ISNUMBER(SEARCH("Lead",C113)),ISNUMBER(SEARCH("Senior",C113)),ISNUMBER(SEARCH("Sr.",C113))),90,IF(OR(ISNUMBER(SEARCH("Manager",C113)),ISNUMBER(SEARCH("Program",C113)),ISNUMBER(SEARCH("Portfolio",C113))),80,60)))</f>
        <v/>
      </c>
      <c r="V113" s="52">
        <f>IF(C113="","",IF(OR(ISNUMBER(SEARCH("AI",C113)),ISNUMBER(SEARCH("Data",C113)),ISNUMBER(SEARCH("Technology",C113)),ISNUMBER(SEARCH("Technical",C113)),ISNUMBER(SEARCH("Engineering",C113)),ISNUMBER(SEARCH("Platform",C113)),ISNUMBER(SEARCH("Portfolio",C113))),85,65))</f>
        <v/>
      </c>
      <c r="W113" s="52">
        <f>IF(C113="","",MIN(100,50+IF(S113&lt;&gt;"",25,0)+IF(R113&lt;&gt;"",15,0)+IF(P113&lt;&gt;"",10,0)))</f>
        <v/>
      </c>
      <c r="X113" s="52">
        <f>IF(E113="","",IF(OR(E113="Canada",E113="CA"),100,IF(OR(E113="United States",E113="USA",E113="US"),IF(J113="Yes",45,75),65)))</f>
        <v/>
      </c>
      <c r="Y113" s="52">
        <f>IF(C113="","",IF(OR(ISNUMBER(SEARCH("Program",C113)),ISNUMBER(SEARCH("Portfolio",C113)),ISNUMBER(SEARCH("Operations",C113)),ISNUMBER(SEARCH("Transformation",C113))),85,IF(ISNUMBER(SEARCH("Product Manager",C113)),55,70)))</f>
        <v/>
      </c>
      <c r="Z113" s="52">
        <f>IF(C113="","",MIN(100,IF(I113&lt;&gt;"",60,10)+IF(AA113&gt;0,MIN(40,AA113*20),0)))</f>
        <v/>
      </c>
      <c r="AA113" s="52">
        <f>IF(T113="","",ROUND(T113*25%+U113*15%+V113*10%+W113*15%+X113*15%+Y113*10%+Z113*10%,0))</f>
        <v/>
      </c>
      <c r="AB113" s="52">
        <f>IF(AA113="","",IF(X113&lt;50,"Selective / Barrier",IF(AA113&gt;=80,"Tier 1 - Pursue",IF(AA113&gt;=70,"Tier 2 - Pursue",IF(AA113&gt;=60,"Tier 3 - Selective","Do Not Pursue")))))</f>
        <v/>
      </c>
      <c r="AC113" s="52">
        <f>IF(C113="","",IF(I113&lt;&gt;"","Named Contact",IF(AA113&gt;0,"Outreach Logged","Cold")))</f>
        <v/>
      </c>
      <c r="AD113" s="52">
        <f>IF(B113="","",COUNTIF('Outreach Log'!$C:$C,B113))</f>
        <v/>
      </c>
      <c r="AE113" s="52">
        <f>IF(A113="","",IF(OR(K113="Rejected",K113="Closed"),IF(L113&lt;&gt;"",L113-A113,TODAY()-A113),TODAY()-A113))</f>
        <v/>
      </c>
      <c r="AF113" s="52">
        <f>IF(C113="","",IF(AND(AA113&gt;=70,AC113="Cold"),"High-fit but cold",IF(AND(AA113&lt;60,K113="Applied"),"Low-fit application",IF(AND(AA113&gt;=70,OR(AC113="Named Contact",AC113="Outreach Logged")),"Targeted pursuit","Review"))))</f>
        <v/>
      </c>
    </row>
    <row r="114" ht="15" customHeight="1" s="44">
      <c r="A114" s="53" t="n">
        <v>46157</v>
      </c>
      <c r="B114" s="48" t="inlineStr">
        <is>
          <t>Loblaw Digital</t>
        </is>
      </c>
      <c r="C114" s="48" t="inlineStr">
        <is>
          <t>Director, Technical Program Management</t>
        </is>
      </c>
      <c r="D114" s="48" t="inlineStr">
        <is>
          <t>Director</t>
        </is>
      </c>
      <c r="E114" s="48" t="inlineStr">
        <is>
          <t>Canada</t>
        </is>
      </c>
      <c r="F114" s="48" t="inlineStr">
        <is>
          <t>Toronto</t>
        </is>
      </c>
      <c r="G114" s="48" t="n"/>
      <c r="H114" s="48" t="inlineStr">
        <is>
          <t>Cold Portal</t>
        </is>
      </c>
      <c r="I114" s="48" t="n"/>
      <c r="J114" s="48" t="inlineStr">
        <is>
          <t>No</t>
        </is>
      </c>
      <c r="K114" s="49" t="inlineStr">
        <is>
          <t>Rejected</t>
        </is>
      </c>
      <c r="L114" s="48" t="n"/>
      <c r="M114" s="48">
        <f>IF(OR(L35="",A35=""),"",L35-A35)</f>
        <v/>
      </c>
      <c r="N114" s="48" t="n"/>
      <c r="O114" s="48" t="n"/>
      <c r="P114" s="51" t="inlineStr">
        <is>
          <t>REJECTED (date unconfirmed): Loblaw Workday portal (req R2000659321) shows "Not Selected For Job." Applied 2026-05-15. Retroactively logged — was missing from tracker; found via portal screenshot review 2026-09-12. Exact decision date not shown in portal.</t>
        </is>
      </c>
      <c r="Q114" s="48" t="n"/>
      <c r="R114" s="48" t="n"/>
      <c r="S114" s="51" t="n"/>
      <c r="T114" s="52">
        <f>IF(G114="","",G114)</f>
        <v/>
      </c>
      <c r="U114" s="52">
        <f>IF(C114="","",IF(OR(ISNUMBER(SEARCH("Director",C114)),ISNUMBER(SEARCH("Lead",C114)),ISNUMBER(SEARCH("Senior",C114)),ISNUMBER(SEARCH("Sr.",C114))),90,IF(OR(ISNUMBER(SEARCH("Manager",C114)),ISNUMBER(SEARCH("Program",C114)),ISNUMBER(SEARCH("Portfolio",C114))),80,60)))</f>
        <v/>
      </c>
      <c r="V114" s="52">
        <f>IF(C114="","",IF(OR(ISNUMBER(SEARCH("AI",C114)),ISNUMBER(SEARCH("Data",C114)),ISNUMBER(SEARCH("Technology",C114)),ISNUMBER(SEARCH("Technical",C114)),ISNUMBER(SEARCH("Engineering",C114)),ISNUMBER(SEARCH("Platform",C114)),ISNUMBER(SEARCH("Portfolio",C114))),85,65))</f>
        <v/>
      </c>
      <c r="W114" s="52">
        <f>IF(C114="","",MIN(100,50+IF(S114&lt;&gt;"",25,0)+IF(R114&lt;&gt;"",15,0)+IF(P114&lt;&gt;"",10,0)))</f>
        <v/>
      </c>
      <c r="X114" s="52">
        <f>IF(E114="","",IF(OR(E114="Canada",E114="CA"),100,IF(OR(E114="United States",E114="USA",E114="US"),IF(J114="Yes",45,75),65)))</f>
        <v/>
      </c>
      <c r="Y114" s="52">
        <f>IF(C114="","",IF(OR(ISNUMBER(SEARCH("Program",C114)),ISNUMBER(SEARCH("Portfolio",C114)),ISNUMBER(SEARCH("Operations",C114)),ISNUMBER(SEARCH("Transformation",C114))),85,IF(ISNUMBER(SEARCH("Product Manager",C114)),55,70)))</f>
        <v/>
      </c>
      <c r="Z114" s="52">
        <f>IF(C114="","",MIN(100,IF(I114&lt;&gt;"",60,10)+IF(AA114&gt;0,MIN(40,AA114*20),0)))</f>
        <v/>
      </c>
      <c r="AA114" s="52">
        <f>IF(T114="","",ROUND(T114*25%+U114*15%+V114*10%+W114*15%+X114*15%+Y114*10%+Z114*10%,0))</f>
        <v/>
      </c>
      <c r="AB114" s="52">
        <f>IF(AA114="","",IF(X114&lt;50,"Selective / Barrier",IF(AA114&gt;=80,"Tier 1 - Pursue",IF(AA114&gt;=70,"Tier 2 - Pursue",IF(AA114&gt;=60,"Tier 3 - Selective","Do Not Pursue")))))</f>
        <v/>
      </c>
      <c r="AC114" s="52">
        <f>IF(C114="","",IF(I114&lt;&gt;"","Named Contact",IF(AA114&gt;0,"Outreach Logged","Cold")))</f>
        <v/>
      </c>
      <c r="AD114" s="52">
        <f>IF(B114="","",COUNTIF('Outreach Log'!$C:$C,B114))</f>
        <v/>
      </c>
      <c r="AE114" s="52">
        <f>IF(A114="","",IF(OR(K114="Rejected",K114="Closed"),IF(L114&lt;&gt;"",L114-A114,TODAY()-A114),TODAY()-A114))</f>
        <v/>
      </c>
      <c r="AF114" s="52">
        <f>IF(C114="","",IF(AND(AA114&gt;=70,AC114="Cold"),"High-fit but cold",IF(AND(AA114&lt;60,K114="Applied"),"Low-fit application",IF(AND(AA114&gt;=70,OR(AC114="Named Contact",AC114="Outreach Logged")),"Targeted pursuit","Review"))))</f>
        <v/>
      </c>
    </row>
    <row r="115" ht="15" customHeight="1" s="44">
      <c r="A115" s="53" t="n">
        <v>46175</v>
      </c>
      <c r="B115" s="48" t="inlineStr">
        <is>
          <t>AMD</t>
        </is>
      </c>
      <c r="C115" s="48" t="inlineStr">
        <is>
          <t>Director, Program Management (AI)</t>
        </is>
      </c>
      <c r="D115" s="48" t="inlineStr">
        <is>
          <t>Director</t>
        </is>
      </c>
      <c r="E115" s="48" t="inlineStr">
        <is>
          <t>US</t>
        </is>
      </c>
      <c r="F115" s="48" t="inlineStr">
        <is>
          <t>San Jose, CA</t>
        </is>
      </c>
      <c r="G115" s="48" t="n">
        <v>78</v>
      </c>
      <c r="H115" s="48" t="inlineStr">
        <is>
          <t>LinkedIn</t>
        </is>
      </c>
      <c r="I115" s="48" t="n"/>
      <c r="J115" s="48" t="inlineStr">
        <is>
          <t>Yes</t>
        </is>
      </c>
      <c r="K115" s="49" t="inlineStr">
        <is>
          <t>Rejected</t>
        </is>
      </c>
      <c r="L115" s="48" t="n"/>
      <c r="M115" s="48">
        <f>IF(OR(L36="",A36=""),"",L36-A36)</f>
        <v/>
      </c>
      <c r="N115" s="48" t="n"/>
      <c r="O115" s="48" t="n"/>
      <c r="P115" s="51" t="inlineStr">
        <is>
          <t>Hybrid. LinkedIn shows no longer accepting applications. | REJECTED, confirmed via AMD candidate portal (req 2026-77733, "Director, Program Management (AI infrastructure)") 2026-09-13: "No longer under consideration for the role", last updated 6/2/2026. (Corrected from Ghosted.) | Date Applied confirmed 2026-06-02 per AMD confirmation email. Response Date cleared 2026-09-14: no separate rejection email exists; the portal screenshot's "Last Update: 6/2/2026" appears to just reflect the submission timestamp, not an actual decision date — exact rejection date unconfirmed.</t>
        </is>
      </c>
      <c r="Q115" s="48" t="n"/>
      <c r="R115" s="48" t="n"/>
      <c r="S115" s="51" t="n"/>
      <c r="T115" s="52">
        <f>IF(G115="","",G115)</f>
        <v/>
      </c>
      <c r="U115" s="52">
        <f>IF(C115="","",IF(OR(ISNUMBER(SEARCH("Director",C115)),ISNUMBER(SEARCH("Lead",C115)),ISNUMBER(SEARCH("Senior",C115)),ISNUMBER(SEARCH("Sr.",C115))),90,IF(OR(ISNUMBER(SEARCH("Manager",C115)),ISNUMBER(SEARCH("Program",C115)),ISNUMBER(SEARCH("Portfolio",C115))),80,60)))</f>
        <v/>
      </c>
      <c r="V115" s="52">
        <f>IF(C115="","",IF(OR(ISNUMBER(SEARCH("AI",C115)),ISNUMBER(SEARCH("Data",C115)),ISNUMBER(SEARCH("Technology",C115)),ISNUMBER(SEARCH("Technical",C115)),ISNUMBER(SEARCH("Engineering",C115)),ISNUMBER(SEARCH("Platform",C115)),ISNUMBER(SEARCH("Portfolio",C115))),85,65))</f>
        <v/>
      </c>
      <c r="W115" s="52">
        <f>IF(C115="","",MIN(100,50+IF(S115&lt;&gt;"",25,0)+IF(R115&lt;&gt;"",15,0)+IF(P115&lt;&gt;"",10,0)))</f>
        <v/>
      </c>
      <c r="X115" s="52">
        <f>IF(E115="","",IF(OR(E115="Canada",E115="CA"),100,IF(OR(E115="United States",E115="USA",E115="US"),IF(J115="Yes",45,75),65)))</f>
        <v/>
      </c>
      <c r="Y115" s="52">
        <f>IF(C115="","",IF(OR(ISNUMBER(SEARCH("Program",C115)),ISNUMBER(SEARCH("Portfolio",C115)),ISNUMBER(SEARCH("Operations",C115)),ISNUMBER(SEARCH("Transformation",C115))),85,IF(ISNUMBER(SEARCH("Product Manager",C115)),55,70)))</f>
        <v/>
      </c>
      <c r="Z115" s="52">
        <f>IF(C115="","",MIN(100,IF(I115&lt;&gt;"",60,10)+IF(AA115&gt;0,MIN(40,AA115*20),0)))</f>
        <v/>
      </c>
      <c r="AA115" s="52">
        <f>IF(T115="","",ROUND(T115*25%+U115*15%+V115*10%+W115*15%+X115*15%+Y115*10%+Z115*10%,0))</f>
        <v/>
      </c>
      <c r="AB115" s="52">
        <f>IF(AA115="","",IF(X115&lt;50,"Selective / Barrier",IF(AA115&gt;=80,"Tier 1 - Pursue",IF(AA115&gt;=70,"Tier 2 - Pursue",IF(AA115&gt;=60,"Tier 3 - Selective","Do Not Pursue")))))</f>
        <v/>
      </c>
      <c r="AC115" s="52">
        <f>IF(C115="","",IF(I115&lt;&gt;"","Named Contact",IF(AA115&gt;0,"Outreach Logged","Cold")))</f>
        <v/>
      </c>
      <c r="AD115" s="52">
        <f>IF(B115="","",COUNTIF('Outreach Log'!$C:$C,B115))</f>
        <v/>
      </c>
      <c r="AE115" s="52">
        <f>IF(A115="","",IF(OR(K115="Rejected",K115="Closed"),IF(L115&lt;&gt;"",L115-A115,TODAY()-A115),TODAY()-A115))</f>
        <v/>
      </c>
      <c r="AF115" s="52">
        <f>IF(C115="","",IF(AND(AA115&gt;=70,AC115="Cold"),"High-fit but cold",IF(AND(AA115&lt;60,K115="Applied"),"Low-fit application",IF(AND(AA115&gt;=70,OR(AC115="Named Contact",AC115="Outreach Logged")),"Targeted pursuit","Review"))))</f>
        <v/>
      </c>
    </row>
    <row r="116" ht="15" customHeight="1" s="44">
      <c r="A116" s="53" t="n">
        <v>46178</v>
      </c>
      <c r="B116" s="48" t="inlineStr">
        <is>
          <t>Roku</t>
        </is>
      </c>
      <c r="C116" s="48" t="inlineStr">
        <is>
          <t>AI Program Manager</t>
        </is>
      </c>
      <c r="D116" s="48" t="inlineStr">
        <is>
          <t>PM</t>
        </is>
      </c>
      <c r="E116" s="48" t="inlineStr">
        <is>
          <t>US</t>
        </is>
      </c>
      <c r="F116" s="48" t="inlineStr">
        <is>
          <t>New York, NY</t>
        </is>
      </c>
      <c r="G116" s="48" t="n">
        <v>70</v>
      </c>
      <c r="H116" s="48" t="inlineStr">
        <is>
          <t>LinkedIn</t>
        </is>
      </c>
      <c r="I116" s="48" t="n"/>
      <c r="J116" s="48" t="inlineStr">
        <is>
          <t>Yes</t>
        </is>
      </c>
      <c r="K116" s="56" t="inlineStr">
        <is>
          <t>Ghosted (30d+)</t>
        </is>
      </c>
      <c r="L116" s="48" t="n"/>
      <c r="M116" s="48">
        <f>IF(OR(L37="",A37=""),"",L37-A37)</f>
        <v/>
      </c>
      <c r="N116" s="48" t="n"/>
      <c r="O116" s="48" t="n"/>
      <c r="P116" s="51" t="inlineStr">
        <is>
          <t>Hybrid. LinkedIn shows no longer accepting applications; no rejection email found.</t>
        </is>
      </c>
      <c r="Q116" s="48" t="n"/>
      <c r="R116" s="48" t="n"/>
      <c r="S116" s="51" t="n"/>
      <c r="T116" s="52">
        <f>IF(G116="","",G116)</f>
        <v/>
      </c>
      <c r="U116" s="52">
        <f>IF(C116="","",IF(OR(ISNUMBER(SEARCH("Director",C116)),ISNUMBER(SEARCH("Lead",C116)),ISNUMBER(SEARCH("Senior",C116)),ISNUMBER(SEARCH("Sr.",C116))),90,IF(OR(ISNUMBER(SEARCH("Manager",C116)),ISNUMBER(SEARCH("Program",C116)),ISNUMBER(SEARCH("Portfolio",C116))),80,60)))</f>
        <v/>
      </c>
      <c r="V116" s="52">
        <f>IF(C116="","",IF(OR(ISNUMBER(SEARCH("AI",C116)),ISNUMBER(SEARCH("Data",C116)),ISNUMBER(SEARCH("Technology",C116)),ISNUMBER(SEARCH("Technical",C116)),ISNUMBER(SEARCH("Engineering",C116)),ISNUMBER(SEARCH("Platform",C116)),ISNUMBER(SEARCH("Portfolio",C116))),85,65))</f>
        <v/>
      </c>
      <c r="W116" s="52">
        <f>IF(C116="","",MIN(100,50+IF(S116&lt;&gt;"",25,0)+IF(R116&lt;&gt;"",15,0)+IF(P116&lt;&gt;"",10,0)))</f>
        <v/>
      </c>
      <c r="X116" s="52">
        <f>IF(E116="","",IF(OR(E116="Canada",E116="CA"),100,IF(OR(E116="United States",E116="USA",E116="US"),IF(J116="Yes",45,75),65)))</f>
        <v/>
      </c>
      <c r="Y116" s="52">
        <f>IF(C116="","",IF(OR(ISNUMBER(SEARCH("Program",C116)),ISNUMBER(SEARCH("Portfolio",C116)),ISNUMBER(SEARCH("Operations",C116)),ISNUMBER(SEARCH("Transformation",C116))),85,IF(ISNUMBER(SEARCH("Product Manager",C116)),55,70)))</f>
        <v/>
      </c>
      <c r="Z116" s="52">
        <f>IF(C116="","",MIN(100,IF(I116&lt;&gt;"",60,10)+IF(AA116&gt;0,MIN(40,AA116*20),0)))</f>
        <v/>
      </c>
      <c r="AA116" s="52">
        <f>IF(T116="","",ROUND(T116*25%+U116*15%+V116*10%+W116*15%+X116*15%+Y116*10%+Z116*10%,0))</f>
        <v/>
      </c>
      <c r="AB116" s="52">
        <f>IF(AA116="","",IF(X116&lt;50,"Selective / Barrier",IF(AA116&gt;=80,"Tier 1 - Pursue",IF(AA116&gt;=70,"Tier 2 - Pursue",IF(AA116&gt;=60,"Tier 3 - Selective","Do Not Pursue")))))</f>
        <v/>
      </c>
      <c r="AC116" s="52">
        <f>IF(C116="","",IF(I116&lt;&gt;"","Named Contact",IF(AA116&gt;0,"Outreach Logged","Cold")))</f>
        <v/>
      </c>
      <c r="AD116" s="52">
        <f>IF(B116="","",COUNTIF('Outreach Log'!$C:$C,B116))</f>
        <v/>
      </c>
      <c r="AE116" s="52">
        <f>IF(A116="","",IF(OR(K116="Rejected",K116="Closed"),IF(L116&lt;&gt;"",L116-A116,TODAY()-A116),TODAY()-A116))</f>
        <v/>
      </c>
      <c r="AF116" s="52">
        <f>IF(C116="","",IF(AND(AA116&gt;=70,AC116="Cold"),"High-fit but cold",IF(AND(AA116&lt;60,K116="Applied"),"Low-fit application",IF(AND(AA116&gt;=70,OR(AC116="Named Contact",AC116="Outreach Logged")),"Targeted pursuit","Review"))))</f>
        <v/>
      </c>
    </row>
    <row r="117" ht="15" customHeight="1" s="44">
      <c r="A117" s="53" t="n">
        <v>46178</v>
      </c>
      <c r="B117" s="48" t="inlineStr">
        <is>
          <t>Nvidia</t>
        </is>
      </c>
      <c r="C117" s="48" t="inlineStr">
        <is>
          <t>Senior Customer Program Manager - Gen AI Software Solution</t>
        </is>
      </c>
      <c r="D117" s="48" t="inlineStr">
        <is>
          <t>Sr PM</t>
        </is>
      </c>
      <c r="E117" s="48" t="inlineStr">
        <is>
          <t>US</t>
        </is>
      </c>
      <c r="F117" s="48" t="inlineStr">
        <is>
          <t>Santa Clara, CA</t>
        </is>
      </c>
      <c r="G117" s="48" t="n">
        <v>68</v>
      </c>
      <c r="H117" s="48" t="inlineStr">
        <is>
          <t>LinkedIn</t>
        </is>
      </c>
      <c r="I117" s="48" t="n"/>
      <c r="J117" s="48" t="inlineStr">
        <is>
          <t>Yes</t>
        </is>
      </c>
      <c r="K117" s="56" t="inlineStr">
        <is>
          <t>Ghosted (30d+)</t>
        </is>
      </c>
      <c r="L117" s="48" t="n"/>
      <c r="M117" s="48">
        <f>IF(OR(L38="",A38=""),"",L38-A38)</f>
        <v/>
      </c>
      <c r="N117" s="48" t="n"/>
      <c r="O117" s="48" t="n"/>
      <c r="P117" s="51" t="inlineStr">
        <is>
          <t>Distinct from other NVIDIA entries already logged (Senior Project Delivery Manager, Senior TPM, Senior Program Manager Enterprise AI Software). LinkedIn shows no longer accepting applications.</t>
        </is>
      </c>
      <c r="Q117" s="48" t="n"/>
      <c r="R117" s="48" t="n"/>
      <c r="S117" s="51" t="n"/>
      <c r="T117" s="52">
        <f>IF(G117="","",G117)</f>
        <v/>
      </c>
      <c r="U117" s="52">
        <f>IF(C117="","",IF(OR(ISNUMBER(SEARCH("Director",C117)),ISNUMBER(SEARCH("Lead",C117)),ISNUMBER(SEARCH("Senior",C117)),ISNUMBER(SEARCH("Sr.",C117))),90,IF(OR(ISNUMBER(SEARCH("Manager",C117)),ISNUMBER(SEARCH("Program",C117)),ISNUMBER(SEARCH("Portfolio",C117))),80,60)))</f>
        <v/>
      </c>
      <c r="V117" s="52">
        <f>IF(C117="","",IF(OR(ISNUMBER(SEARCH("AI",C117)),ISNUMBER(SEARCH("Data",C117)),ISNUMBER(SEARCH("Technology",C117)),ISNUMBER(SEARCH("Technical",C117)),ISNUMBER(SEARCH("Engineering",C117)),ISNUMBER(SEARCH("Platform",C117)),ISNUMBER(SEARCH("Portfolio",C117))),85,65))</f>
        <v/>
      </c>
      <c r="W117" s="52">
        <f>IF(C117="","",MIN(100,50+IF(S117&lt;&gt;"",25,0)+IF(R117&lt;&gt;"",15,0)+IF(P117&lt;&gt;"",10,0)))</f>
        <v/>
      </c>
      <c r="X117" s="52">
        <f>IF(E117="","",IF(OR(E117="Canada",E117="CA"),100,IF(OR(E117="United States",E117="USA",E117="US"),IF(J117="Yes",45,75),65)))</f>
        <v/>
      </c>
      <c r="Y117" s="52">
        <f>IF(C117="","",IF(OR(ISNUMBER(SEARCH("Program",C117)),ISNUMBER(SEARCH("Portfolio",C117)),ISNUMBER(SEARCH("Operations",C117)),ISNUMBER(SEARCH("Transformation",C117))),85,IF(ISNUMBER(SEARCH("Product Manager",C117)),55,70)))</f>
        <v/>
      </c>
      <c r="Z117" s="52">
        <f>IF(C117="","",MIN(100,IF(I117&lt;&gt;"",60,10)+IF(AA117&gt;0,MIN(40,AA117*20),0)))</f>
        <v/>
      </c>
      <c r="AA117" s="52">
        <f>IF(T117="","",ROUND(T117*25%+U117*15%+V117*10%+W117*15%+X117*15%+Y117*10%+Z117*10%,0))</f>
        <v/>
      </c>
      <c r="AB117" s="52">
        <f>IF(AA117="","",IF(X117&lt;50,"Selective / Barrier",IF(AA117&gt;=80,"Tier 1 - Pursue",IF(AA117&gt;=70,"Tier 2 - Pursue",IF(AA117&gt;=60,"Tier 3 - Selective","Do Not Pursue")))))</f>
        <v/>
      </c>
      <c r="AC117" s="52">
        <f>IF(C117="","",IF(I117&lt;&gt;"","Named Contact",IF(AA117&gt;0,"Outreach Logged","Cold")))</f>
        <v/>
      </c>
      <c r="AD117" s="52">
        <f>IF(B117="","",COUNTIF('Outreach Log'!$C:$C,B117))</f>
        <v/>
      </c>
      <c r="AE117" s="52">
        <f>IF(A117="","",IF(OR(K117="Rejected",K117="Closed"),IF(L117&lt;&gt;"",L117-A117,TODAY()-A117),TODAY()-A117))</f>
        <v/>
      </c>
      <c r="AF117" s="52">
        <f>IF(C117="","",IF(AND(AA117&gt;=70,AC117="Cold"),"High-fit but cold",IF(AND(AA117&lt;60,K117="Applied"),"Low-fit application",IF(AND(AA117&gt;=70,OR(AC117="Named Contact",AC117="Outreach Logged")),"Targeted pursuit","Review"))))</f>
        <v/>
      </c>
    </row>
    <row r="118" ht="15" customHeight="1" s="44">
      <c r="A118" s="53" t="n">
        <v>46178</v>
      </c>
      <c r="B118" s="48" t="inlineStr">
        <is>
          <t>goeasy Ltd.</t>
        </is>
      </c>
      <c r="C118" s="48" t="inlineStr">
        <is>
          <t>Director, Project Delivery Office</t>
        </is>
      </c>
      <c r="D118" s="48" t="inlineStr">
        <is>
          <t>Director</t>
        </is>
      </c>
      <c r="E118" s="48" t="inlineStr">
        <is>
          <t>Canada</t>
        </is>
      </c>
      <c r="F118" s="48" t="inlineStr">
        <is>
          <t>Toronto</t>
        </is>
      </c>
      <c r="G118" s="48" t="n">
        <v>78</v>
      </c>
      <c r="H118" s="48" t="inlineStr">
        <is>
          <t>LinkedIn</t>
        </is>
      </c>
      <c r="I118" s="48" t="n"/>
      <c r="J118" s="48" t="inlineStr">
        <is>
          <t>No</t>
        </is>
      </c>
      <c r="K118" s="56" t="inlineStr">
        <is>
          <t>Ghosted (30d+)</t>
        </is>
      </c>
      <c r="L118" s="48" t="n"/>
      <c r="M118" s="48">
        <f>IF(OR(L39="",A39=""),"",L39-A39)</f>
        <v/>
      </c>
      <c r="N118" s="48" t="n"/>
      <c r="O118" s="48" t="n"/>
      <c r="P118" s="51" t="inlineStr">
        <is>
          <t>On-site. LinkedIn shows reposted 1mo ago; no rejection email found.</t>
        </is>
      </c>
      <c r="Q118" s="48" t="n"/>
      <c r="R118" s="48" t="n"/>
      <c r="S118" s="51" t="n"/>
      <c r="T118" s="52">
        <f>IF(G118="","",G118)</f>
        <v/>
      </c>
      <c r="U118" s="52">
        <f>IF(C118="","",IF(OR(ISNUMBER(SEARCH("Director",C118)),ISNUMBER(SEARCH("Lead",C118)),ISNUMBER(SEARCH("Senior",C118)),ISNUMBER(SEARCH("Sr.",C118))),90,IF(OR(ISNUMBER(SEARCH("Manager",C118)),ISNUMBER(SEARCH("Program",C118)),ISNUMBER(SEARCH("Portfolio",C118))),80,60)))</f>
        <v/>
      </c>
      <c r="V118" s="52">
        <f>IF(C118="","",IF(OR(ISNUMBER(SEARCH("AI",C118)),ISNUMBER(SEARCH("Data",C118)),ISNUMBER(SEARCH("Technology",C118)),ISNUMBER(SEARCH("Technical",C118)),ISNUMBER(SEARCH("Engineering",C118)),ISNUMBER(SEARCH("Platform",C118)),ISNUMBER(SEARCH("Portfolio",C118))),85,65))</f>
        <v/>
      </c>
      <c r="W118" s="52">
        <f>IF(C118="","",MIN(100,50+IF(S118&lt;&gt;"",25,0)+IF(R118&lt;&gt;"",15,0)+IF(P118&lt;&gt;"",10,0)))</f>
        <v/>
      </c>
      <c r="X118" s="52">
        <f>IF(E118="","",IF(OR(E118="Canada",E118="CA"),100,IF(OR(E118="United States",E118="USA",E118="US"),IF(J118="Yes",45,75),65)))</f>
        <v/>
      </c>
      <c r="Y118" s="52">
        <f>IF(C118="","",IF(OR(ISNUMBER(SEARCH("Program",C118)),ISNUMBER(SEARCH("Portfolio",C118)),ISNUMBER(SEARCH("Operations",C118)),ISNUMBER(SEARCH("Transformation",C118))),85,IF(ISNUMBER(SEARCH("Product Manager",C118)),55,70)))</f>
        <v/>
      </c>
      <c r="Z118" s="52">
        <f>IF(C118="","",MIN(100,IF(I118&lt;&gt;"",60,10)+IF(AA118&gt;0,MIN(40,AA118*20),0)))</f>
        <v/>
      </c>
      <c r="AA118" s="52">
        <f>IF(T118="","",ROUND(T118*25%+U118*15%+V118*10%+W118*15%+X118*15%+Y118*10%+Z118*10%,0))</f>
        <v/>
      </c>
      <c r="AB118" s="52">
        <f>IF(AA118="","",IF(X118&lt;50,"Selective / Barrier",IF(AA118&gt;=80,"Tier 1 - Pursue",IF(AA118&gt;=70,"Tier 2 - Pursue",IF(AA118&gt;=60,"Tier 3 - Selective","Do Not Pursue")))))</f>
        <v/>
      </c>
      <c r="AC118" s="52">
        <f>IF(C118="","",IF(I118&lt;&gt;"","Named Contact",IF(AA118&gt;0,"Outreach Logged","Cold")))</f>
        <v/>
      </c>
      <c r="AD118" s="52">
        <f>IF(B118="","",COUNTIF('Outreach Log'!$C:$C,B118))</f>
        <v/>
      </c>
      <c r="AE118" s="52">
        <f>IF(A118="","",IF(OR(K118="Rejected",K118="Closed"),IF(L118&lt;&gt;"",L118-A118,TODAY()-A118),TODAY()-A118))</f>
        <v/>
      </c>
      <c r="AF118" s="52">
        <f>IF(C118="","",IF(AND(AA118&gt;=70,AC118="Cold"),"High-fit but cold",IF(AND(AA118&lt;60,K118="Applied"),"Low-fit application",IF(AND(AA118&gt;=70,OR(AC118="Named Contact",AC118="Outreach Logged")),"Targeted pursuit","Review"))))</f>
        <v/>
      </c>
    </row>
    <row r="119" ht="15" customHeight="1" s="44">
      <c r="A119" s="53" t="n">
        <v>46178</v>
      </c>
      <c r="B119" s="48" t="inlineStr">
        <is>
          <t>AT&amp;T</t>
        </is>
      </c>
      <c r="C119" s="48" t="inlineStr">
        <is>
          <t>Lead Project/Program Manager - Customer Care Ops Support</t>
        </is>
      </c>
      <c r="D119" s="48" t="inlineStr">
        <is>
          <t>Lead</t>
        </is>
      </c>
      <c r="E119" s="48" t="inlineStr">
        <is>
          <t>US</t>
        </is>
      </c>
      <c r="F119" s="48" t="inlineStr">
        <is>
          <t>Dallas, TX</t>
        </is>
      </c>
      <c r="G119" s="48" t="n">
        <v>60</v>
      </c>
      <c r="H119" s="48" t="inlineStr">
        <is>
          <t>LinkedIn</t>
        </is>
      </c>
      <c r="I119" s="48" t="n"/>
      <c r="J119" s="48" t="inlineStr">
        <is>
          <t>Yes</t>
        </is>
      </c>
      <c r="K119" s="56" t="inlineStr">
        <is>
          <t>Ghosted (30d+)</t>
        </is>
      </c>
      <c r="L119" s="48" t="n"/>
      <c r="M119" s="48">
        <f>IF(OR(L40="",A40=""),"",L40-A40)</f>
        <v/>
      </c>
      <c r="N119" s="48" t="n"/>
      <c r="O119" s="48" t="n"/>
      <c r="P119" s="51" t="inlineStr">
        <is>
          <t>On-site. LinkedIn shows no longer accepting applications.</t>
        </is>
      </c>
      <c r="Q119" s="48" t="n"/>
      <c r="R119" s="48" t="n"/>
      <c r="S119" s="51" t="n"/>
      <c r="T119" s="52">
        <f>IF(G119="","",G119)</f>
        <v/>
      </c>
      <c r="U119" s="52">
        <f>IF(C119="","",IF(OR(ISNUMBER(SEARCH("Director",C119)),ISNUMBER(SEARCH("Lead",C119)),ISNUMBER(SEARCH("Senior",C119)),ISNUMBER(SEARCH("Sr.",C119))),90,IF(OR(ISNUMBER(SEARCH("Manager",C119)),ISNUMBER(SEARCH("Program",C119)),ISNUMBER(SEARCH("Portfolio",C119))),80,60)))</f>
        <v/>
      </c>
      <c r="V119" s="52">
        <f>IF(C119="","",IF(OR(ISNUMBER(SEARCH("AI",C119)),ISNUMBER(SEARCH("Data",C119)),ISNUMBER(SEARCH("Technology",C119)),ISNUMBER(SEARCH("Technical",C119)),ISNUMBER(SEARCH("Engineering",C119)),ISNUMBER(SEARCH("Platform",C119)),ISNUMBER(SEARCH("Portfolio",C119))),85,65))</f>
        <v/>
      </c>
      <c r="W119" s="52">
        <f>IF(C119="","",MIN(100,50+IF(S119&lt;&gt;"",25,0)+IF(R119&lt;&gt;"",15,0)+IF(P119&lt;&gt;"",10,0)))</f>
        <v/>
      </c>
      <c r="X119" s="52">
        <f>IF(E119="","",IF(OR(E119="Canada",E119="CA"),100,IF(OR(E119="United States",E119="USA",E119="US"),IF(J119="Yes",45,75),65)))</f>
        <v/>
      </c>
      <c r="Y119" s="52">
        <f>IF(C119="","",IF(OR(ISNUMBER(SEARCH("Program",C119)),ISNUMBER(SEARCH("Portfolio",C119)),ISNUMBER(SEARCH("Operations",C119)),ISNUMBER(SEARCH("Transformation",C119))),85,IF(ISNUMBER(SEARCH("Product Manager",C119)),55,70)))</f>
        <v/>
      </c>
      <c r="Z119" s="52">
        <f>IF(C119="","",MIN(100,IF(I119&lt;&gt;"",60,10)+IF(AA119&gt;0,MIN(40,AA119*20),0)))</f>
        <v/>
      </c>
      <c r="AA119" s="52">
        <f>IF(T119="","",ROUND(T119*25%+U119*15%+V119*10%+W119*15%+X119*15%+Y119*10%+Z119*10%,0))</f>
        <v/>
      </c>
      <c r="AB119" s="52">
        <f>IF(AA119="","",IF(X119&lt;50,"Selective / Barrier",IF(AA119&gt;=80,"Tier 1 - Pursue",IF(AA119&gt;=70,"Tier 2 - Pursue",IF(AA119&gt;=60,"Tier 3 - Selective","Do Not Pursue")))))</f>
        <v/>
      </c>
      <c r="AC119" s="52">
        <f>IF(C119="","",IF(I119&lt;&gt;"","Named Contact",IF(AA119&gt;0,"Outreach Logged","Cold")))</f>
        <v/>
      </c>
      <c r="AD119" s="52">
        <f>IF(B119="","",COUNTIF('Outreach Log'!$C:$C,B119))</f>
        <v/>
      </c>
      <c r="AE119" s="52">
        <f>IF(A119="","",IF(OR(K119="Rejected",K119="Closed"),IF(L119&lt;&gt;"",L119-A119,TODAY()-A119),TODAY()-A119))</f>
        <v/>
      </c>
      <c r="AF119" s="52">
        <f>IF(C119="","",IF(AND(AA119&gt;=70,AC119="Cold"),"High-fit but cold",IF(AND(AA119&lt;60,K119="Applied"),"Low-fit application",IF(AND(AA119&gt;=70,OR(AC119="Named Contact",AC119="Outreach Logged")),"Targeted pursuit","Review"))))</f>
        <v/>
      </c>
    </row>
    <row r="120" ht="15" customHeight="1" s="44">
      <c r="A120" s="53" t="n">
        <v>46178</v>
      </c>
      <c r="B120" s="48" t="inlineStr">
        <is>
          <t>T-Mobile</t>
        </is>
      </c>
      <c r="C120" s="48" t="inlineStr">
        <is>
          <t>Sr AI Technical Program Manager</t>
        </is>
      </c>
      <c r="D120" s="48" t="inlineStr">
        <is>
          <t>Sr TPM</t>
        </is>
      </c>
      <c r="E120" s="48" t="inlineStr">
        <is>
          <t>US</t>
        </is>
      </c>
      <c r="F120" s="48" t="inlineStr">
        <is>
          <t>Frisco, TX</t>
        </is>
      </c>
      <c r="G120" s="48" t="n">
        <v>72</v>
      </c>
      <c r="H120" s="48" t="inlineStr">
        <is>
          <t>LinkedIn</t>
        </is>
      </c>
      <c r="I120" s="48" t="n"/>
      <c r="J120" s="48" t="inlineStr">
        <is>
          <t>Yes</t>
        </is>
      </c>
      <c r="K120" s="56" t="inlineStr">
        <is>
          <t>Ghosted (30d+)</t>
        </is>
      </c>
      <c r="L120" s="48" t="n"/>
      <c r="M120" s="48">
        <f>IF(OR(L41="",A41=""),"",L41-A41)</f>
        <v/>
      </c>
      <c r="N120" s="48" t="n"/>
      <c r="O120" s="48" t="n"/>
      <c r="P120" s="51" t="inlineStr">
        <is>
          <t>LinkedIn shows no longer accepting applications.</t>
        </is>
      </c>
      <c r="Q120" s="48" t="n"/>
      <c r="R120" s="48" t="n"/>
      <c r="S120" s="51" t="n"/>
      <c r="T120" s="52">
        <f>IF(G120="","",G120)</f>
        <v/>
      </c>
      <c r="U120" s="52">
        <f>IF(C120="","",IF(OR(ISNUMBER(SEARCH("Director",C120)),ISNUMBER(SEARCH("Lead",C120)),ISNUMBER(SEARCH("Senior",C120)),ISNUMBER(SEARCH("Sr.",C120))),90,IF(OR(ISNUMBER(SEARCH("Manager",C120)),ISNUMBER(SEARCH("Program",C120)),ISNUMBER(SEARCH("Portfolio",C120))),80,60)))</f>
        <v/>
      </c>
      <c r="V120" s="52">
        <f>IF(C120="","",IF(OR(ISNUMBER(SEARCH("AI",C120)),ISNUMBER(SEARCH("Data",C120)),ISNUMBER(SEARCH("Technology",C120)),ISNUMBER(SEARCH("Technical",C120)),ISNUMBER(SEARCH("Engineering",C120)),ISNUMBER(SEARCH("Platform",C120)),ISNUMBER(SEARCH("Portfolio",C120))),85,65))</f>
        <v/>
      </c>
      <c r="W120" s="52">
        <f>IF(C120="","",MIN(100,50+IF(S120&lt;&gt;"",25,0)+IF(R120&lt;&gt;"",15,0)+IF(P120&lt;&gt;"",10,0)))</f>
        <v/>
      </c>
      <c r="X120" s="52">
        <f>IF(E120="","",IF(OR(E120="Canada",E120="CA"),100,IF(OR(E120="United States",E120="USA",E120="US"),IF(J120="Yes",45,75),65)))</f>
        <v/>
      </c>
      <c r="Y120" s="52">
        <f>IF(C120="","",IF(OR(ISNUMBER(SEARCH("Program",C120)),ISNUMBER(SEARCH("Portfolio",C120)),ISNUMBER(SEARCH("Operations",C120)),ISNUMBER(SEARCH("Transformation",C120))),85,IF(ISNUMBER(SEARCH("Product Manager",C120)),55,70)))</f>
        <v/>
      </c>
      <c r="Z120" s="52">
        <f>IF(C120="","",MIN(100,IF(I120&lt;&gt;"",60,10)+IF(AA120&gt;0,MIN(40,AA120*20),0)))</f>
        <v/>
      </c>
      <c r="AA120" s="52">
        <f>IF(T120="","",ROUND(T120*25%+U120*15%+V120*10%+W120*15%+X120*15%+Y120*10%+Z120*10%,0))</f>
        <v/>
      </c>
      <c r="AB120" s="52">
        <f>IF(AA120="","",IF(X120&lt;50,"Selective / Barrier",IF(AA120&gt;=80,"Tier 1 - Pursue",IF(AA120&gt;=70,"Tier 2 - Pursue",IF(AA120&gt;=60,"Tier 3 - Selective","Do Not Pursue")))))</f>
        <v/>
      </c>
      <c r="AC120" s="52">
        <f>IF(C120="","",IF(I120&lt;&gt;"","Named Contact",IF(AA120&gt;0,"Outreach Logged","Cold")))</f>
        <v/>
      </c>
      <c r="AD120" s="52">
        <f>IF(B120="","",COUNTIF('Outreach Log'!$C:$C,B120))</f>
        <v/>
      </c>
      <c r="AE120" s="52">
        <f>IF(A120="","",IF(OR(K120="Rejected",K120="Closed"),IF(L120&lt;&gt;"",L120-A120,TODAY()-A120),TODAY()-A120))</f>
        <v/>
      </c>
      <c r="AF120" s="52">
        <f>IF(C120="","",IF(AND(AA120&gt;=70,AC120="Cold"),"High-fit but cold",IF(AND(AA120&lt;60,K120="Applied"),"Low-fit application",IF(AND(AA120&gt;=70,OR(AC120="Named Contact",AC120="Outreach Logged")),"Targeted pursuit","Review"))))</f>
        <v/>
      </c>
    </row>
    <row r="121" ht="15" customHeight="1" s="44">
      <c r="A121" s="53" t="n">
        <v>46178</v>
      </c>
      <c r="B121" s="48" t="inlineStr">
        <is>
          <t>SWITS Digital</t>
        </is>
      </c>
      <c r="C121" s="48" t="inlineStr">
        <is>
          <t>AI Delivery Manager</t>
        </is>
      </c>
      <c r="D121" s="48" t="inlineStr">
        <is>
          <t>Manager</t>
        </is>
      </c>
      <c r="E121" s="48" t="inlineStr">
        <is>
          <t>US</t>
        </is>
      </c>
      <c r="F121" s="48" t="inlineStr">
        <is>
          <t>New York, NY</t>
        </is>
      </c>
      <c r="G121" s="48" t="n">
        <v>55</v>
      </c>
      <c r="H121" s="48" t="inlineStr">
        <is>
          <t>LinkedIn</t>
        </is>
      </c>
      <c r="I121" s="48" t="n"/>
      <c r="J121" s="48" t="inlineStr">
        <is>
          <t>Yes</t>
        </is>
      </c>
      <c r="K121" s="56" t="inlineStr">
        <is>
          <t>Ghosted (30d+)</t>
        </is>
      </c>
      <c r="L121" s="48" t="n"/>
      <c r="M121" s="48">
        <f>IF(OR(L42="",A42=""),"",L42-A42)</f>
        <v/>
      </c>
      <c r="N121" s="48" t="n"/>
      <c r="O121" s="48" t="n"/>
      <c r="P121" s="51" t="inlineStr">
        <is>
          <t>On-site, smaller staffing/consulting company. LinkedIn shows no longer accepting applications.</t>
        </is>
      </c>
      <c r="Q121" s="48" t="n"/>
      <c r="R121" s="48" t="n"/>
      <c r="S121" s="51" t="n"/>
      <c r="T121" s="52">
        <f>IF(G121="","",G121)</f>
        <v/>
      </c>
      <c r="U121" s="52">
        <f>IF(C121="","",IF(OR(ISNUMBER(SEARCH("Director",C121)),ISNUMBER(SEARCH("Lead",C121)),ISNUMBER(SEARCH("Senior",C121)),ISNUMBER(SEARCH("Sr.",C121))),90,IF(OR(ISNUMBER(SEARCH("Manager",C121)),ISNUMBER(SEARCH("Program",C121)),ISNUMBER(SEARCH("Portfolio",C121))),80,60)))</f>
        <v/>
      </c>
      <c r="V121" s="52">
        <f>IF(C121="","",IF(OR(ISNUMBER(SEARCH("AI",C121)),ISNUMBER(SEARCH("Data",C121)),ISNUMBER(SEARCH("Technology",C121)),ISNUMBER(SEARCH("Technical",C121)),ISNUMBER(SEARCH("Engineering",C121)),ISNUMBER(SEARCH("Platform",C121)),ISNUMBER(SEARCH("Portfolio",C121))),85,65))</f>
        <v/>
      </c>
      <c r="W121" s="52">
        <f>IF(C121="","",MIN(100,50+IF(S121&lt;&gt;"",25,0)+IF(R121&lt;&gt;"",15,0)+IF(P121&lt;&gt;"",10,0)))</f>
        <v/>
      </c>
      <c r="X121" s="52">
        <f>IF(E121="","",IF(OR(E121="Canada",E121="CA"),100,IF(OR(E121="United States",E121="USA",E121="US"),IF(J121="Yes",45,75),65)))</f>
        <v/>
      </c>
      <c r="Y121" s="52">
        <f>IF(C121="","",IF(OR(ISNUMBER(SEARCH("Program",C121)),ISNUMBER(SEARCH("Portfolio",C121)),ISNUMBER(SEARCH("Operations",C121)),ISNUMBER(SEARCH("Transformation",C121))),85,IF(ISNUMBER(SEARCH("Product Manager",C121)),55,70)))</f>
        <v/>
      </c>
      <c r="Z121" s="52">
        <f>IF(C121="","",MIN(100,IF(I121&lt;&gt;"",60,10)+IF(AA121&gt;0,MIN(40,AA121*20),0)))</f>
        <v/>
      </c>
      <c r="AA121" s="52">
        <f>IF(T121="","",ROUND(T121*25%+U121*15%+V121*10%+W121*15%+X121*15%+Y121*10%+Z121*10%,0))</f>
        <v/>
      </c>
      <c r="AB121" s="52">
        <f>IF(AA121="","",IF(X121&lt;50,"Selective / Barrier",IF(AA121&gt;=80,"Tier 1 - Pursue",IF(AA121&gt;=70,"Tier 2 - Pursue",IF(AA121&gt;=60,"Tier 3 - Selective","Do Not Pursue")))))</f>
        <v/>
      </c>
      <c r="AC121" s="52">
        <f>IF(C121="","",IF(I121&lt;&gt;"","Named Contact",IF(AA121&gt;0,"Outreach Logged","Cold")))</f>
        <v/>
      </c>
      <c r="AD121" s="52">
        <f>IF(B121="","",COUNTIF('Outreach Log'!$C:$C,B121))</f>
        <v/>
      </c>
      <c r="AE121" s="52">
        <f>IF(A121="","",IF(OR(K121="Rejected",K121="Closed"),IF(L121&lt;&gt;"",L121-A121,TODAY()-A121),TODAY()-A121))</f>
        <v/>
      </c>
      <c r="AF121" s="52">
        <f>IF(C121="","",IF(AND(AA121&gt;=70,AC121="Cold"),"High-fit but cold",IF(AND(AA121&lt;60,K121="Applied"),"Low-fit application",IF(AND(AA121&gt;=70,OR(AC121="Named Contact",AC121="Outreach Logged")),"Targeted pursuit","Review"))))</f>
        <v/>
      </c>
    </row>
    <row r="122" ht="15" customHeight="1" s="44">
      <c r="A122" s="53" t="n">
        <v>46178</v>
      </c>
      <c r="B122" s="48" t="inlineStr">
        <is>
          <t>Hewlett Packard Enterprise</t>
        </is>
      </c>
      <c r="C122" s="48" t="inlineStr">
        <is>
          <t>AI Program Management Lead</t>
        </is>
      </c>
      <c r="D122" s="48" t="inlineStr">
        <is>
          <t>Lead</t>
        </is>
      </c>
      <c r="E122" s="48" t="inlineStr">
        <is>
          <t>US</t>
        </is>
      </c>
      <c r="F122" s="48" t="inlineStr">
        <is>
          <t>Texas</t>
        </is>
      </c>
      <c r="G122" s="48" t="n">
        <v>75</v>
      </c>
      <c r="H122" s="48" t="inlineStr">
        <is>
          <t>LinkedIn</t>
        </is>
      </c>
      <c r="I122" s="48" t="n"/>
      <c r="J122" s="48" t="inlineStr">
        <is>
          <t>Yes</t>
        </is>
      </c>
      <c r="K122" s="49" t="inlineStr">
        <is>
          <t>Rejected</t>
        </is>
      </c>
      <c r="L122" s="50" t="n">
        <v>46266</v>
      </c>
      <c r="M122" s="48">
        <f>IF(OR(L43="",A43=""),"",L43-A43)</f>
        <v/>
      </c>
      <c r="N122" s="48" t="n"/>
      <c r="O122" s="48" t="n"/>
      <c r="P122" s="51" t="inlineStr">
        <is>
          <t>LinkedIn shows reposted 2mo ago; no rejection email found. REJECTED (finally confirmed) 2026-09-01 via hpe@myworkday.com, job 1206407: moved forward with another candidate.</t>
        </is>
      </c>
      <c r="Q122" s="48" t="n"/>
      <c r="R122" s="48" t="n"/>
      <c r="S122" s="51" t="n"/>
      <c r="T122" s="52">
        <f>IF(G122="","",G122)</f>
        <v/>
      </c>
      <c r="U122" s="52">
        <f>IF(C122="","",IF(OR(ISNUMBER(SEARCH("Director",C122)),ISNUMBER(SEARCH("Lead",C122)),ISNUMBER(SEARCH("Senior",C122)),ISNUMBER(SEARCH("Sr.",C122))),90,IF(OR(ISNUMBER(SEARCH("Manager",C122)),ISNUMBER(SEARCH("Program",C122)),ISNUMBER(SEARCH("Portfolio",C122))),80,60)))</f>
        <v/>
      </c>
      <c r="V122" s="52">
        <f>IF(C122="","",IF(OR(ISNUMBER(SEARCH("AI",C122)),ISNUMBER(SEARCH("Data",C122)),ISNUMBER(SEARCH("Technology",C122)),ISNUMBER(SEARCH("Technical",C122)),ISNUMBER(SEARCH("Engineering",C122)),ISNUMBER(SEARCH("Platform",C122)),ISNUMBER(SEARCH("Portfolio",C122))),85,65))</f>
        <v/>
      </c>
      <c r="W122" s="52">
        <f>IF(C122="","",MIN(100,50+IF(S122&lt;&gt;"",25,0)+IF(R122&lt;&gt;"",15,0)+IF(P122&lt;&gt;"",10,0)))</f>
        <v/>
      </c>
      <c r="X122" s="52">
        <f>IF(E122="","",IF(OR(E122="Canada",E122="CA"),100,IF(OR(E122="United States",E122="USA",E122="US"),IF(J122="Yes",45,75),65)))</f>
        <v/>
      </c>
      <c r="Y122" s="52">
        <f>IF(C122="","",IF(OR(ISNUMBER(SEARCH("Program",C122)),ISNUMBER(SEARCH("Portfolio",C122)),ISNUMBER(SEARCH("Operations",C122)),ISNUMBER(SEARCH("Transformation",C122))),85,IF(ISNUMBER(SEARCH("Product Manager",C122)),55,70)))</f>
        <v/>
      </c>
      <c r="Z122" s="52">
        <f>IF(C122="","",MIN(100,IF(I122&lt;&gt;"",60,10)+IF(AA122&gt;0,MIN(40,AA122*20),0)))</f>
        <v/>
      </c>
      <c r="AA122" s="52">
        <f>IF(T122="","",ROUND(T122*25%+U122*15%+V122*10%+W122*15%+X122*15%+Y122*10%+Z122*10%,0))</f>
        <v/>
      </c>
      <c r="AB122" s="52">
        <f>IF(AA122="","",IF(X122&lt;50,"Selective / Barrier",IF(AA122&gt;=80,"Tier 1 - Pursue",IF(AA122&gt;=70,"Tier 2 - Pursue",IF(AA122&gt;=60,"Tier 3 - Selective","Do Not Pursue")))))</f>
        <v/>
      </c>
      <c r="AC122" s="52">
        <f>IF(C122="","",IF(I122&lt;&gt;"","Named Contact",IF(AA122&gt;0,"Outreach Logged","Cold")))</f>
        <v/>
      </c>
      <c r="AD122" s="52">
        <f>IF(B122="","",COUNTIF('Outreach Log'!$C:$C,B122))</f>
        <v/>
      </c>
      <c r="AE122" s="52">
        <f>IF(A122="","",IF(OR(K122="Rejected",K122="Closed"),IF(L122&lt;&gt;"",L122-A122,TODAY()-A122),TODAY()-A122))</f>
        <v/>
      </c>
      <c r="AF122" s="52">
        <f>IF(C122="","",IF(AND(AA122&gt;=70,AC122="Cold"),"High-fit but cold",IF(AND(AA122&lt;60,K122="Applied"),"Low-fit application",IF(AND(AA122&gt;=70,OR(AC122="Named Contact",AC122="Outreach Logged")),"Targeted pursuit","Review"))))</f>
        <v/>
      </c>
    </row>
    <row r="123" ht="15" customHeight="1" s="44">
      <c r="A123" s="53" t="n">
        <v>46178</v>
      </c>
      <c r="B123" s="48" t="inlineStr">
        <is>
          <t>eBay</t>
        </is>
      </c>
      <c r="C123" s="48" t="inlineStr">
        <is>
          <t>Senior Manager, Program Manager-Ads</t>
        </is>
      </c>
      <c r="D123" s="48" t="inlineStr">
        <is>
          <t>Sr Manager</t>
        </is>
      </c>
      <c r="E123" s="48" t="inlineStr">
        <is>
          <t>Canada</t>
        </is>
      </c>
      <c r="F123" s="48" t="inlineStr">
        <is>
          <t>Toronto</t>
        </is>
      </c>
      <c r="G123" s="48" t="n">
        <v>65</v>
      </c>
      <c r="H123" s="48" t="inlineStr">
        <is>
          <t>LinkedIn</t>
        </is>
      </c>
      <c r="I123" s="48" t="n"/>
      <c r="J123" s="48" t="inlineStr">
        <is>
          <t>No</t>
        </is>
      </c>
      <c r="K123" s="49" t="inlineStr">
        <is>
          <t>Rejected</t>
        </is>
      </c>
      <c r="L123" s="50" t="n">
        <v>46182</v>
      </c>
      <c r="M123" s="48">
        <f>IF(OR(L44="",A44=""),"",L44-A44)</f>
        <v/>
      </c>
      <c r="N123" s="48" t="n"/>
      <c r="O123" s="48" t="n"/>
      <c r="P123" s="51" t="inlineStr">
        <is>
          <t>Hybrid. Distinct from eBay Technical Program Manager, Search (already logged). LinkedIn shows no longer accepting applications. | REJECTED 2026-06-09: eBay (ebay@myworkday.com) — "decided not to move forward with your application." (Corrected from Ghosted.)</t>
        </is>
      </c>
      <c r="Q123" s="48" t="n"/>
      <c r="R123" s="48" t="n"/>
      <c r="S123" s="51" t="n"/>
      <c r="T123" s="52">
        <f>IF(G123="","",G123)</f>
        <v/>
      </c>
      <c r="U123" s="52">
        <f>IF(C123="","",IF(OR(ISNUMBER(SEARCH("Director",C123)),ISNUMBER(SEARCH("Lead",C123)),ISNUMBER(SEARCH("Senior",C123)),ISNUMBER(SEARCH("Sr.",C123))),90,IF(OR(ISNUMBER(SEARCH("Manager",C123)),ISNUMBER(SEARCH("Program",C123)),ISNUMBER(SEARCH("Portfolio",C123))),80,60)))</f>
        <v/>
      </c>
      <c r="V123" s="52">
        <f>IF(C123="","",IF(OR(ISNUMBER(SEARCH("AI",C123)),ISNUMBER(SEARCH("Data",C123)),ISNUMBER(SEARCH("Technology",C123)),ISNUMBER(SEARCH("Technical",C123)),ISNUMBER(SEARCH("Engineering",C123)),ISNUMBER(SEARCH("Platform",C123)),ISNUMBER(SEARCH("Portfolio",C123))),85,65))</f>
        <v/>
      </c>
      <c r="W123" s="52">
        <f>IF(C123="","",MIN(100,50+IF(S123&lt;&gt;"",25,0)+IF(R123&lt;&gt;"",15,0)+IF(P123&lt;&gt;"",10,0)))</f>
        <v/>
      </c>
      <c r="X123" s="52">
        <f>IF(E123="","",IF(OR(E123="Canada",E123="CA"),100,IF(OR(E123="United States",E123="USA",E123="US"),IF(J123="Yes",45,75),65)))</f>
        <v/>
      </c>
      <c r="Y123" s="52">
        <f>IF(C123="","",IF(OR(ISNUMBER(SEARCH("Program",C123)),ISNUMBER(SEARCH("Portfolio",C123)),ISNUMBER(SEARCH("Operations",C123)),ISNUMBER(SEARCH("Transformation",C123))),85,IF(ISNUMBER(SEARCH("Product Manager",C123)),55,70)))</f>
        <v/>
      </c>
      <c r="Z123" s="52">
        <f>IF(C123="","",MIN(100,IF(I123&lt;&gt;"",60,10)+IF(AA123&gt;0,MIN(40,AA123*20),0)))</f>
        <v/>
      </c>
      <c r="AA123" s="52">
        <f>IF(T123="","",ROUND(T123*25%+U123*15%+V123*10%+W123*15%+X123*15%+Y123*10%+Z123*10%,0))</f>
        <v/>
      </c>
      <c r="AB123" s="52">
        <f>IF(AA123="","",IF(X123&lt;50,"Selective / Barrier",IF(AA123&gt;=80,"Tier 1 - Pursue",IF(AA123&gt;=70,"Tier 2 - Pursue",IF(AA123&gt;=60,"Tier 3 - Selective","Do Not Pursue")))))</f>
        <v/>
      </c>
      <c r="AC123" s="52">
        <f>IF(C123="","",IF(I123&lt;&gt;"","Named Contact",IF(AA123&gt;0,"Outreach Logged","Cold")))</f>
        <v/>
      </c>
      <c r="AD123" s="52">
        <f>IF(B123="","",COUNTIF('Outreach Log'!$C:$C,B123))</f>
        <v/>
      </c>
      <c r="AE123" s="52">
        <f>IF(A123="","",IF(OR(K123="Rejected",K123="Closed"),IF(L123&lt;&gt;"",L123-A123,TODAY()-A123),TODAY()-A123))</f>
        <v/>
      </c>
      <c r="AF123" s="52">
        <f>IF(C123="","",IF(AND(AA123&gt;=70,AC123="Cold"),"High-fit but cold",IF(AND(AA123&lt;60,K123="Applied"),"Low-fit application",IF(AND(AA123&gt;=70,OR(AC123="Named Contact",AC123="Outreach Logged")),"Targeted pursuit","Review"))))</f>
        <v/>
      </c>
    </row>
    <row r="124" ht="15" customHeight="1" s="44">
      <c r="A124" s="53" t="n">
        <v>46178</v>
      </c>
      <c r="B124" s="48" t="inlineStr">
        <is>
          <t>RWE</t>
        </is>
      </c>
      <c r="C124" s="48" t="inlineStr">
        <is>
          <t>Sr AI Transformation Manager</t>
        </is>
      </c>
      <c r="D124" s="48" t="inlineStr">
        <is>
          <t>Sr Manager</t>
        </is>
      </c>
      <c r="E124" s="48" t="inlineStr">
        <is>
          <t>US</t>
        </is>
      </c>
      <c r="F124" s="48" t="inlineStr">
        <is>
          <t>Austin, TX</t>
        </is>
      </c>
      <c r="G124" s="48" t="n">
        <v>70</v>
      </c>
      <c r="H124" s="48" t="inlineStr">
        <is>
          <t>LinkedIn</t>
        </is>
      </c>
      <c r="I124" s="48" t="n"/>
      <c r="J124" s="48" t="inlineStr">
        <is>
          <t>Yes</t>
        </is>
      </c>
      <c r="K124" s="56" t="inlineStr">
        <is>
          <t>Ghosted (30d+)</t>
        </is>
      </c>
      <c r="L124" s="48" t="n"/>
      <c r="M124" s="48">
        <f>IF(OR(L45="",A45=""),"",L45-A45)</f>
        <v/>
      </c>
      <c r="N124" s="48" t="n"/>
      <c r="O124" s="48" t="n"/>
      <c r="P124" s="51" t="inlineStr">
        <is>
          <t>LinkedIn shows no longer accepting applications.</t>
        </is>
      </c>
      <c r="Q124" s="48" t="n"/>
      <c r="R124" s="48" t="n"/>
      <c r="S124" s="51" t="n"/>
      <c r="T124" s="52">
        <f>IF(G124="","",G124)</f>
        <v/>
      </c>
      <c r="U124" s="52">
        <f>IF(C124="","",IF(OR(ISNUMBER(SEARCH("Director",C124)),ISNUMBER(SEARCH("Lead",C124)),ISNUMBER(SEARCH("Senior",C124)),ISNUMBER(SEARCH("Sr.",C124))),90,IF(OR(ISNUMBER(SEARCH("Manager",C124)),ISNUMBER(SEARCH("Program",C124)),ISNUMBER(SEARCH("Portfolio",C124))),80,60)))</f>
        <v/>
      </c>
      <c r="V124" s="52">
        <f>IF(C124="","",IF(OR(ISNUMBER(SEARCH("AI",C124)),ISNUMBER(SEARCH("Data",C124)),ISNUMBER(SEARCH("Technology",C124)),ISNUMBER(SEARCH("Technical",C124)),ISNUMBER(SEARCH("Engineering",C124)),ISNUMBER(SEARCH("Platform",C124)),ISNUMBER(SEARCH("Portfolio",C124))),85,65))</f>
        <v/>
      </c>
      <c r="W124" s="52">
        <f>IF(C124="","",MIN(100,50+IF(S124&lt;&gt;"",25,0)+IF(R124&lt;&gt;"",15,0)+IF(P124&lt;&gt;"",10,0)))</f>
        <v/>
      </c>
      <c r="X124" s="52">
        <f>IF(E124="","",IF(OR(E124="Canada",E124="CA"),100,IF(OR(E124="United States",E124="USA",E124="US"),IF(J124="Yes",45,75),65)))</f>
        <v/>
      </c>
      <c r="Y124" s="52">
        <f>IF(C124="","",IF(OR(ISNUMBER(SEARCH("Program",C124)),ISNUMBER(SEARCH("Portfolio",C124)),ISNUMBER(SEARCH("Operations",C124)),ISNUMBER(SEARCH("Transformation",C124))),85,IF(ISNUMBER(SEARCH("Product Manager",C124)),55,70)))</f>
        <v/>
      </c>
      <c r="Z124" s="52">
        <f>IF(C124="","",MIN(100,IF(I124&lt;&gt;"",60,10)+IF(AA124&gt;0,MIN(40,AA124*20),0)))</f>
        <v/>
      </c>
      <c r="AA124" s="52">
        <f>IF(T124="","",ROUND(T124*25%+U124*15%+V124*10%+W124*15%+X124*15%+Y124*10%+Z124*10%,0))</f>
        <v/>
      </c>
      <c r="AB124" s="52">
        <f>IF(AA124="","",IF(X124&lt;50,"Selective / Barrier",IF(AA124&gt;=80,"Tier 1 - Pursue",IF(AA124&gt;=70,"Tier 2 - Pursue",IF(AA124&gt;=60,"Tier 3 - Selective","Do Not Pursue")))))</f>
        <v/>
      </c>
      <c r="AC124" s="52">
        <f>IF(C124="","",IF(I124&lt;&gt;"","Named Contact",IF(AA124&gt;0,"Outreach Logged","Cold")))</f>
        <v/>
      </c>
      <c r="AD124" s="52">
        <f>IF(B124="","",COUNTIF('Outreach Log'!$C:$C,B124))</f>
        <v/>
      </c>
      <c r="AE124" s="52">
        <f>IF(A124="","",IF(OR(K124="Rejected",K124="Closed"),IF(L124&lt;&gt;"",L124-A124,TODAY()-A124),TODAY()-A124))</f>
        <v/>
      </c>
      <c r="AF124" s="52">
        <f>IF(C124="","",IF(AND(AA124&gt;=70,AC124="Cold"),"High-fit but cold",IF(AND(AA124&lt;60,K124="Applied"),"Low-fit application",IF(AND(AA124&gt;=70,OR(AC124="Named Contact",AC124="Outreach Logged")),"Targeted pursuit","Review"))))</f>
        <v/>
      </c>
    </row>
    <row r="125" ht="15" customHeight="1" s="44">
      <c r="A125" s="53" t="n">
        <v>46178</v>
      </c>
      <c r="B125" s="48" t="inlineStr">
        <is>
          <t>EY</t>
        </is>
      </c>
      <c r="C125" s="48" t="inlineStr">
        <is>
          <t>NextGen AI Manager</t>
        </is>
      </c>
      <c r="D125" s="48" t="inlineStr">
        <is>
          <t>Manager</t>
        </is>
      </c>
      <c r="E125" s="48" t="inlineStr">
        <is>
          <t>US</t>
        </is>
      </c>
      <c r="F125" s="48" t="inlineStr">
        <is>
          <t>Hoboken, NJ</t>
        </is>
      </c>
      <c r="G125" s="48" t="n">
        <v>68</v>
      </c>
      <c r="H125" s="48" t="inlineStr">
        <is>
          <t>LinkedIn</t>
        </is>
      </c>
      <c r="I125" s="48" t="n"/>
      <c r="J125" s="48" t="inlineStr">
        <is>
          <t>Yes</t>
        </is>
      </c>
      <c r="K125" s="56" t="inlineStr">
        <is>
          <t>Ghosted (30d+)</t>
        </is>
      </c>
      <c r="L125" s="48" t="n"/>
      <c r="M125" s="48">
        <f>IF(OR(L46="",A46=""),"",L46-A46)</f>
        <v/>
      </c>
      <c r="N125" s="48" t="n"/>
      <c r="O125" s="48" t="n"/>
      <c r="P125" s="51" t="inlineStr">
        <is>
          <t>On-site. LinkedIn shows no longer accepting applications.</t>
        </is>
      </c>
      <c r="Q125" s="48" t="n"/>
      <c r="R125" s="48" t="n"/>
      <c r="S125" s="51" t="n"/>
      <c r="T125" s="52">
        <f>IF(G125="","",G125)</f>
        <v/>
      </c>
      <c r="U125" s="52">
        <f>IF(C125="","",IF(OR(ISNUMBER(SEARCH("Director",C125)),ISNUMBER(SEARCH("Lead",C125)),ISNUMBER(SEARCH("Senior",C125)),ISNUMBER(SEARCH("Sr.",C125))),90,IF(OR(ISNUMBER(SEARCH("Manager",C125)),ISNUMBER(SEARCH("Program",C125)),ISNUMBER(SEARCH("Portfolio",C125))),80,60)))</f>
        <v/>
      </c>
      <c r="V125" s="52">
        <f>IF(C125="","",IF(OR(ISNUMBER(SEARCH("AI",C125)),ISNUMBER(SEARCH("Data",C125)),ISNUMBER(SEARCH("Technology",C125)),ISNUMBER(SEARCH("Technical",C125)),ISNUMBER(SEARCH("Engineering",C125)),ISNUMBER(SEARCH("Platform",C125)),ISNUMBER(SEARCH("Portfolio",C125))),85,65))</f>
        <v/>
      </c>
      <c r="W125" s="52">
        <f>IF(C125="","",MIN(100,50+IF(S125&lt;&gt;"",25,0)+IF(R125&lt;&gt;"",15,0)+IF(P125&lt;&gt;"",10,0)))</f>
        <v/>
      </c>
      <c r="X125" s="52">
        <f>IF(E125="","",IF(OR(E125="Canada",E125="CA"),100,IF(OR(E125="United States",E125="USA",E125="US"),IF(J125="Yes",45,75),65)))</f>
        <v/>
      </c>
      <c r="Y125" s="52">
        <f>IF(C125="","",IF(OR(ISNUMBER(SEARCH("Program",C125)),ISNUMBER(SEARCH("Portfolio",C125)),ISNUMBER(SEARCH("Operations",C125)),ISNUMBER(SEARCH("Transformation",C125))),85,IF(ISNUMBER(SEARCH("Product Manager",C125)),55,70)))</f>
        <v/>
      </c>
      <c r="Z125" s="52">
        <f>IF(C125="","",MIN(100,IF(I125&lt;&gt;"",60,10)+IF(AA125&gt;0,MIN(40,AA125*20),0)))</f>
        <v/>
      </c>
      <c r="AA125" s="52">
        <f>IF(T125="","",ROUND(T125*25%+U125*15%+V125*10%+W125*15%+X125*15%+Y125*10%+Z125*10%,0))</f>
        <v/>
      </c>
      <c r="AB125" s="52">
        <f>IF(AA125="","",IF(X125&lt;50,"Selective / Barrier",IF(AA125&gt;=80,"Tier 1 - Pursue",IF(AA125&gt;=70,"Tier 2 - Pursue",IF(AA125&gt;=60,"Tier 3 - Selective","Do Not Pursue")))))</f>
        <v/>
      </c>
      <c r="AC125" s="52">
        <f>IF(C125="","",IF(I125&lt;&gt;"","Named Contact",IF(AA125&gt;0,"Outreach Logged","Cold")))</f>
        <v/>
      </c>
      <c r="AD125" s="52">
        <f>IF(B125="","",COUNTIF('Outreach Log'!$C:$C,B125))</f>
        <v/>
      </c>
      <c r="AE125" s="52">
        <f>IF(A125="","",IF(OR(K125="Rejected",K125="Closed"),IF(L125&lt;&gt;"",L125-A125,TODAY()-A125),TODAY()-A125))</f>
        <v/>
      </c>
      <c r="AF125" s="52">
        <f>IF(C125="","",IF(AND(AA125&gt;=70,AC125="Cold"),"High-fit but cold",IF(AND(AA125&lt;60,K125="Applied"),"Low-fit application",IF(AND(AA125&gt;=70,OR(AC125="Named Contact",AC125="Outreach Logged")),"Targeted pursuit","Review"))))</f>
        <v/>
      </c>
    </row>
    <row r="126" ht="15" customHeight="1" s="44">
      <c r="A126" s="53" t="n">
        <v>46178</v>
      </c>
      <c r="B126" s="48" t="inlineStr">
        <is>
          <t>HP</t>
        </is>
      </c>
      <c r="C126" s="48" t="inlineStr">
        <is>
          <t>Global Transformation AI Principal</t>
        </is>
      </c>
      <c r="D126" s="48" t="inlineStr">
        <is>
          <t>Expert</t>
        </is>
      </c>
      <c r="E126" s="48" t="inlineStr">
        <is>
          <t>US</t>
        </is>
      </c>
      <c r="F126" s="48" t="inlineStr">
        <is>
          <t>Spring, TX</t>
        </is>
      </c>
      <c r="G126" s="48" t="n">
        <v>72</v>
      </c>
      <c r="H126" s="48" t="inlineStr">
        <is>
          <t>LinkedIn</t>
        </is>
      </c>
      <c r="I126" s="48" t="n"/>
      <c r="J126" s="48" t="inlineStr">
        <is>
          <t>Yes</t>
        </is>
      </c>
      <c r="K126" s="49" t="inlineStr">
        <is>
          <t>Rejected</t>
        </is>
      </c>
      <c r="L126" s="50" t="n">
        <v>46211</v>
      </c>
      <c r="M126" s="48">
        <f>IF(OR(L47="",A47=""),"",L47-A47)</f>
        <v/>
      </c>
      <c r="N126" s="48" t="n"/>
      <c r="O126" s="48" t="n"/>
      <c r="P126" s="51" t="inlineStr">
        <is>
          <t>Role title corrected to "Global Transformation AI Principal" per official rejection email (Workday HR, hp@myworkday.com). Rejection received 07/08/2026: "We will not be moving forward with your application for this role." Note explicitly states this does not affect other HP applications.</t>
        </is>
      </c>
      <c r="Q126" s="48" t="n"/>
      <c r="R126" s="48" t="n"/>
      <c r="S126" s="51" t="n"/>
      <c r="T126" s="52">
        <f>IF(G126="","",G126)</f>
        <v/>
      </c>
      <c r="U126" s="52">
        <f>IF(C126="","",IF(OR(ISNUMBER(SEARCH("Director",C126)),ISNUMBER(SEARCH("Lead",C126)),ISNUMBER(SEARCH("Senior",C126)),ISNUMBER(SEARCH("Sr.",C126))),90,IF(OR(ISNUMBER(SEARCH("Manager",C126)),ISNUMBER(SEARCH("Program",C126)),ISNUMBER(SEARCH("Portfolio",C126))),80,60)))</f>
        <v/>
      </c>
      <c r="V126" s="52">
        <f>IF(C126="","",IF(OR(ISNUMBER(SEARCH("AI",C126)),ISNUMBER(SEARCH("Data",C126)),ISNUMBER(SEARCH("Technology",C126)),ISNUMBER(SEARCH("Technical",C126)),ISNUMBER(SEARCH("Engineering",C126)),ISNUMBER(SEARCH("Platform",C126)),ISNUMBER(SEARCH("Portfolio",C126))),85,65))</f>
        <v/>
      </c>
      <c r="W126" s="52">
        <f>IF(C126="","",MIN(100,50+IF(S126&lt;&gt;"",25,0)+IF(R126&lt;&gt;"",15,0)+IF(P126&lt;&gt;"",10,0)))</f>
        <v/>
      </c>
      <c r="X126" s="52">
        <f>IF(E126="","",IF(OR(E126="Canada",E126="CA"),100,IF(OR(E126="United States",E126="USA",E126="US"),IF(J126="Yes",45,75),65)))</f>
        <v/>
      </c>
      <c r="Y126" s="52">
        <f>IF(C126="","",IF(OR(ISNUMBER(SEARCH("Program",C126)),ISNUMBER(SEARCH("Portfolio",C126)),ISNUMBER(SEARCH("Operations",C126)),ISNUMBER(SEARCH("Transformation",C126))),85,IF(ISNUMBER(SEARCH("Product Manager",C126)),55,70)))</f>
        <v/>
      </c>
      <c r="Z126" s="52">
        <f>IF(C126="","",MIN(100,IF(I126&lt;&gt;"",60,10)+IF(AA126&gt;0,MIN(40,AA126*20),0)))</f>
        <v/>
      </c>
      <c r="AA126" s="52">
        <f>IF(T126="","",ROUND(T126*25%+U126*15%+V126*10%+W126*15%+X126*15%+Y126*10%+Z126*10%,0))</f>
        <v/>
      </c>
      <c r="AB126" s="52">
        <f>IF(AA126="","",IF(X126&lt;50,"Selective / Barrier",IF(AA126&gt;=80,"Tier 1 - Pursue",IF(AA126&gt;=70,"Tier 2 - Pursue",IF(AA126&gt;=60,"Tier 3 - Selective","Do Not Pursue")))))</f>
        <v/>
      </c>
      <c r="AC126" s="52">
        <f>IF(C126="","",IF(I126&lt;&gt;"","Named Contact",IF(AA126&gt;0,"Outreach Logged","Cold")))</f>
        <v/>
      </c>
      <c r="AD126" s="52">
        <f>IF(B126="","",COUNTIF('Outreach Log'!$C:$C,B126))</f>
        <v/>
      </c>
      <c r="AE126" s="52">
        <f>IF(A126="","",IF(OR(K126="Rejected",K126="Closed"),IF(L126&lt;&gt;"",L126-A126,TODAY()-A126),TODAY()-A126))</f>
        <v/>
      </c>
      <c r="AF126" s="52">
        <f>IF(C126="","",IF(AND(AA126&gt;=70,AC126="Cold"),"High-fit but cold",IF(AND(AA126&lt;60,K126="Applied"),"Low-fit application",IF(AND(AA126&gt;=70,OR(AC126="Named Contact",AC126="Outreach Logged")),"Targeted pursuit","Review"))))</f>
        <v/>
      </c>
    </row>
    <row r="127" ht="15" customHeight="1" s="44">
      <c r="A127" s="53" t="n">
        <v>46178</v>
      </c>
      <c r="B127" s="48" t="inlineStr">
        <is>
          <t>EY</t>
        </is>
      </c>
      <c r="C127" s="48" t="inlineStr">
        <is>
          <t>NextGen AI Manager</t>
        </is>
      </c>
      <c r="D127" s="48" t="inlineStr">
        <is>
          <t>Manager</t>
        </is>
      </c>
      <c r="E127" s="48" t="inlineStr">
        <is>
          <t>US</t>
        </is>
      </c>
      <c r="F127" s="48" t="inlineStr">
        <is>
          <t>Austin, TX</t>
        </is>
      </c>
      <c r="G127" s="48" t="n">
        <v>68</v>
      </c>
      <c r="H127" s="48" t="inlineStr">
        <is>
          <t>LinkedIn</t>
        </is>
      </c>
      <c r="I127" s="48" t="n"/>
      <c r="J127" s="48" t="inlineStr">
        <is>
          <t>Yes</t>
        </is>
      </c>
      <c r="K127" s="56" t="inlineStr">
        <is>
          <t>Ghosted (30d+)</t>
        </is>
      </c>
      <c r="L127" s="48" t="n"/>
      <c r="M127" s="48">
        <f>IF(OR(L48="",A48=""),"",L48-A48)</f>
        <v/>
      </c>
      <c r="N127" s="48" t="n"/>
      <c r="O127" s="48" t="n"/>
      <c r="P127" s="51" t="inlineStr">
        <is>
          <t>On-site. Separate application from EY Hoboken NJ posting of same title. LinkedIn shows no longer accepting applications.</t>
        </is>
      </c>
      <c r="Q127" s="48" t="n"/>
      <c r="R127" s="48" t="n"/>
      <c r="S127" s="51" t="n"/>
      <c r="T127" s="52">
        <f>IF(G127="","",G127)</f>
        <v/>
      </c>
      <c r="U127" s="52">
        <f>IF(C127="","",IF(OR(ISNUMBER(SEARCH("Director",C127)),ISNUMBER(SEARCH("Lead",C127)),ISNUMBER(SEARCH("Senior",C127)),ISNUMBER(SEARCH("Sr.",C127))),90,IF(OR(ISNUMBER(SEARCH("Manager",C127)),ISNUMBER(SEARCH("Program",C127)),ISNUMBER(SEARCH("Portfolio",C127))),80,60)))</f>
        <v/>
      </c>
      <c r="V127" s="52">
        <f>IF(C127="","",IF(OR(ISNUMBER(SEARCH("AI",C127)),ISNUMBER(SEARCH("Data",C127)),ISNUMBER(SEARCH("Technology",C127)),ISNUMBER(SEARCH("Technical",C127)),ISNUMBER(SEARCH("Engineering",C127)),ISNUMBER(SEARCH("Platform",C127)),ISNUMBER(SEARCH("Portfolio",C127))),85,65))</f>
        <v/>
      </c>
      <c r="W127" s="52">
        <f>IF(C127="","",MIN(100,50+IF(S127&lt;&gt;"",25,0)+IF(R127&lt;&gt;"",15,0)+IF(P127&lt;&gt;"",10,0)))</f>
        <v/>
      </c>
      <c r="X127" s="52">
        <f>IF(E127="","",IF(OR(E127="Canada",E127="CA"),100,IF(OR(E127="United States",E127="USA",E127="US"),IF(J127="Yes",45,75),65)))</f>
        <v/>
      </c>
      <c r="Y127" s="52">
        <f>IF(C127="","",IF(OR(ISNUMBER(SEARCH("Program",C127)),ISNUMBER(SEARCH("Portfolio",C127)),ISNUMBER(SEARCH("Operations",C127)),ISNUMBER(SEARCH("Transformation",C127))),85,IF(ISNUMBER(SEARCH("Product Manager",C127)),55,70)))</f>
        <v/>
      </c>
      <c r="Z127" s="52">
        <f>IF(C127="","",MIN(100,IF(I127&lt;&gt;"",60,10)+IF(AA127&gt;0,MIN(40,AA127*20),0)))</f>
        <v/>
      </c>
      <c r="AA127" s="52">
        <f>IF(T127="","",ROUND(T127*25%+U127*15%+V127*10%+W127*15%+X127*15%+Y127*10%+Z127*10%,0))</f>
        <v/>
      </c>
      <c r="AB127" s="52">
        <f>IF(AA127="","",IF(X127&lt;50,"Selective / Barrier",IF(AA127&gt;=80,"Tier 1 - Pursue",IF(AA127&gt;=70,"Tier 2 - Pursue",IF(AA127&gt;=60,"Tier 3 - Selective","Do Not Pursue")))))</f>
        <v/>
      </c>
      <c r="AC127" s="52">
        <f>IF(C127="","",IF(I127&lt;&gt;"","Named Contact",IF(AA127&gt;0,"Outreach Logged","Cold")))</f>
        <v/>
      </c>
      <c r="AD127" s="52">
        <f>IF(B127="","",COUNTIF('Outreach Log'!$C:$C,B127))</f>
        <v/>
      </c>
      <c r="AE127" s="52">
        <f>IF(A127="","",IF(OR(K127="Rejected",K127="Closed"),IF(L127&lt;&gt;"",L127-A127,TODAY()-A127),TODAY()-A127))</f>
        <v/>
      </c>
      <c r="AF127" s="52">
        <f>IF(C127="","",IF(AND(AA127&gt;=70,AC127="Cold"),"High-fit but cold",IF(AND(AA127&lt;60,K127="Applied"),"Low-fit application",IF(AND(AA127&gt;=70,OR(AC127="Named Contact",AC127="Outreach Logged")),"Targeted pursuit","Review"))))</f>
        <v/>
      </c>
    </row>
    <row r="128" ht="15" customHeight="1" s="44">
      <c r="A128" s="53" t="n">
        <v>46180</v>
      </c>
      <c r="B128" s="48" t="inlineStr">
        <is>
          <t>RBC</t>
        </is>
      </c>
      <c r="C128" s="48" t="inlineStr">
        <is>
          <t>Director, Business Portfolio and Delivery Management</t>
        </is>
      </c>
      <c r="D128" s="48" t="inlineStr">
        <is>
          <t>Director</t>
        </is>
      </c>
      <c r="E128" s="48" t="inlineStr">
        <is>
          <t>Canada</t>
        </is>
      </c>
      <c r="F128" s="48" t="inlineStr">
        <is>
          <t>Toronto</t>
        </is>
      </c>
      <c r="G128" s="48" t="n">
        <v>74</v>
      </c>
      <c r="H128" s="48" t="inlineStr">
        <is>
          <t>Cold Portal</t>
        </is>
      </c>
      <c r="I128" s="48" t="n"/>
      <c r="J128" s="48" t="inlineStr">
        <is>
          <t>No</t>
        </is>
      </c>
      <c r="K128" s="55" t="inlineStr">
        <is>
          <t>Applied</t>
        </is>
      </c>
      <c r="L128" s="48" t="n"/>
      <c r="M128" s="48">
        <f>IF(OR(L49="",A49=""),"",L49-A49)</f>
        <v/>
      </c>
      <c r="N128" s="48" t="n"/>
      <c r="O128" s="48" t="n"/>
      <c r="P128" s="51" t="inlineStr">
        <is>
          <t>Req ID R-0000174032. Confirmed via RBC Workday candidate portal screenshot 08/05 — status "Application Received", active.</t>
        </is>
      </c>
      <c r="Q128" s="48" t="n"/>
      <c r="R128" s="48" t="n"/>
      <c r="S128" s="51" t="n"/>
      <c r="T128" s="52">
        <f>IF(G128="","",G128)</f>
        <v/>
      </c>
      <c r="U128" s="52">
        <f>IF(C128="","",IF(OR(ISNUMBER(SEARCH("Director",C128)),ISNUMBER(SEARCH("Lead",C128)),ISNUMBER(SEARCH("Senior",C128)),ISNUMBER(SEARCH("Sr.",C128))),90,IF(OR(ISNUMBER(SEARCH("Manager",C128)),ISNUMBER(SEARCH("Program",C128)),ISNUMBER(SEARCH("Portfolio",C128))),80,60)))</f>
        <v/>
      </c>
      <c r="V128" s="52">
        <f>IF(C128="","",IF(OR(ISNUMBER(SEARCH("AI",C128)),ISNUMBER(SEARCH("Data",C128)),ISNUMBER(SEARCH("Technology",C128)),ISNUMBER(SEARCH("Technical",C128)),ISNUMBER(SEARCH("Engineering",C128)),ISNUMBER(SEARCH("Platform",C128)),ISNUMBER(SEARCH("Portfolio",C128))),85,65))</f>
        <v/>
      </c>
      <c r="W128" s="52">
        <f>IF(C128="","",MIN(100,50+IF(S128&lt;&gt;"",25,0)+IF(R128&lt;&gt;"",15,0)+IF(P128&lt;&gt;"",10,0)))</f>
        <v/>
      </c>
      <c r="X128" s="52">
        <f>IF(E128="","",IF(OR(E128="Canada",E128="CA"),100,IF(OR(E128="United States",E128="USA",E128="US"),IF(J128="Yes",45,75),65)))</f>
        <v/>
      </c>
      <c r="Y128" s="52">
        <f>IF(C128="","",IF(OR(ISNUMBER(SEARCH("Program",C128)),ISNUMBER(SEARCH("Portfolio",C128)),ISNUMBER(SEARCH("Operations",C128)),ISNUMBER(SEARCH("Transformation",C128))),85,IF(ISNUMBER(SEARCH("Product Manager",C128)),55,70)))</f>
        <v/>
      </c>
      <c r="Z128" s="52">
        <f>IF(C128="","",MIN(100,IF(I128&lt;&gt;"",60,10)+IF(AA128&gt;0,MIN(40,AA128*20),0)))</f>
        <v/>
      </c>
      <c r="AA128" s="52">
        <f>IF(T128="","",ROUND(T128*25%+U128*15%+V128*10%+W128*15%+X128*15%+Y128*10%+Z128*10%,0))</f>
        <v/>
      </c>
      <c r="AB128" s="52">
        <f>IF(AA128="","",IF(X128&lt;50,"Selective / Barrier",IF(AA128&gt;=80,"Tier 1 - Pursue",IF(AA128&gt;=70,"Tier 2 - Pursue",IF(AA128&gt;=60,"Tier 3 - Selective","Do Not Pursue")))))</f>
        <v/>
      </c>
      <c r="AC128" s="52">
        <f>IF(C128="","",IF(I128&lt;&gt;"","Named Contact",IF(AA128&gt;0,"Outreach Logged","Cold")))</f>
        <v/>
      </c>
      <c r="AD128" s="52">
        <f>IF(B128="","",COUNTIF('Outreach Log'!$C:$C,B128))</f>
        <v/>
      </c>
      <c r="AE128" s="52">
        <f>IF(A128="","",IF(OR(K128="Rejected",K128="Closed"),IF(L128&lt;&gt;"",L128-A128,TODAY()-A128),TODAY()-A128))</f>
        <v/>
      </c>
      <c r="AF128" s="52">
        <f>IF(C128="","",IF(AND(AA128&gt;=70,AC128="Cold"),"High-fit but cold",IF(AND(AA128&lt;60,K128="Applied"),"Low-fit application",IF(AND(AA128&gt;=70,OR(AC128="Named Contact",AC128="Outreach Logged")),"Targeted pursuit","Review"))))</f>
        <v/>
      </c>
    </row>
    <row r="129" ht="15" customHeight="1" s="44">
      <c r="A129" s="53" t="n">
        <v>46181</v>
      </c>
      <c r="B129" s="48" t="inlineStr">
        <is>
          <t>RBC</t>
        </is>
      </c>
      <c r="C129" s="48" t="inlineStr">
        <is>
          <t>Senior Manager, Program Management - AI &amp; Digital Transformation</t>
        </is>
      </c>
      <c r="D129" s="48" t="inlineStr">
        <is>
          <t>Senior Manager</t>
        </is>
      </c>
      <c r="E129" s="48" t="inlineStr">
        <is>
          <t>Canada</t>
        </is>
      </c>
      <c r="F129" s="48" t="inlineStr">
        <is>
          <t>Toronto</t>
        </is>
      </c>
      <c r="G129" s="48" t="n">
        <v>80</v>
      </c>
      <c r="H129" s="48" t="inlineStr">
        <is>
          <t>Cold Portal</t>
        </is>
      </c>
      <c r="I129" s="48" t="n"/>
      <c r="J129" s="48" t="inlineStr">
        <is>
          <t>No</t>
        </is>
      </c>
      <c r="K129" s="56" t="inlineStr">
        <is>
          <t>Ghosted (30d+)</t>
        </is>
      </c>
      <c r="L129" s="48" t="n"/>
      <c r="M129" s="48">
        <f>IF(OR(L50="",A50=""),"",L50-A50)</f>
        <v/>
      </c>
      <c r="N129" s="48" t="n"/>
      <c r="O129" s="48" t="n"/>
      <c r="P129" s="51" t="inlineStr">
        <is>
          <t>Req ID R-0000171036. Confirmed via RBC Workday candidate portal screenshot 08/05 — status "Application Received", active. Strong fit: AI/Digital Transformation program management aligns closely with Bell Canada Data &amp; AI portfolio work. | UPDATE 2026-09-13: Elena confirms this req was reposted ~2 days ago (~9/11/2026) — 97 days of silence since original 6/8 application. Marked Ghosted per 30-day rule. Reposting suggests the original submission is effectively dead; worth deciding whether to submit a fresh application against the reposted listing. | CONFIRMED 2026-09-13: attempted to reapply against the reposted listing, but RBC portal blocked it with "you have already applied for this role" — confirms this is the same req (R-0000171036) still open, not a new posting, and her original 6/8 application remains on file. Still no response after 97 days; nothing further to do but wait or reach out to a contact if she has one at RBC.</t>
        </is>
      </c>
      <c r="Q129" s="48" t="n"/>
      <c r="R129" s="48" t="n"/>
      <c r="S129" s="51" t="n"/>
      <c r="T129" s="52">
        <f>IF(G129="","",G129)</f>
        <v/>
      </c>
      <c r="U129" s="52">
        <f>IF(C129="","",IF(OR(ISNUMBER(SEARCH("Director",C129)),ISNUMBER(SEARCH("Lead",C129)),ISNUMBER(SEARCH("Senior",C129)),ISNUMBER(SEARCH("Sr.",C129))),90,IF(OR(ISNUMBER(SEARCH("Manager",C129)),ISNUMBER(SEARCH("Program",C129)),ISNUMBER(SEARCH("Portfolio",C129))),80,60)))</f>
        <v/>
      </c>
      <c r="V129" s="52">
        <f>IF(C129="","",IF(OR(ISNUMBER(SEARCH("AI",C129)),ISNUMBER(SEARCH("Data",C129)),ISNUMBER(SEARCH("Technology",C129)),ISNUMBER(SEARCH("Technical",C129)),ISNUMBER(SEARCH("Engineering",C129)),ISNUMBER(SEARCH("Platform",C129)),ISNUMBER(SEARCH("Portfolio",C129))),85,65))</f>
        <v/>
      </c>
      <c r="W129" s="52">
        <f>IF(C129="","",MIN(100,50+IF(S129&lt;&gt;"",25,0)+IF(R129&lt;&gt;"",15,0)+IF(P129&lt;&gt;"",10,0)))</f>
        <v/>
      </c>
      <c r="X129" s="52">
        <f>IF(E129="","",IF(OR(E129="Canada",E129="CA"),100,IF(OR(E129="United States",E129="USA",E129="US"),IF(J129="Yes",45,75),65)))</f>
        <v/>
      </c>
      <c r="Y129" s="52">
        <f>IF(C129="","",IF(OR(ISNUMBER(SEARCH("Program",C129)),ISNUMBER(SEARCH("Portfolio",C129)),ISNUMBER(SEARCH("Operations",C129)),ISNUMBER(SEARCH("Transformation",C129))),85,IF(ISNUMBER(SEARCH("Product Manager",C129)),55,70)))</f>
        <v/>
      </c>
      <c r="Z129" s="52">
        <f>IF(C129="","",MIN(100,IF(I129&lt;&gt;"",60,10)+IF(AA129&gt;0,MIN(40,AA129*20),0)))</f>
        <v/>
      </c>
      <c r="AA129" s="52">
        <f>IF(T129="","",ROUND(T129*25%+U129*15%+V129*10%+W129*15%+X129*15%+Y129*10%+Z129*10%,0))</f>
        <v/>
      </c>
      <c r="AB129" s="52">
        <f>IF(AA129="","",IF(X129&lt;50,"Selective / Barrier",IF(AA129&gt;=80,"Tier 1 - Pursue",IF(AA129&gt;=70,"Tier 2 - Pursue",IF(AA129&gt;=60,"Tier 3 - Selective","Do Not Pursue")))))</f>
        <v/>
      </c>
      <c r="AC129" s="52">
        <f>IF(C129="","",IF(I129&lt;&gt;"","Named Contact",IF(AA129&gt;0,"Outreach Logged","Cold")))</f>
        <v/>
      </c>
      <c r="AD129" s="52">
        <f>IF(B129="","",COUNTIF('Outreach Log'!$C:$C,B129))</f>
        <v/>
      </c>
      <c r="AE129" s="52">
        <f>IF(A129="","",IF(OR(K129="Rejected",K129="Closed"),IF(L129&lt;&gt;"",L129-A129,TODAY()-A129),TODAY()-A129))</f>
        <v/>
      </c>
      <c r="AF129" s="52">
        <f>IF(C129="","",IF(AND(AA129&gt;=70,AC129="Cold"),"High-fit but cold",IF(AND(AA129&lt;60,K129="Applied"),"Low-fit application",IF(AND(AA129&gt;=70,OR(AC129="Named Contact",AC129="Outreach Logged")),"Targeted pursuit","Review"))))</f>
        <v/>
      </c>
    </row>
    <row r="130" ht="15" customHeight="1" s="44">
      <c r="A130" s="53" t="n">
        <v>46183</v>
      </c>
      <c r="B130" s="48" t="inlineStr">
        <is>
          <t>Lyft</t>
        </is>
      </c>
      <c r="C130" s="48" t="inlineStr">
        <is>
          <t>AI Business Solution Architect</t>
        </is>
      </c>
      <c r="D130" s="48" t="inlineStr">
        <is>
          <t>Senior</t>
        </is>
      </c>
      <c r="E130" s="48" t="inlineStr">
        <is>
          <t>Canada</t>
        </is>
      </c>
      <c r="F130" s="48" t="inlineStr">
        <is>
          <t>Toronto</t>
        </is>
      </c>
      <c r="G130" s="48" t="n">
        <v>69</v>
      </c>
      <c r="H130" s="48" t="inlineStr">
        <is>
          <t>Cold Portal</t>
        </is>
      </c>
      <c r="I130" s="48" t="n"/>
      <c r="J130" s="48" t="inlineStr">
        <is>
          <t>No</t>
        </is>
      </c>
      <c r="K130" s="49" t="inlineStr">
        <is>
          <t>Rejected</t>
        </is>
      </c>
      <c r="L130" s="50" t="n">
        <v>46192</v>
      </c>
      <c r="M130" s="48">
        <f>IF(OR(L128="",A128=""),"",L128-A128)</f>
        <v/>
      </c>
      <c r="N130" s="48" t="n"/>
      <c r="O130" s="48" t="n"/>
      <c r="P130" s="51" t="inlineStr">
        <is>
          <t>Senior Business Solution Architect for Finance; bridges Finance stakeholders and Corporate Engineering/IT, drives AI-enabled transformation of Finance workflows (Oracle Financials, Anaplan, GTreasury). 8+ years business solution architecture/Finance systems implementation. Moderate fit: strong AI transformation and cross-functional bridging overlap with enterprise portfolio background, but requires deep Finance-domain expertise (Accounting, FP&amp;A, Treasury, SOX ITGC) outside core experience. From Greenhouse portal review. Rejected.</t>
        </is>
      </c>
      <c r="Q130" s="48" t="n"/>
      <c r="R130" s="48" t="inlineStr">
        <is>
          <t>Domain mismatch (deep Finance-systems expertise required)</t>
        </is>
      </c>
      <c r="S130" s="51" t="inlineStr">
        <is>
          <t>8+ yrs business solution architecture/Finance systems. Oracle Financials/Anaplan/GTreasury. AI/LLM familiarity. SOX ITGC compliance.</t>
        </is>
      </c>
      <c r="T130" s="52">
        <f>IF(G130="","",G130)</f>
        <v/>
      </c>
      <c r="U130" s="52">
        <f>IF(C130="","",IF(OR(ISNUMBER(SEARCH("Director",C130)),ISNUMBER(SEARCH("Lead",C130)),ISNUMBER(SEARCH("Senior",C130)),ISNUMBER(SEARCH("Sr.",C130))),90,IF(OR(ISNUMBER(SEARCH("Manager",C130)),ISNUMBER(SEARCH("Program",C130)),ISNUMBER(SEARCH("Portfolio",C130))),80,60)))</f>
        <v/>
      </c>
      <c r="V130" s="52">
        <f>IF(C130="","",IF(OR(ISNUMBER(SEARCH("AI",C130)),ISNUMBER(SEARCH("Data",C130)),ISNUMBER(SEARCH("Technology",C130)),ISNUMBER(SEARCH("Technical",C130)),ISNUMBER(SEARCH("Engineering",C130)),ISNUMBER(SEARCH("Platform",C130)),ISNUMBER(SEARCH("Portfolio",C130))),85,65))</f>
        <v/>
      </c>
      <c r="W130" s="52">
        <f>IF(C130="","",MIN(100,50+IF(S130&lt;&gt;"",25,0)+IF(R130&lt;&gt;"",15,0)+IF(P130&lt;&gt;"",10,0)))</f>
        <v/>
      </c>
      <c r="X130" s="52">
        <f>IF(E130="","",IF(OR(E130="Canada",E130="CA"),100,IF(OR(E130="United States",E130="USA",E130="US"),IF(J130="Yes",45,75),65)))</f>
        <v/>
      </c>
      <c r="Y130" s="52">
        <f>IF(C130="","",IF(OR(ISNUMBER(SEARCH("Program",C130)),ISNUMBER(SEARCH("Portfolio",C130)),ISNUMBER(SEARCH("Operations",C130)),ISNUMBER(SEARCH("Transformation",C130))),85,IF(ISNUMBER(SEARCH("Product Manager",C130)),55,70)))</f>
        <v/>
      </c>
      <c r="Z130" s="52">
        <f>IF(C130="","",MIN(100,IF(I130&lt;&gt;"",60,10)+IF(AA130&gt;0,MIN(40,AA130*20),0)))</f>
        <v/>
      </c>
      <c r="AA130" s="52">
        <f>IF(T130="","",ROUND(T130*25%+U130*15%+V130*10%+W130*15%+X130*15%+Y130*10%+Z130*10%,0))</f>
        <v/>
      </c>
      <c r="AB130" s="52">
        <f>IF(AA130="","",IF(X130&lt;50,"Selective / Barrier",IF(AA130&gt;=80,"Tier 1 - Pursue",IF(AA130&gt;=70,"Tier 2 - Pursue",IF(AA130&gt;=60,"Tier 3 - Selective","Do Not Pursue")))))</f>
        <v/>
      </c>
      <c r="AC130" s="52">
        <f>IF(C130="","",IF(I130&lt;&gt;"","Named Contact",IF(AA130&gt;0,"Outreach Logged","Cold")))</f>
        <v/>
      </c>
      <c r="AD130" s="52">
        <f>IF(B130="","",COUNTIF('Outreach Log'!$C:$C,B130))</f>
        <v/>
      </c>
      <c r="AE130" s="52">
        <f>IF(A130="","",IF(OR(K130="Rejected",K130="Closed"),IF(L130&lt;&gt;"",L130-A130,TODAY()-A130),TODAY()-A130))</f>
        <v/>
      </c>
      <c r="AF130" s="52">
        <f>IF(C130="","",IF(AND(AA130&gt;=70,AC130="Cold"),"High-fit but cold",IF(AND(AA130&lt;60,K130="Applied"),"Low-fit application",IF(AND(AA130&gt;=70,OR(AC130="Named Contact",AC130="Outreach Logged")),"Targeted pursuit","Review"))))</f>
        <v/>
      </c>
    </row>
    <row r="131" ht="15" customHeight="1" s="44">
      <c r="A131" s="53" t="n">
        <v>46184</v>
      </c>
      <c r="B131" s="48" t="inlineStr">
        <is>
          <t>Walmart Canada</t>
        </is>
      </c>
      <c r="C131" s="48" t="inlineStr">
        <is>
          <t>Delivery/TPM role</t>
        </is>
      </c>
      <c r="D131" s="48" t="inlineStr">
        <is>
          <t>Sr Manager</t>
        </is>
      </c>
      <c r="E131" s="48" t="inlineStr">
        <is>
          <t>Canada</t>
        </is>
      </c>
      <c r="F131" s="48" t="inlineStr">
        <is>
          <t>Toronto</t>
        </is>
      </c>
      <c r="G131" s="48" t="n">
        <v>70</v>
      </c>
      <c r="H131" s="48" t="inlineStr">
        <is>
          <t>Cold Portal</t>
        </is>
      </c>
      <c r="I131" s="48" t="n"/>
      <c r="J131" s="48" t="inlineStr">
        <is>
          <t>No</t>
        </is>
      </c>
      <c r="K131" s="56" t="inlineStr">
        <is>
          <t>Ghosted (30d+)</t>
        </is>
      </c>
      <c r="L131" s="48" t="n"/>
      <c r="M131" s="48">
        <f>IF(OR(L52="",A52=""),"",L52-A52)</f>
        <v/>
      </c>
      <c r="N131" s="48" t="n"/>
      <c r="O131" s="48" t="n"/>
      <c r="P131" s="51" t="inlineStr">
        <is>
          <t>Workday confirm 06/11</t>
        </is>
      </c>
      <c r="Q131" s="48" t="n"/>
      <c r="R131" s="48" t="n"/>
      <c r="S131" s="51" t="n"/>
      <c r="T131" s="52">
        <f>IF(G131="","",G131)</f>
        <v/>
      </c>
      <c r="U131" s="52">
        <f>IF(C131="","",IF(OR(ISNUMBER(SEARCH("Director",C131)),ISNUMBER(SEARCH("Lead",C131)),ISNUMBER(SEARCH("Senior",C131)),ISNUMBER(SEARCH("Sr.",C131))),90,IF(OR(ISNUMBER(SEARCH("Manager",C131)),ISNUMBER(SEARCH("Program",C131)),ISNUMBER(SEARCH("Portfolio",C131))),80,60)))</f>
        <v/>
      </c>
      <c r="V131" s="52">
        <f>IF(C131="","",IF(OR(ISNUMBER(SEARCH("AI",C131)),ISNUMBER(SEARCH("Data",C131)),ISNUMBER(SEARCH("Technology",C131)),ISNUMBER(SEARCH("Technical",C131)),ISNUMBER(SEARCH("Engineering",C131)),ISNUMBER(SEARCH("Platform",C131)),ISNUMBER(SEARCH("Portfolio",C131))),85,65))</f>
        <v/>
      </c>
      <c r="W131" s="52">
        <f>IF(C131="","",MIN(100,50+IF(S131&lt;&gt;"",25,0)+IF(R131&lt;&gt;"",15,0)+IF(P131&lt;&gt;"",10,0)))</f>
        <v/>
      </c>
      <c r="X131" s="52">
        <f>IF(E131="","",IF(OR(E131="Canada",E131="CA"),100,IF(OR(E131="United States",E131="USA",E131="US"),IF(J131="Yes",45,75),65)))</f>
        <v/>
      </c>
      <c r="Y131" s="52">
        <f>IF(C131="","",IF(OR(ISNUMBER(SEARCH("Program",C131)),ISNUMBER(SEARCH("Portfolio",C131)),ISNUMBER(SEARCH("Operations",C131)),ISNUMBER(SEARCH("Transformation",C131))),85,IF(ISNUMBER(SEARCH("Product Manager",C131)),55,70)))</f>
        <v/>
      </c>
      <c r="Z131" s="52">
        <f>IF(C131="","",MIN(100,IF(I131&lt;&gt;"",60,10)+IF(AA131&gt;0,MIN(40,AA131*20),0)))</f>
        <v/>
      </c>
      <c r="AA131" s="52">
        <f>IF(T131="","",ROUND(T131*25%+U131*15%+V131*10%+W131*15%+X131*15%+Y131*10%+Z131*10%,0))</f>
        <v/>
      </c>
      <c r="AB131" s="52">
        <f>IF(AA131="","",IF(X131&lt;50,"Selective / Barrier",IF(AA131&gt;=80,"Tier 1 - Pursue",IF(AA131&gt;=70,"Tier 2 - Pursue",IF(AA131&gt;=60,"Tier 3 - Selective","Do Not Pursue")))))</f>
        <v/>
      </c>
      <c r="AC131" s="52">
        <f>IF(C131="","",IF(I131&lt;&gt;"","Named Contact",IF(AA131&gt;0,"Outreach Logged","Cold")))</f>
        <v/>
      </c>
      <c r="AD131" s="52">
        <f>IF(B131="","",COUNTIF('Outreach Log'!$C:$C,B131))</f>
        <v/>
      </c>
      <c r="AE131" s="52">
        <f>IF(A131="","",IF(OR(K131="Rejected",K131="Closed"),IF(L131&lt;&gt;"",L131-A131,TODAY()-A131),TODAY()-A131))</f>
        <v/>
      </c>
      <c r="AF131" s="52">
        <f>IF(C131="","",IF(AND(AA131&gt;=70,AC131="Cold"),"High-fit but cold",IF(AND(AA131&lt;60,K131="Applied"),"Low-fit application",IF(AND(AA131&gt;=70,OR(AC131="Named Contact",AC131="Outreach Logged")),"Targeted pursuit","Review"))))</f>
        <v/>
      </c>
    </row>
    <row r="132" ht="15" customHeight="1" s="44">
      <c r="A132" s="53" t="n">
        <v>46185</v>
      </c>
      <c r="B132" s="48" t="inlineStr">
        <is>
          <t>Canadian Tire</t>
        </is>
      </c>
      <c r="C132" s="48" t="inlineStr">
        <is>
          <t>Delivery Program Manager</t>
        </is>
      </c>
      <c r="D132" s="48" t="inlineStr">
        <is>
          <t>Sr Manager</t>
        </is>
      </c>
      <c r="E132" s="48" t="inlineStr">
        <is>
          <t>Canada</t>
        </is>
      </c>
      <c r="F132" s="48" t="inlineStr">
        <is>
          <t>Toronto</t>
        </is>
      </c>
      <c r="G132" s="48" t="n">
        <v>70</v>
      </c>
      <c r="H132" s="48" t="inlineStr">
        <is>
          <t>Cold Portal</t>
        </is>
      </c>
      <c r="I132" s="48" t="n"/>
      <c r="J132" s="48" t="inlineStr">
        <is>
          <t>No</t>
        </is>
      </c>
      <c r="K132" s="56" t="inlineStr">
        <is>
          <t>Ghosted (30d+)</t>
        </is>
      </c>
      <c r="L132" s="48" t="n"/>
      <c r="M132" s="48">
        <f>IF(OR(L53="",A53=""),"",L53-A53)</f>
        <v/>
      </c>
      <c r="N132" s="48" t="n"/>
      <c r="O132" s="48" t="n"/>
      <c r="P132" s="51" t="n"/>
      <c r="Q132" s="48" t="n"/>
      <c r="R132" s="48" t="n"/>
      <c r="S132" s="51" t="n"/>
      <c r="T132" s="52">
        <f>IF(G132="","",G132)</f>
        <v/>
      </c>
      <c r="U132" s="52">
        <f>IF(C132="","",IF(OR(ISNUMBER(SEARCH("Director",C132)),ISNUMBER(SEARCH("Lead",C132)),ISNUMBER(SEARCH("Senior",C132)),ISNUMBER(SEARCH("Sr.",C132))),90,IF(OR(ISNUMBER(SEARCH("Manager",C132)),ISNUMBER(SEARCH("Program",C132)),ISNUMBER(SEARCH("Portfolio",C132))),80,60)))</f>
        <v/>
      </c>
      <c r="V132" s="52">
        <f>IF(C132="","",IF(OR(ISNUMBER(SEARCH("AI",C132)),ISNUMBER(SEARCH("Data",C132)),ISNUMBER(SEARCH("Technology",C132)),ISNUMBER(SEARCH("Technical",C132)),ISNUMBER(SEARCH("Engineering",C132)),ISNUMBER(SEARCH("Platform",C132)),ISNUMBER(SEARCH("Portfolio",C132))),85,65))</f>
        <v/>
      </c>
      <c r="W132" s="52">
        <f>IF(C132="","",MIN(100,50+IF(S132&lt;&gt;"",25,0)+IF(R132&lt;&gt;"",15,0)+IF(P132&lt;&gt;"",10,0)))</f>
        <v/>
      </c>
      <c r="X132" s="52">
        <f>IF(E132="","",IF(OR(E132="Canada",E132="CA"),100,IF(OR(E132="United States",E132="USA",E132="US"),IF(J132="Yes",45,75),65)))</f>
        <v/>
      </c>
      <c r="Y132" s="52">
        <f>IF(C132="","",IF(OR(ISNUMBER(SEARCH("Program",C132)),ISNUMBER(SEARCH("Portfolio",C132)),ISNUMBER(SEARCH("Operations",C132)),ISNUMBER(SEARCH("Transformation",C132))),85,IF(ISNUMBER(SEARCH("Product Manager",C132)),55,70)))</f>
        <v/>
      </c>
      <c r="Z132" s="52">
        <f>IF(C132="","",MIN(100,IF(I132&lt;&gt;"",60,10)+IF(AA132&gt;0,MIN(40,AA132*20),0)))</f>
        <v/>
      </c>
      <c r="AA132" s="52">
        <f>IF(T132="","",ROUND(T132*25%+U132*15%+V132*10%+W132*15%+X132*15%+Y132*10%+Z132*10%,0))</f>
        <v/>
      </c>
      <c r="AB132" s="52">
        <f>IF(AA132="","",IF(X132&lt;50,"Selective / Barrier",IF(AA132&gt;=80,"Tier 1 - Pursue",IF(AA132&gt;=70,"Tier 2 - Pursue",IF(AA132&gt;=60,"Tier 3 - Selective","Do Not Pursue")))))</f>
        <v/>
      </c>
      <c r="AC132" s="52">
        <f>IF(C132="","",IF(I132&lt;&gt;"","Named Contact",IF(AA132&gt;0,"Outreach Logged","Cold")))</f>
        <v/>
      </c>
      <c r="AD132" s="52">
        <f>IF(B132="","",COUNTIF('Outreach Log'!$C:$C,B132))</f>
        <v/>
      </c>
      <c r="AE132" s="52">
        <f>IF(A132="","",IF(OR(K132="Rejected",K132="Closed"),IF(L132&lt;&gt;"",L132-A132,TODAY()-A132),TODAY()-A132))</f>
        <v/>
      </c>
      <c r="AF132" s="52">
        <f>IF(C132="","",IF(AND(AA132&gt;=70,AC132="Cold"),"High-fit but cold",IF(AND(AA132&lt;60,K132="Applied"),"Low-fit application",IF(AND(AA132&gt;=70,OR(AC132="Named Contact",AC132="Outreach Logged")),"Targeted pursuit","Review"))))</f>
        <v/>
      </c>
    </row>
    <row r="133" ht="15" customHeight="1" s="44">
      <c r="A133" s="53" t="n">
        <v>46185</v>
      </c>
      <c r="B133" s="48" t="inlineStr">
        <is>
          <t>Jerry.ai</t>
        </is>
      </c>
      <c r="C133" s="48" t="inlineStr">
        <is>
          <t>Senior Manager, AI Agents and Platform</t>
        </is>
      </c>
      <c r="D133" s="48" t="inlineStr">
        <is>
          <t>Sr Manager</t>
        </is>
      </c>
      <c r="E133" s="48" t="inlineStr">
        <is>
          <t>US</t>
        </is>
      </c>
      <c r="F133" s="48" t="inlineStr">
        <is>
          <t>Remote/Toronto?</t>
        </is>
      </c>
      <c r="G133" s="48" t="n">
        <v>65</v>
      </c>
      <c r="H133" s="48" t="inlineStr">
        <is>
          <t>Cold Portal</t>
        </is>
      </c>
      <c r="I133" s="48" t="n"/>
      <c r="J133" s="48" t="inlineStr">
        <is>
          <t>Yes</t>
        </is>
      </c>
      <c r="K133" s="56" t="inlineStr">
        <is>
          <t>Ghosted (30d+)</t>
        </is>
      </c>
      <c r="L133" s="48" t="n"/>
      <c r="M133" s="48">
        <f>IF(OR(L54="",A54=""),"",L54-A54)</f>
        <v/>
      </c>
      <c r="N133" s="48" t="n"/>
      <c r="O133" s="48" t="n"/>
      <c r="P133" s="51" t="inlineStr">
        <is>
          <t>Ashby ATS</t>
        </is>
      </c>
      <c r="Q133" s="48" t="n"/>
      <c r="R133" s="48" t="n"/>
      <c r="S133" s="51" t="n"/>
      <c r="T133" s="52">
        <f>IF(G133="","",G133)</f>
        <v/>
      </c>
      <c r="U133" s="52">
        <f>IF(C133="","",IF(OR(ISNUMBER(SEARCH("Director",C133)),ISNUMBER(SEARCH("Lead",C133)),ISNUMBER(SEARCH("Senior",C133)),ISNUMBER(SEARCH("Sr.",C133))),90,IF(OR(ISNUMBER(SEARCH("Manager",C133)),ISNUMBER(SEARCH("Program",C133)),ISNUMBER(SEARCH("Portfolio",C133))),80,60)))</f>
        <v/>
      </c>
      <c r="V133" s="52">
        <f>IF(C133="","",IF(OR(ISNUMBER(SEARCH("AI",C133)),ISNUMBER(SEARCH("Data",C133)),ISNUMBER(SEARCH("Technology",C133)),ISNUMBER(SEARCH("Technical",C133)),ISNUMBER(SEARCH("Engineering",C133)),ISNUMBER(SEARCH("Platform",C133)),ISNUMBER(SEARCH("Portfolio",C133))),85,65))</f>
        <v/>
      </c>
      <c r="W133" s="52">
        <f>IF(C133="","",MIN(100,50+IF(S133&lt;&gt;"",25,0)+IF(R133&lt;&gt;"",15,0)+IF(P133&lt;&gt;"",10,0)))</f>
        <v/>
      </c>
      <c r="X133" s="52">
        <f>IF(E133="","",IF(OR(E133="Canada",E133="CA"),100,IF(OR(E133="United States",E133="USA",E133="US"),IF(J133="Yes",45,75),65)))</f>
        <v/>
      </c>
      <c r="Y133" s="52">
        <f>IF(C133="","",IF(OR(ISNUMBER(SEARCH("Program",C133)),ISNUMBER(SEARCH("Portfolio",C133)),ISNUMBER(SEARCH("Operations",C133)),ISNUMBER(SEARCH("Transformation",C133))),85,IF(ISNUMBER(SEARCH("Product Manager",C133)),55,70)))</f>
        <v/>
      </c>
      <c r="Z133" s="52">
        <f>IF(C133="","",MIN(100,IF(I133&lt;&gt;"",60,10)+IF(AA133&gt;0,MIN(40,AA133*20),0)))</f>
        <v/>
      </c>
      <c r="AA133" s="52">
        <f>IF(T133="","",ROUND(T133*25%+U133*15%+V133*10%+W133*15%+X133*15%+Y133*10%+Z133*10%,0))</f>
        <v/>
      </c>
      <c r="AB133" s="52">
        <f>IF(AA133="","",IF(X133&lt;50,"Selective / Barrier",IF(AA133&gt;=80,"Tier 1 - Pursue",IF(AA133&gt;=70,"Tier 2 - Pursue",IF(AA133&gt;=60,"Tier 3 - Selective","Do Not Pursue")))))</f>
        <v/>
      </c>
      <c r="AC133" s="52">
        <f>IF(C133="","",IF(I133&lt;&gt;"","Named Contact",IF(AA133&gt;0,"Outreach Logged","Cold")))</f>
        <v/>
      </c>
      <c r="AD133" s="52">
        <f>IF(B133="","",COUNTIF('Outreach Log'!$C:$C,B133))</f>
        <v/>
      </c>
      <c r="AE133" s="52">
        <f>IF(A133="","",IF(OR(K133="Rejected",K133="Closed"),IF(L133&lt;&gt;"",L133-A133,TODAY()-A133),TODAY()-A133))</f>
        <v/>
      </c>
      <c r="AF133" s="52">
        <f>IF(C133="","",IF(AND(AA133&gt;=70,AC133="Cold"),"High-fit but cold",IF(AND(AA133&lt;60,K133="Applied"),"Low-fit application",IF(AND(AA133&gt;=70,OR(AC133="Named Contact",AC133="Outreach Logged")),"Targeted pursuit","Review"))))</f>
        <v/>
      </c>
    </row>
    <row r="134" ht="15" customHeight="1" s="44">
      <c r="A134" s="53" t="n">
        <v>46188</v>
      </c>
      <c r="B134" s="48" t="inlineStr">
        <is>
          <t>Stripe</t>
        </is>
      </c>
      <c r="C134" s="48" t="inlineStr">
        <is>
          <t>Design Program Manager, AI</t>
        </is>
      </c>
      <c r="D134" s="48" t="inlineStr">
        <is>
          <t>Sr TPM</t>
        </is>
      </c>
      <c r="E134" s="48" t="inlineStr">
        <is>
          <t>US</t>
        </is>
      </c>
      <c r="F134" s="48" t="inlineStr">
        <is>
          <t>US-Remote</t>
        </is>
      </c>
      <c r="G134" s="48" t="n">
        <v>40</v>
      </c>
      <c r="H134" s="48" t="inlineStr">
        <is>
          <t>Cold Portal</t>
        </is>
      </c>
      <c r="I134" s="48" t="n"/>
      <c r="J134" s="48" t="inlineStr">
        <is>
          <t>Yes</t>
        </is>
      </c>
      <c r="K134" s="49" t="inlineStr">
        <is>
          <t>Rejected</t>
        </is>
      </c>
      <c r="L134" s="50" t="n">
        <v>46188</v>
      </c>
      <c r="M134" s="48">
        <f>IF(OR(L55="",A55=""),"",L55-A55)</f>
        <v/>
      </c>
      <c r="N134" s="48" t="n"/>
      <c r="O134" s="48" t="n"/>
      <c r="P134" s="51" t="inlineStr">
        <is>
          <t>Rejection same period</t>
        </is>
      </c>
      <c r="Q134" s="48" t="n"/>
      <c r="R134" s="48" t="inlineStr">
        <is>
          <t>Technical depth gap (hands-on AI-agent building) — lowest fit</t>
        </is>
      </c>
      <c r="S134" s="51" t="inlineStr">
        <is>
          <t>5+ yrs design/PM + hands-on AI agent-building (not just using AI). Coaching/enablement track record. Figma/design tooling knowledge a plus.</t>
        </is>
      </c>
      <c r="T134" s="52">
        <f>IF(G134="","",G134)</f>
        <v/>
      </c>
      <c r="U134" s="52">
        <f>IF(C134="","",IF(OR(ISNUMBER(SEARCH("Director",C134)),ISNUMBER(SEARCH("Lead",C134)),ISNUMBER(SEARCH("Senior",C134)),ISNUMBER(SEARCH("Sr.",C134))),90,IF(OR(ISNUMBER(SEARCH("Manager",C134)),ISNUMBER(SEARCH("Program",C134)),ISNUMBER(SEARCH("Portfolio",C134))),80,60)))</f>
        <v/>
      </c>
      <c r="V134" s="52">
        <f>IF(C134="","",IF(OR(ISNUMBER(SEARCH("AI",C134)),ISNUMBER(SEARCH("Data",C134)),ISNUMBER(SEARCH("Technology",C134)),ISNUMBER(SEARCH("Technical",C134)),ISNUMBER(SEARCH("Engineering",C134)),ISNUMBER(SEARCH("Platform",C134)),ISNUMBER(SEARCH("Portfolio",C134))),85,65))</f>
        <v/>
      </c>
      <c r="W134" s="52">
        <f>IF(C134="","",MIN(100,50+IF(S134&lt;&gt;"",25,0)+IF(R134&lt;&gt;"",15,0)+IF(P134&lt;&gt;"",10,0)))</f>
        <v/>
      </c>
      <c r="X134" s="52">
        <f>IF(E134="","",IF(OR(E134="Canada",E134="CA"),100,IF(OR(E134="United States",E134="USA",E134="US"),IF(J134="Yes",45,75),65)))</f>
        <v/>
      </c>
      <c r="Y134" s="52">
        <f>IF(C134="","",IF(OR(ISNUMBER(SEARCH("Program",C134)),ISNUMBER(SEARCH("Portfolio",C134)),ISNUMBER(SEARCH("Operations",C134)),ISNUMBER(SEARCH("Transformation",C134))),85,IF(ISNUMBER(SEARCH("Product Manager",C134)),55,70)))</f>
        <v/>
      </c>
      <c r="Z134" s="52">
        <f>IF(C134="","",MIN(100,IF(I134&lt;&gt;"",60,10)+IF(AA134&gt;0,MIN(40,AA134*20),0)))</f>
        <v/>
      </c>
      <c r="AA134" s="52">
        <f>IF(T134="","",ROUND(T134*25%+U134*15%+V134*10%+W134*15%+X134*15%+Y134*10%+Z134*10%,0))</f>
        <v/>
      </c>
      <c r="AB134" s="52">
        <f>IF(AA134="","",IF(X134&lt;50,"Selective / Barrier",IF(AA134&gt;=80,"Tier 1 - Pursue",IF(AA134&gt;=70,"Tier 2 - Pursue",IF(AA134&gt;=60,"Tier 3 - Selective","Do Not Pursue")))))</f>
        <v/>
      </c>
      <c r="AC134" s="52">
        <f>IF(C134="","",IF(I134&lt;&gt;"","Named Contact",IF(AA134&gt;0,"Outreach Logged","Cold")))</f>
        <v/>
      </c>
      <c r="AD134" s="52">
        <f>IF(B134="","",COUNTIF('Outreach Log'!$C:$C,B134))</f>
        <v/>
      </c>
      <c r="AE134" s="52">
        <f>IF(A134="","",IF(OR(K134="Rejected",K134="Closed"),IF(L134&lt;&gt;"",L134-A134,TODAY()-A134),TODAY()-A134))</f>
        <v/>
      </c>
      <c r="AF134" s="52">
        <f>IF(C134="","",IF(AND(AA134&gt;=70,AC134="Cold"),"High-fit but cold",IF(AND(AA134&lt;60,K134="Applied"),"Low-fit application",IF(AND(AA134&gt;=70,OR(AC134="Named Contact",AC134="Outreach Logged")),"Targeted pursuit","Review"))))</f>
        <v/>
      </c>
    </row>
    <row r="135" ht="15" customHeight="1" s="44">
      <c r="A135" s="53" t="n">
        <v>46195</v>
      </c>
      <c r="B135" s="48" t="inlineStr">
        <is>
          <t>Anthropic</t>
        </is>
      </c>
      <c r="C135" s="48" t="inlineStr">
        <is>
          <t>Product Manager, Consumer</t>
        </is>
      </c>
      <c r="D135" s="48" t="inlineStr">
        <is>
          <t>Senior</t>
        </is>
      </c>
      <c r="E135" s="48" t="inlineStr">
        <is>
          <t>US</t>
        </is>
      </c>
      <c r="F135" s="48" t="inlineStr">
        <is>
          <t>San Francisco, CA / New York City, NY</t>
        </is>
      </c>
      <c r="G135" s="48" t="n">
        <v>38</v>
      </c>
      <c r="H135" s="48" t="inlineStr">
        <is>
          <t>Cold Portal</t>
        </is>
      </c>
      <c r="I135" s="48" t="n"/>
      <c r="J135" s="48" t="inlineStr">
        <is>
          <t>Yes</t>
        </is>
      </c>
      <c r="K135" s="49" t="inlineStr">
        <is>
          <t>Rejected</t>
        </is>
      </c>
      <c r="L135" s="48" t="n"/>
      <c r="M135" s="48">
        <f>IF(OR(L133="",A133=""),"",L133-A133)</f>
        <v/>
      </c>
      <c r="N135" s="48" t="n"/>
      <c r="O135" s="48" t="n"/>
      <c r="P135" s="51" t="inlineStr">
        <is>
          <t>PM role - domain switch | Status updated to Rejected per Greenhouse portal review / Gmail check, confirmed 2026-09-20 (was: Ghosted (30d+)). | Core Claude.ai consumer product PM role: owns product strategy/roadmap for web/mobile/desktop experience. 6+ years PM experience, majority in consumer-focused (B2C) roles with millions of users. Low fit: this is a classic Product Manager (not Technical Program Manager) role requiring direct consumer product ownership and product taste/instincts — a different discipline entirely from program/portfolio management. Salary $305,000-$385,000 USD.</t>
        </is>
      </c>
      <c r="Q135" s="48" t="n"/>
      <c r="R135" s="48" t="inlineStr">
        <is>
          <t>Discipline mismatch (Product Manager, not Technical Program Manager) — lowest Anthropic fit</t>
        </is>
      </c>
      <c r="S135" s="51" t="inlineStr">
        <is>
          <t>6+ yrs PM, majority consumer-focused (B2C), millions of users. Product taste/instincts. Experimentation/data-driven prioritization. Technical fluency with engineering.</t>
        </is>
      </c>
      <c r="T135" s="52">
        <f>IF(G135="","",G135)</f>
        <v/>
      </c>
      <c r="U135" s="52">
        <f>IF(C135="","",IF(OR(ISNUMBER(SEARCH("Director",C135)),ISNUMBER(SEARCH("Lead",C135)),ISNUMBER(SEARCH("Senior",C135)),ISNUMBER(SEARCH("Sr.",C135))),90,IF(OR(ISNUMBER(SEARCH("Manager",C135)),ISNUMBER(SEARCH("Program",C135)),ISNUMBER(SEARCH("Portfolio",C135))),80,60)))</f>
        <v/>
      </c>
      <c r="V135" s="52">
        <f>IF(C135="","",IF(OR(ISNUMBER(SEARCH("AI",C135)),ISNUMBER(SEARCH("Data",C135)),ISNUMBER(SEARCH("Technology",C135)),ISNUMBER(SEARCH("Technical",C135)),ISNUMBER(SEARCH("Engineering",C135)),ISNUMBER(SEARCH("Platform",C135)),ISNUMBER(SEARCH("Portfolio",C135))),85,65))</f>
        <v/>
      </c>
      <c r="W135" s="52">
        <f>IF(C135="","",MIN(100,50+IF(S135&lt;&gt;"",25,0)+IF(R135&lt;&gt;"",15,0)+IF(P135&lt;&gt;"",10,0)))</f>
        <v/>
      </c>
      <c r="X135" s="52">
        <f>IF(E135="","",IF(OR(E135="Canada",E135="CA"),100,IF(OR(E135="United States",E135="USA",E135="US"),IF(J135="Yes",45,75),65)))</f>
        <v/>
      </c>
      <c r="Y135" s="52">
        <f>IF(C135="","",IF(OR(ISNUMBER(SEARCH("Program",C135)),ISNUMBER(SEARCH("Portfolio",C135)),ISNUMBER(SEARCH("Operations",C135)),ISNUMBER(SEARCH("Transformation",C135))),85,IF(ISNUMBER(SEARCH("Product Manager",C135)),55,70)))</f>
        <v/>
      </c>
      <c r="Z135" s="52">
        <f>IF(C135="","",MIN(100,IF(I135&lt;&gt;"",60,10)+IF(AA135&gt;0,MIN(40,AA135*20),0)))</f>
        <v/>
      </c>
      <c r="AA135" s="52">
        <f>IF(T135="","",ROUND(T135*25%+U135*15%+V135*10%+W135*15%+X135*15%+Y135*10%+Z135*10%,0))</f>
        <v/>
      </c>
      <c r="AB135" s="52">
        <f>IF(AA135="","",IF(X135&lt;50,"Selective / Barrier",IF(AA135&gt;=80,"Tier 1 - Pursue",IF(AA135&gt;=70,"Tier 2 - Pursue",IF(AA135&gt;=60,"Tier 3 - Selective","Do Not Pursue")))))</f>
        <v/>
      </c>
      <c r="AC135" s="52">
        <f>IF(C135="","",IF(I135&lt;&gt;"","Named Contact",IF(AA135&gt;0,"Outreach Logged","Cold")))</f>
        <v/>
      </c>
      <c r="AD135" s="52">
        <f>IF(B135="","",COUNTIF('Outreach Log'!$C:$C,B135))</f>
        <v/>
      </c>
      <c r="AE135" s="52">
        <f>IF(A135="","",IF(OR(K135="Rejected",K135="Closed"),IF(L135&lt;&gt;"",L135-A135,TODAY()-A135),TODAY()-A135))</f>
        <v/>
      </c>
      <c r="AF135" s="52">
        <f>IF(C135="","",IF(AND(AA135&gt;=70,AC135="Cold"),"High-fit but cold",IF(AND(AA135&lt;60,K135="Applied"),"Low-fit application",IF(AND(AA135&gt;=70,OR(AC135="Named Contact",AC135="Outreach Logged")),"Targeted pursuit","Review"))))</f>
        <v/>
      </c>
    </row>
    <row r="136" ht="15" customHeight="1" s="44">
      <c r="A136" s="53" t="n">
        <v>46196</v>
      </c>
      <c r="B136" s="48" t="inlineStr">
        <is>
          <t>Compass</t>
        </is>
      </c>
      <c r="C136" s="48" t="inlineStr">
        <is>
          <t>Senior TPM II</t>
        </is>
      </c>
      <c r="D136" s="48" t="inlineStr">
        <is>
          <t>Sr TPM</t>
        </is>
      </c>
      <c r="E136" s="48" t="inlineStr">
        <is>
          <t>US</t>
        </is>
      </c>
      <c r="F136" s="48" t="inlineStr">
        <is>
          <t>NY</t>
        </is>
      </c>
      <c r="G136" s="48" t="n">
        <v>72</v>
      </c>
      <c r="H136" s="48" t="inlineStr">
        <is>
          <t>Cold Portal</t>
        </is>
      </c>
      <c r="I136" s="48" t="n"/>
      <c r="J136" s="48" t="inlineStr">
        <is>
          <t>Yes</t>
        </is>
      </c>
      <c r="K136" s="49" t="inlineStr">
        <is>
          <t>Rejected</t>
        </is>
      </c>
      <c r="L136" s="50" t="n">
        <v>46198</v>
      </c>
      <c r="M136" s="48">
        <f>IF(OR(L57="",A57=""),"",L57-A57)</f>
        <v/>
      </c>
      <c r="N136" s="48" t="n"/>
      <c r="O136" s="48" t="n"/>
      <c r="P136" s="51" t="inlineStr">
        <is>
          <t xml:space="preserve"> | REJECTED 2026-06-25: Compass International Holdings (jobs@compass.com) — "decided to move forward with other candidates." (was previously marked Ghosted)</t>
        </is>
      </c>
      <c r="Q136" s="48" t="n"/>
      <c r="R136" s="48" t="n"/>
      <c r="S136" s="51" t="n"/>
      <c r="T136" s="52">
        <f>IF(G136="","",G136)</f>
        <v/>
      </c>
      <c r="U136" s="52">
        <f>IF(C136="","",IF(OR(ISNUMBER(SEARCH("Director",C136)),ISNUMBER(SEARCH("Lead",C136)),ISNUMBER(SEARCH("Senior",C136)),ISNUMBER(SEARCH("Sr.",C136))),90,IF(OR(ISNUMBER(SEARCH("Manager",C136)),ISNUMBER(SEARCH("Program",C136)),ISNUMBER(SEARCH("Portfolio",C136))),80,60)))</f>
        <v/>
      </c>
      <c r="V136" s="52">
        <f>IF(C136="","",IF(OR(ISNUMBER(SEARCH("AI",C136)),ISNUMBER(SEARCH("Data",C136)),ISNUMBER(SEARCH("Technology",C136)),ISNUMBER(SEARCH("Technical",C136)),ISNUMBER(SEARCH("Engineering",C136)),ISNUMBER(SEARCH("Platform",C136)),ISNUMBER(SEARCH("Portfolio",C136))),85,65))</f>
        <v/>
      </c>
      <c r="W136" s="52">
        <f>IF(C136="","",MIN(100,50+IF(S136&lt;&gt;"",25,0)+IF(R136&lt;&gt;"",15,0)+IF(P136&lt;&gt;"",10,0)))</f>
        <v/>
      </c>
      <c r="X136" s="52">
        <f>IF(E136="","",IF(OR(E136="Canada",E136="CA"),100,IF(OR(E136="United States",E136="USA",E136="US"),IF(J136="Yes",45,75),65)))</f>
        <v/>
      </c>
      <c r="Y136" s="52">
        <f>IF(C136="","",IF(OR(ISNUMBER(SEARCH("Program",C136)),ISNUMBER(SEARCH("Portfolio",C136)),ISNUMBER(SEARCH("Operations",C136)),ISNUMBER(SEARCH("Transformation",C136))),85,IF(ISNUMBER(SEARCH("Product Manager",C136)),55,70)))</f>
        <v/>
      </c>
      <c r="Z136" s="52">
        <f>IF(C136="","",MIN(100,IF(I136&lt;&gt;"",60,10)+IF(AA136&gt;0,MIN(40,AA136*20),0)))</f>
        <v/>
      </c>
      <c r="AA136" s="52">
        <f>IF(T136="","",ROUND(T136*25%+U136*15%+V136*10%+W136*15%+X136*15%+Y136*10%+Z136*10%,0))</f>
        <v/>
      </c>
      <c r="AB136" s="52">
        <f>IF(AA136="","",IF(X136&lt;50,"Selective / Barrier",IF(AA136&gt;=80,"Tier 1 - Pursue",IF(AA136&gt;=70,"Tier 2 - Pursue",IF(AA136&gt;=60,"Tier 3 - Selective","Do Not Pursue")))))</f>
        <v/>
      </c>
      <c r="AC136" s="52">
        <f>IF(C136="","",IF(I136&lt;&gt;"","Named Contact",IF(AA136&gt;0,"Outreach Logged","Cold")))</f>
        <v/>
      </c>
      <c r="AD136" s="52">
        <f>IF(B136="","",COUNTIF('Outreach Log'!$C:$C,B136))</f>
        <v/>
      </c>
      <c r="AE136" s="52">
        <f>IF(A136="","",IF(OR(K136="Rejected",K136="Closed"),IF(L136&lt;&gt;"",L136-A136,TODAY()-A136),TODAY()-A136))</f>
        <v/>
      </c>
      <c r="AF136" s="52">
        <f>IF(C136="","",IF(AND(AA136&gt;=70,AC136="Cold"),"High-fit but cold",IF(AND(AA136&lt;60,K136="Applied"),"Low-fit application",IF(AND(AA136&gt;=70,OR(AC136="Named Contact",AC136="Outreach Logged")),"Targeted pursuit","Review"))))</f>
        <v/>
      </c>
    </row>
    <row r="137" ht="15" customHeight="1" s="44">
      <c r="A137" s="53" t="n">
        <v>46208</v>
      </c>
      <c r="B137" s="48" t="inlineStr">
        <is>
          <t>J.D. Power</t>
        </is>
      </c>
      <c r="C137" s="48" t="inlineStr">
        <is>
          <t>Head of AI Enablement</t>
        </is>
      </c>
      <c r="D137" s="48" t="inlineStr">
        <is>
          <t>Head</t>
        </is>
      </c>
      <c r="E137" s="48" t="inlineStr">
        <is>
          <t>Canada</t>
        </is>
      </c>
      <c r="F137" s="48" t="inlineStr">
        <is>
          <t>Toronto</t>
        </is>
      </c>
      <c r="G137" s="48" t="n">
        <v>72</v>
      </c>
      <c r="H137" s="48" t="inlineStr">
        <is>
          <t>LinkedIn</t>
        </is>
      </c>
      <c r="I137" s="48" t="n"/>
      <c r="J137" s="48" t="inlineStr">
        <is>
          <t>No</t>
        </is>
      </c>
      <c r="K137" s="49" t="inlineStr">
        <is>
          <t>Rejected</t>
        </is>
      </c>
      <c r="L137" s="50" t="n">
        <v>46248</v>
      </c>
      <c r="M137" s="48">
        <f>IF(OR(L58="",A58=""),"",L58-A58)</f>
        <v/>
      </c>
      <c r="N137" s="48" t="n"/>
      <c r="O137" s="48" t="n"/>
      <c r="P137" s="51" t="inlineStr">
        <is>
          <t>Remote. LinkedIn shows reposted 4d ago - may still be active. | REJECTED 2026-08-14: JD Power (jdpa@myworkday.com), R-100190 — "decided to move forward with other candidates."</t>
        </is>
      </c>
      <c r="Q137" s="48" t="n"/>
      <c r="R137" s="48" t="n"/>
      <c r="S137" s="51" t="n"/>
      <c r="T137" s="52">
        <f>IF(G137="","",G137)</f>
        <v/>
      </c>
      <c r="U137" s="52">
        <f>IF(C137="","",IF(OR(ISNUMBER(SEARCH("Director",C137)),ISNUMBER(SEARCH("Lead",C137)),ISNUMBER(SEARCH("Senior",C137)),ISNUMBER(SEARCH("Sr.",C137))),90,IF(OR(ISNUMBER(SEARCH("Manager",C137)),ISNUMBER(SEARCH("Program",C137)),ISNUMBER(SEARCH("Portfolio",C137))),80,60)))</f>
        <v/>
      </c>
      <c r="V137" s="52">
        <f>IF(C137="","",IF(OR(ISNUMBER(SEARCH("AI",C137)),ISNUMBER(SEARCH("Data",C137)),ISNUMBER(SEARCH("Technology",C137)),ISNUMBER(SEARCH("Technical",C137)),ISNUMBER(SEARCH("Engineering",C137)),ISNUMBER(SEARCH("Platform",C137)),ISNUMBER(SEARCH("Portfolio",C137))),85,65))</f>
        <v/>
      </c>
      <c r="W137" s="52">
        <f>IF(C137="","",MIN(100,50+IF(S137&lt;&gt;"",25,0)+IF(R137&lt;&gt;"",15,0)+IF(P137&lt;&gt;"",10,0)))</f>
        <v/>
      </c>
      <c r="X137" s="52">
        <f>IF(E137="","",IF(OR(E137="Canada",E137="CA"),100,IF(OR(E137="United States",E137="USA",E137="US"),IF(J137="Yes",45,75),65)))</f>
        <v/>
      </c>
      <c r="Y137" s="52">
        <f>IF(C137="","",IF(OR(ISNUMBER(SEARCH("Program",C137)),ISNUMBER(SEARCH("Portfolio",C137)),ISNUMBER(SEARCH("Operations",C137)),ISNUMBER(SEARCH("Transformation",C137))),85,IF(ISNUMBER(SEARCH("Product Manager",C137)),55,70)))</f>
        <v/>
      </c>
      <c r="Z137" s="52">
        <f>IF(C137="","",MIN(100,IF(I137&lt;&gt;"",60,10)+IF(AA137&gt;0,MIN(40,AA137*20),0)))</f>
        <v/>
      </c>
      <c r="AA137" s="52">
        <f>IF(T137="","",ROUND(T137*25%+U137*15%+V137*10%+W137*15%+X137*15%+Y137*10%+Z137*10%,0))</f>
        <v/>
      </c>
      <c r="AB137" s="52">
        <f>IF(AA137="","",IF(X137&lt;50,"Selective / Barrier",IF(AA137&gt;=80,"Tier 1 - Pursue",IF(AA137&gt;=70,"Tier 2 - Pursue",IF(AA137&gt;=60,"Tier 3 - Selective","Do Not Pursue")))))</f>
        <v/>
      </c>
      <c r="AC137" s="52">
        <f>IF(C137="","",IF(I137&lt;&gt;"","Named Contact",IF(AA137&gt;0,"Outreach Logged","Cold")))</f>
        <v/>
      </c>
      <c r="AD137" s="52">
        <f>IF(B137="","",COUNTIF('Outreach Log'!$C:$C,B137))</f>
        <v/>
      </c>
      <c r="AE137" s="52">
        <f>IF(A137="","",IF(OR(K137="Rejected",K137="Closed"),IF(L137&lt;&gt;"",L137-A137,TODAY()-A137),TODAY()-A137))</f>
        <v/>
      </c>
      <c r="AF137" s="52">
        <f>IF(C137="","",IF(AND(AA137&gt;=70,AC137="Cold"),"High-fit but cold",IF(AND(AA137&lt;60,K137="Applied"),"Low-fit application",IF(AND(AA137&gt;=70,OR(AC137="Named Contact",AC137="Outreach Logged")),"Targeted pursuit","Review"))))</f>
        <v/>
      </c>
    </row>
    <row r="138" ht="15" customHeight="1" s="44">
      <c r="A138" s="53" t="n">
        <v>46208</v>
      </c>
      <c r="B138" s="48" t="inlineStr">
        <is>
          <t>Google</t>
        </is>
      </c>
      <c r="C138" s="48" t="inlineStr">
        <is>
          <t>Technical Program Manager III, Gemini, Google Home</t>
        </is>
      </c>
      <c r="D138" s="48" t="inlineStr">
        <is>
          <t>TPM III</t>
        </is>
      </c>
      <c r="E138" s="48" t="inlineStr">
        <is>
          <t>US</t>
        </is>
      </c>
      <c r="F138" s="48" t="inlineStr">
        <is>
          <t>New York, NY</t>
        </is>
      </c>
      <c r="G138" s="48" t="n">
        <v>65</v>
      </c>
      <c r="H138" s="48" t="inlineStr">
        <is>
          <t>LinkedIn</t>
        </is>
      </c>
      <c r="I138" s="48" t="n"/>
      <c r="J138" s="48" t="inlineStr">
        <is>
          <t>Yes</t>
        </is>
      </c>
      <c r="K138" s="56" t="inlineStr">
        <is>
          <t>Ghosted (30d+)</t>
        </is>
      </c>
      <c r="L138" s="48" t="n"/>
      <c r="M138" s="48">
        <f>IF(OR(L59="",A59=""),"",L59-A59)</f>
        <v/>
      </c>
      <c r="N138" s="48" t="n"/>
      <c r="O138" s="48" t="n"/>
      <c r="P138" s="51" t="inlineStr">
        <is>
          <t>On-site. LinkedIn shows no longer accepting applications.</t>
        </is>
      </c>
      <c r="Q138" s="48" t="n"/>
      <c r="R138" s="48" t="n"/>
      <c r="S138" s="51" t="n"/>
      <c r="T138" s="52">
        <f>IF(G138="","",G138)</f>
        <v/>
      </c>
      <c r="U138" s="52">
        <f>IF(C138="","",IF(OR(ISNUMBER(SEARCH("Director",C138)),ISNUMBER(SEARCH("Lead",C138)),ISNUMBER(SEARCH("Senior",C138)),ISNUMBER(SEARCH("Sr.",C138))),90,IF(OR(ISNUMBER(SEARCH("Manager",C138)),ISNUMBER(SEARCH("Program",C138)),ISNUMBER(SEARCH("Portfolio",C138))),80,60)))</f>
        <v/>
      </c>
      <c r="V138" s="52">
        <f>IF(C138="","",IF(OR(ISNUMBER(SEARCH("AI",C138)),ISNUMBER(SEARCH("Data",C138)),ISNUMBER(SEARCH("Technology",C138)),ISNUMBER(SEARCH("Technical",C138)),ISNUMBER(SEARCH("Engineering",C138)),ISNUMBER(SEARCH("Platform",C138)),ISNUMBER(SEARCH("Portfolio",C138))),85,65))</f>
        <v/>
      </c>
      <c r="W138" s="52">
        <f>IF(C138="","",MIN(100,50+IF(S138&lt;&gt;"",25,0)+IF(R138&lt;&gt;"",15,0)+IF(P138&lt;&gt;"",10,0)))</f>
        <v/>
      </c>
      <c r="X138" s="52">
        <f>IF(E138="","",IF(OR(E138="Canada",E138="CA"),100,IF(OR(E138="United States",E138="USA",E138="US"),IF(J138="Yes",45,75),65)))</f>
        <v/>
      </c>
      <c r="Y138" s="52">
        <f>IF(C138="","",IF(OR(ISNUMBER(SEARCH("Program",C138)),ISNUMBER(SEARCH("Portfolio",C138)),ISNUMBER(SEARCH("Operations",C138)),ISNUMBER(SEARCH("Transformation",C138))),85,IF(ISNUMBER(SEARCH("Product Manager",C138)),55,70)))</f>
        <v/>
      </c>
      <c r="Z138" s="52">
        <f>IF(C138="","",MIN(100,IF(I138&lt;&gt;"",60,10)+IF(AA138&gt;0,MIN(40,AA138*20),0)))</f>
        <v/>
      </c>
      <c r="AA138" s="52">
        <f>IF(T138="","",ROUND(T138*25%+U138*15%+V138*10%+W138*15%+X138*15%+Y138*10%+Z138*10%,0))</f>
        <v/>
      </c>
      <c r="AB138" s="52">
        <f>IF(AA138="","",IF(X138&lt;50,"Selective / Barrier",IF(AA138&gt;=80,"Tier 1 - Pursue",IF(AA138&gt;=70,"Tier 2 - Pursue",IF(AA138&gt;=60,"Tier 3 - Selective","Do Not Pursue")))))</f>
        <v/>
      </c>
      <c r="AC138" s="52">
        <f>IF(C138="","",IF(I138&lt;&gt;"","Named Contact",IF(AA138&gt;0,"Outreach Logged","Cold")))</f>
        <v/>
      </c>
      <c r="AD138" s="52">
        <f>IF(B138="","",COUNTIF('Outreach Log'!$C:$C,B138))</f>
        <v/>
      </c>
      <c r="AE138" s="52">
        <f>IF(A138="","",IF(OR(K138="Rejected",K138="Closed"),IF(L138&lt;&gt;"",L138-A138,TODAY()-A138),TODAY()-A138))</f>
        <v/>
      </c>
      <c r="AF138" s="52">
        <f>IF(C138="","",IF(AND(AA138&gt;=70,AC138="Cold"),"High-fit but cold",IF(AND(AA138&lt;60,K138="Applied"),"Low-fit application",IF(AND(AA138&gt;=70,OR(AC138="Named Contact",AC138="Outreach Logged")),"Targeted pursuit","Review"))))</f>
        <v/>
      </c>
    </row>
    <row r="139" ht="15" customHeight="1" s="44">
      <c r="A139" s="53" t="n">
        <v>46208</v>
      </c>
      <c r="B139" s="48" t="inlineStr">
        <is>
          <t>Netflix</t>
        </is>
      </c>
      <c r="C139" s="48" t="inlineStr">
        <is>
          <t>Technical Program Manager 6 - Data Systems</t>
        </is>
      </c>
      <c r="D139" s="48" t="inlineStr">
        <is>
          <t>TPM 6</t>
        </is>
      </c>
      <c r="E139" s="48" t="inlineStr">
        <is>
          <t>US</t>
        </is>
      </c>
      <c r="F139" s="48" t="inlineStr">
        <is>
          <t>Los Gatos, CA</t>
        </is>
      </c>
      <c r="G139" s="48" t="n">
        <v>68</v>
      </c>
      <c r="H139" s="48" t="inlineStr">
        <is>
          <t>LinkedIn</t>
        </is>
      </c>
      <c r="I139" s="48" t="n"/>
      <c r="J139" s="48" t="inlineStr">
        <is>
          <t>Yes</t>
        </is>
      </c>
      <c r="K139" s="56" t="inlineStr">
        <is>
          <t>Ghosted (30d+)</t>
        </is>
      </c>
      <c r="L139" s="48" t="n"/>
      <c r="M139" s="48">
        <f>IF(OR(L60="",A60=""),"",L60-A60)</f>
        <v/>
      </c>
      <c r="N139" s="48" t="n"/>
      <c r="O139" s="48" t="n"/>
      <c r="P139" s="51" t="inlineStr">
        <is>
          <t>On-site. LinkedIn shows no longer accepting applications.</t>
        </is>
      </c>
      <c r="Q139" s="48" t="n"/>
      <c r="R139" s="48" t="n"/>
      <c r="S139" s="51" t="n"/>
      <c r="T139" s="52">
        <f>IF(G139="","",G139)</f>
        <v/>
      </c>
      <c r="U139" s="52">
        <f>IF(C139="","",IF(OR(ISNUMBER(SEARCH("Director",C139)),ISNUMBER(SEARCH("Lead",C139)),ISNUMBER(SEARCH("Senior",C139)),ISNUMBER(SEARCH("Sr.",C139))),90,IF(OR(ISNUMBER(SEARCH("Manager",C139)),ISNUMBER(SEARCH("Program",C139)),ISNUMBER(SEARCH("Portfolio",C139))),80,60)))</f>
        <v/>
      </c>
      <c r="V139" s="52">
        <f>IF(C139="","",IF(OR(ISNUMBER(SEARCH("AI",C139)),ISNUMBER(SEARCH("Data",C139)),ISNUMBER(SEARCH("Technology",C139)),ISNUMBER(SEARCH("Technical",C139)),ISNUMBER(SEARCH("Engineering",C139)),ISNUMBER(SEARCH("Platform",C139)),ISNUMBER(SEARCH("Portfolio",C139))),85,65))</f>
        <v/>
      </c>
      <c r="W139" s="52">
        <f>IF(C139="","",MIN(100,50+IF(S139&lt;&gt;"",25,0)+IF(R139&lt;&gt;"",15,0)+IF(P139&lt;&gt;"",10,0)))</f>
        <v/>
      </c>
      <c r="X139" s="52">
        <f>IF(E139="","",IF(OR(E139="Canada",E139="CA"),100,IF(OR(E139="United States",E139="USA",E139="US"),IF(J139="Yes",45,75),65)))</f>
        <v/>
      </c>
      <c r="Y139" s="52">
        <f>IF(C139="","",IF(OR(ISNUMBER(SEARCH("Program",C139)),ISNUMBER(SEARCH("Portfolio",C139)),ISNUMBER(SEARCH("Operations",C139)),ISNUMBER(SEARCH("Transformation",C139))),85,IF(ISNUMBER(SEARCH("Product Manager",C139)),55,70)))</f>
        <v/>
      </c>
      <c r="Z139" s="52">
        <f>IF(C139="","",MIN(100,IF(I139&lt;&gt;"",60,10)+IF(AA139&gt;0,MIN(40,AA139*20),0)))</f>
        <v/>
      </c>
      <c r="AA139" s="52">
        <f>IF(T139="","",ROUND(T139*25%+U139*15%+V139*10%+W139*15%+X139*15%+Y139*10%+Z139*10%,0))</f>
        <v/>
      </c>
      <c r="AB139" s="52">
        <f>IF(AA139="","",IF(X139&lt;50,"Selective / Barrier",IF(AA139&gt;=80,"Tier 1 - Pursue",IF(AA139&gt;=70,"Tier 2 - Pursue",IF(AA139&gt;=60,"Tier 3 - Selective","Do Not Pursue")))))</f>
        <v/>
      </c>
      <c r="AC139" s="52">
        <f>IF(C139="","",IF(I139&lt;&gt;"","Named Contact",IF(AA139&gt;0,"Outreach Logged","Cold")))</f>
        <v/>
      </c>
      <c r="AD139" s="52">
        <f>IF(B139="","",COUNTIF('Outreach Log'!$C:$C,B139))</f>
        <v/>
      </c>
      <c r="AE139" s="52">
        <f>IF(A139="","",IF(OR(K139="Rejected",K139="Closed"),IF(L139&lt;&gt;"",L139-A139,TODAY()-A139),TODAY()-A139))</f>
        <v/>
      </c>
      <c r="AF139" s="52">
        <f>IF(C139="","",IF(AND(AA139&gt;=70,AC139="Cold"),"High-fit but cold",IF(AND(AA139&lt;60,K139="Applied"),"Low-fit application",IF(AND(AA139&gt;=70,OR(AC139="Named Contact",AC139="Outreach Logged")),"Targeted pursuit","Review"))))</f>
        <v/>
      </c>
    </row>
    <row r="140" ht="15" customHeight="1" s="44">
      <c r="A140" s="53" t="n">
        <v>46208</v>
      </c>
      <c r="B140" s="48" t="inlineStr">
        <is>
          <t>eBay</t>
        </is>
      </c>
      <c r="C140" s="48" t="inlineStr">
        <is>
          <t>Director, AI Workflow Transformation</t>
        </is>
      </c>
      <c r="D140" s="48" t="inlineStr">
        <is>
          <t>Director</t>
        </is>
      </c>
      <c r="E140" s="48" t="inlineStr">
        <is>
          <t>Canada</t>
        </is>
      </c>
      <c r="F140" s="48" t="inlineStr">
        <is>
          <t>Toronto</t>
        </is>
      </c>
      <c r="G140" s="48" t="n">
        <v>76</v>
      </c>
      <c r="H140" s="48" t="inlineStr">
        <is>
          <t>LinkedIn</t>
        </is>
      </c>
      <c r="I140" s="48" t="n"/>
      <c r="J140" s="48" t="inlineStr">
        <is>
          <t>No</t>
        </is>
      </c>
      <c r="K140" s="56" t="inlineStr">
        <is>
          <t>Ghosted (30d+)</t>
        </is>
      </c>
      <c r="L140" s="48" t="n"/>
      <c r="M140" s="48">
        <f>IF(OR(L61="",A61=""),"",L61-A61)</f>
        <v/>
      </c>
      <c r="N140" s="48" t="n"/>
      <c r="O140" s="48" t="n"/>
      <c r="P140" s="51" t="inlineStr">
        <is>
          <t>Hybrid. Distinct from other eBay entries already logged. LinkedIn shows no longer accepting applications.</t>
        </is>
      </c>
      <c r="Q140" s="48" t="n"/>
      <c r="R140" s="48" t="n"/>
      <c r="S140" s="51" t="n"/>
      <c r="T140" s="52">
        <f>IF(G140="","",G140)</f>
        <v/>
      </c>
      <c r="U140" s="52">
        <f>IF(C140="","",IF(OR(ISNUMBER(SEARCH("Director",C140)),ISNUMBER(SEARCH("Lead",C140)),ISNUMBER(SEARCH("Senior",C140)),ISNUMBER(SEARCH("Sr.",C140))),90,IF(OR(ISNUMBER(SEARCH("Manager",C140)),ISNUMBER(SEARCH("Program",C140)),ISNUMBER(SEARCH("Portfolio",C140))),80,60)))</f>
        <v/>
      </c>
      <c r="V140" s="52">
        <f>IF(C140="","",IF(OR(ISNUMBER(SEARCH("AI",C140)),ISNUMBER(SEARCH("Data",C140)),ISNUMBER(SEARCH("Technology",C140)),ISNUMBER(SEARCH("Technical",C140)),ISNUMBER(SEARCH("Engineering",C140)),ISNUMBER(SEARCH("Platform",C140)),ISNUMBER(SEARCH("Portfolio",C140))),85,65))</f>
        <v/>
      </c>
      <c r="W140" s="52">
        <f>IF(C140="","",MIN(100,50+IF(S140&lt;&gt;"",25,0)+IF(R140&lt;&gt;"",15,0)+IF(P140&lt;&gt;"",10,0)))</f>
        <v/>
      </c>
      <c r="X140" s="52">
        <f>IF(E140="","",IF(OR(E140="Canada",E140="CA"),100,IF(OR(E140="United States",E140="USA",E140="US"),IF(J140="Yes",45,75),65)))</f>
        <v/>
      </c>
      <c r="Y140" s="52">
        <f>IF(C140="","",IF(OR(ISNUMBER(SEARCH("Program",C140)),ISNUMBER(SEARCH("Portfolio",C140)),ISNUMBER(SEARCH("Operations",C140)),ISNUMBER(SEARCH("Transformation",C140))),85,IF(ISNUMBER(SEARCH("Product Manager",C140)),55,70)))</f>
        <v/>
      </c>
      <c r="Z140" s="52">
        <f>IF(C140="","",MIN(100,IF(I140&lt;&gt;"",60,10)+IF(AA140&gt;0,MIN(40,AA140*20),0)))</f>
        <v/>
      </c>
      <c r="AA140" s="52">
        <f>IF(T140="","",ROUND(T140*25%+U140*15%+V140*10%+W140*15%+X140*15%+Y140*10%+Z140*10%,0))</f>
        <v/>
      </c>
      <c r="AB140" s="52">
        <f>IF(AA140="","",IF(X140&lt;50,"Selective / Barrier",IF(AA140&gt;=80,"Tier 1 - Pursue",IF(AA140&gt;=70,"Tier 2 - Pursue",IF(AA140&gt;=60,"Tier 3 - Selective","Do Not Pursue")))))</f>
        <v/>
      </c>
      <c r="AC140" s="52">
        <f>IF(C140="","",IF(I140&lt;&gt;"","Named Contact",IF(AA140&gt;0,"Outreach Logged","Cold")))</f>
        <v/>
      </c>
      <c r="AD140" s="52">
        <f>IF(B140="","",COUNTIF('Outreach Log'!$C:$C,B140))</f>
        <v/>
      </c>
      <c r="AE140" s="52">
        <f>IF(A140="","",IF(OR(K140="Rejected",K140="Closed"),IF(L140&lt;&gt;"",L140-A140,TODAY()-A140),TODAY()-A140))</f>
        <v/>
      </c>
      <c r="AF140" s="52">
        <f>IF(C140="","",IF(AND(AA140&gt;=70,AC140="Cold"),"High-fit but cold",IF(AND(AA140&lt;60,K140="Applied"),"Low-fit application",IF(AND(AA140&gt;=70,OR(AC140="Named Contact",AC140="Outreach Logged")),"Targeted pursuit","Review"))))</f>
        <v/>
      </c>
    </row>
    <row r="141" ht="15" customHeight="1" s="44">
      <c r="A141" s="53" t="n">
        <v>46209</v>
      </c>
      <c r="B141" s="48" t="inlineStr">
        <is>
          <t>ServiceNow</t>
        </is>
      </c>
      <c r="C141" s="48" t="inlineStr">
        <is>
          <t>Director, Technical Program Management</t>
        </is>
      </c>
      <c r="D141" s="48" t="inlineStr">
        <is>
          <t>Director</t>
        </is>
      </c>
      <c r="E141" s="48" t="inlineStr">
        <is>
          <t>US</t>
        </is>
      </c>
      <c r="F141" s="48" t="inlineStr">
        <is>
          <t>Santa Clara</t>
        </is>
      </c>
      <c r="G141" s="48" t="n">
        <v>65</v>
      </c>
      <c r="H141" s="48" t="inlineStr">
        <is>
          <t>Cold Portal</t>
        </is>
      </c>
      <c r="I141" s="48" t="n"/>
      <c r="J141" s="48" t="inlineStr">
        <is>
          <t>Yes</t>
        </is>
      </c>
      <c r="K141" s="49" t="inlineStr">
        <is>
          <t>Rejected</t>
        </is>
      </c>
      <c r="L141" s="50" t="n">
        <v>46216</v>
      </c>
      <c r="M141" s="48">
        <f>IF(OR(L62="",A62=""),"",L62-A62)</f>
        <v/>
      </c>
      <c r="N141" s="48" t="n"/>
      <c r="O141" s="48" t="n"/>
      <c r="P141" s="51" t="inlineStr">
        <is>
          <t>Name shows "Elenaa" typo in profile! NOTE 2026-08-31: received a rejection email from notifications@smartrecruiters.com for this same title (Director, Technical Program Management) - unclear if this is a duplicate/resent notification for this original application or a distinct resubmission Elena doesn't recall. Not logged as a separate row given the ambiguity.</t>
        </is>
      </c>
      <c r="Q141" s="48" t="n"/>
      <c r="R141" s="48" t="n"/>
      <c r="S141" s="51" t="n"/>
      <c r="T141" s="52">
        <f>IF(G141="","",G141)</f>
        <v/>
      </c>
      <c r="U141" s="52">
        <f>IF(C141="","",IF(OR(ISNUMBER(SEARCH("Director",C141)),ISNUMBER(SEARCH("Lead",C141)),ISNUMBER(SEARCH("Senior",C141)),ISNUMBER(SEARCH("Sr.",C141))),90,IF(OR(ISNUMBER(SEARCH("Manager",C141)),ISNUMBER(SEARCH("Program",C141)),ISNUMBER(SEARCH("Portfolio",C141))),80,60)))</f>
        <v/>
      </c>
      <c r="V141" s="52">
        <f>IF(C141="","",IF(OR(ISNUMBER(SEARCH("AI",C141)),ISNUMBER(SEARCH("Data",C141)),ISNUMBER(SEARCH("Technology",C141)),ISNUMBER(SEARCH("Technical",C141)),ISNUMBER(SEARCH("Engineering",C141)),ISNUMBER(SEARCH("Platform",C141)),ISNUMBER(SEARCH("Portfolio",C141))),85,65))</f>
        <v/>
      </c>
      <c r="W141" s="52">
        <f>IF(C141="","",MIN(100,50+IF(S141&lt;&gt;"",25,0)+IF(R141&lt;&gt;"",15,0)+IF(P141&lt;&gt;"",10,0)))</f>
        <v/>
      </c>
      <c r="X141" s="52">
        <f>IF(E141="","",IF(OR(E141="Canada",E141="CA"),100,IF(OR(E141="United States",E141="USA",E141="US"),IF(J141="Yes",45,75),65)))</f>
        <v/>
      </c>
      <c r="Y141" s="52">
        <f>IF(C141="","",IF(OR(ISNUMBER(SEARCH("Program",C141)),ISNUMBER(SEARCH("Portfolio",C141)),ISNUMBER(SEARCH("Operations",C141)),ISNUMBER(SEARCH("Transformation",C141))),85,IF(ISNUMBER(SEARCH("Product Manager",C141)),55,70)))</f>
        <v/>
      </c>
      <c r="Z141" s="52">
        <f>IF(C141="","",MIN(100,IF(I141&lt;&gt;"",60,10)+IF(AA141&gt;0,MIN(40,AA141*20),0)))</f>
        <v/>
      </c>
      <c r="AA141" s="52">
        <f>IF(T141="","",ROUND(T141*25%+U141*15%+V141*10%+W141*15%+X141*15%+Y141*10%+Z141*10%,0))</f>
        <v/>
      </c>
      <c r="AB141" s="52">
        <f>IF(AA141="","",IF(X141&lt;50,"Selective / Barrier",IF(AA141&gt;=80,"Tier 1 - Pursue",IF(AA141&gt;=70,"Tier 2 - Pursue",IF(AA141&gt;=60,"Tier 3 - Selective","Do Not Pursue")))))</f>
        <v/>
      </c>
      <c r="AC141" s="52">
        <f>IF(C141="","",IF(I141&lt;&gt;"","Named Contact",IF(AA141&gt;0,"Outreach Logged","Cold")))</f>
        <v/>
      </c>
      <c r="AD141" s="52">
        <f>IF(B141="","",COUNTIF('Outreach Log'!$C:$C,B141))</f>
        <v/>
      </c>
      <c r="AE141" s="52">
        <f>IF(A141="","",IF(OR(K141="Rejected",K141="Closed"),IF(L141&lt;&gt;"",L141-A141,TODAY()-A141),TODAY()-A141))</f>
        <v/>
      </c>
      <c r="AF141" s="52">
        <f>IF(C141="","",IF(AND(AA141&gt;=70,AC141="Cold"),"High-fit but cold",IF(AND(AA141&lt;60,K141="Applied"),"Low-fit application",IF(AND(AA141&gt;=70,OR(AC141="Named Contact",AC141="Outreach Logged")),"Targeted pursuit","Review"))))</f>
        <v/>
      </c>
    </row>
    <row r="142" ht="15" customHeight="1" s="44">
      <c r="A142" s="53" t="n">
        <v>46210</v>
      </c>
      <c r="B142" s="48" t="inlineStr">
        <is>
          <t>Morgan Stanley</t>
        </is>
      </c>
      <c r="C142" s="48" t="inlineStr">
        <is>
          <t>Product Manager - AI and Transformation Strategy</t>
        </is>
      </c>
      <c r="D142" s="48" t="inlineStr">
        <is>
          <t>Director</t>
        </is>
      </c>
      <c r="E142" s="48" t="inlineStr">
        <is>
          <t>US</t>
        </is>
      </c>
      <c r="F142" s="48" t="inlineStr">
        <is>
          <t>NY</t>
        </is>
      </c>
      <c r="G142" s="48" t="n">
        <v>60</v>
      </c>
      <c r="H142" s="48" t="inlineStr">
        <is>
          <t>Cold Portal</t>
        </is>
      </c>
      <c r="I142" s="48" t="n"/>
      <c r="J142" s="48" t="inlineStr">
        <is>
          <t>Yes</t>
        </is>
      </c>
      <c r="K142" s="55" t="inlineStr">
        <is>
          <t>Applied</t>
        </is>
      </c>
      <c r="L142" s="48" t="n"/>
      <c r="M142" s="48">
        <f>IF(OR(L63="",A63=""),"",L63-A63)</f>
        <v/>
      </c>
      <c r="N142" s="48" t="n"/>
      <c r="O142" s="48" t="n"/>
      <c r="P142" s="51" t="n"/>
      <c r="Q142" s="48" t="n"/>
      <c r="R142" s="48" t="n"/>
      <c r="S142" s="51" t="n"/>
      <c r="T142" s="52">
        <f>IF(G142="","",G142)</f>
        <v/>
      </c>
      <c r="U142" s="52">
        <f>IF(C142="","",IF(OR(ISNUMBER(SEARCH("Director",C142)),ISNUMBER(SEARCH("Lead",C142)),ISNUMBER(SEARCH("Senior",C142)),ISNUMBER(SEARCH("Sr.",C142))),90,IF(OR(ISNUMBER(SEARCH("Manager",C142)),ISNUMBER(SEARCH("Program",C142)),ISNUMBER(SEARCH("Portfolio",C142))),80,60)))</f>
        <v/>
      </c>
      <c r="V142" s="52">
        <f>IF(C142="","",IF(OR(ISNUMBER(SEARCH("AI",C142)),ISNUMBER(SEARCH("Data",C142)),ISNUMBER(SEARCH("Technology",C142)),ISNUMBER(SEARCH("Technical",C142)),ISNUMBER(SEARCH("Engineering",C142)),ISNUMBER(SEARCH("Platform",C142)),ISNUMBER(SEARCH("Portfolio",C142))),85,65))</f>
        <v/>
      </c>
      <c r="W142" s="52">
        <f>IF(C142="","",MIN(100,50+IF(S142&lt;&gt;"",25,0)+IF(R142&lt;&gt;"",15,0)+IF(P142&lt;&gt;"",10,0)))</f>
        <v/>
      </c>
      <c r="X142" s="52">
        <f>IF(E142="","",IF(OR(E142="Canada",E142="CA"),100,IF(OR(E142="United States",E142="USA",E142="US"),IF(J142="Yes",45,75),65)))</f>
        <v/>
      </c>
      <c r="Y142" s="52">
        <f>IF(C142="","",IF(OR(ISNUMBER(SEARCH("Program",C142)),ISNUMBER(SEARCH("Portfolio",C142)),ISNUMBER(SEARCH("Operations",C142)),ISNUMBER(SEARCH("Transformation",C142))),85,IF(ISNUMBER(SEARCH("Product Manager",C142)),55,70)))</f>
        <v/>
      </c>
      <c r="Z142" s="52">
        <f>IF(C142="","",MIN(100,IF(I142&lt;&gt;"",60,10)+IF(AA142&gt;0,MIN(40,AA142*20),0)))</f>
        <v/>
      </c>
      <c r="AA142" s="52">
        <f>IF(T142="","",ROUND(T142*25%+U142*15%+V142*10%+W142*15%+X142*15%+Y142*10%+Z142*10%,0))</f>
        <v/>
      </c>
      <c r="AB142" s="52">
        <f>IF(AA142="","",IF(X142&lt;50,"Selective / Barrier",IF(AA142&gt;=80,"Tier 1 - Pursue",IF(AA142&gt;=70,"Tier 2 - Pursue",IF(AA142&gt;=60,"Tier 3 - Selective","Do Not Pursue")))))</f>
        <v/>
      </c>
      <c r="AC142" s="52">
        <f>IF(C142="","",IF(I142&lt;&gt;"","Named Contact",IF(AA142&gt;0,"Outreach Logged","Cold")))</f>
        <v/>
      </c>
      <c r="AD142" s="52">
        <f>IF(B142="","",COUNTIF('Outreach Log'!$C:$C,B142))</f>
        <v/>
      </c>
      <c r="AE142" s="52">
        <f>IF(A142="","",IF(OR(K142="Rejected",K142="Closed"),IF(L142&lt;&gt;"",L142-A142,TODAY()-A142),TODAY()-A142))</f>
        <v/>
      </c>
      <c r="AF142" s="52">
        <f>IF(C142="","",IF(AND(AA142&gt;=70,AC142="Cold"),"High-fit but cold",IF(AND(AA142&lt;60,K142="Applied"),"Low-fit application",IF(AND(AA142&gt;=70,OR(AC142="Named Contact",AC142="Outreach Logged")),"Targeted pursuit","Review"))))</f>
        <v/>
      </c>
    </row>
    <row r="143" ht="15" customHeight="1" s="44">
      <c r="A143" s="53" t="n">
        <v>46210</v>
      </c>
      <c r="B143" s="48" t="inlineStr">
        <is>
          <t>Morgan Stanley</t>
        </is>
      </c>
      <c r="C143" s="48" t="inlineStr">
        <is>
          <t>AI Product Owner - Vice President</t>
        </is>
      </c>
      <c r="D143" s="48" t="inlineStr">
        <is>
          <t>Director</t>
        </is>
      </c>
      <c r="E143" s="48" t="inlineStr">
        <is>
          <t>US</t>
        </is>
      </c>
      <c r="F143" s="48" t="inlineStr">
        <is>
          <t>NY</t>
        </is>
      </c>
      <c r="G143" s="48" t="n">
        <v>60</v>
      </c>
      <c r="H143" s="48" t="inlineStr">
        <is>
          <t>Cold Portal</t>
        </is>
      </c>
      <c r="I143" s="48" t="n"/>
      <c r="J143" s="48" t="inlineStr">
        <is>
          <t>Yes</t>
        </is>
      </c>
      <c r="K143" s="55" t="inlineStr">
        <is>
          <t>Applied</t>
        </is>
      </c>
      <c r="L143" s="48" t="n"/>
      <c r="M143" s="48">
        <f>IF(OR(L64="",A64=""),"",L64-A64)</f>
        <v/>
      </c>
      <c r="N143" s="48" t="n"/>
      <c r="O143" s="48" t="n"/>
      <c r="P143" s="51" t="inlineStr">
        <is>
          <t>2 MS roles same day</t>
        </is>
      </c>
      <c r="Q143" s="48" t="n"/>
      <c r="R143" s="48" t="n"/>
      <c r="S143" s="51" t="n"/>
      <c r="T143" s="52">
        <f>IF(G143="","",G143)</f>
        <v/>
      </c>
      <c r="U143" s="52">
        <f>IF(C143="","",IF(OR(ISNUMBER(SEARCH("Director",C143)),ISNUMBER(SEARCH("Lead",C143)),ISNUMBER(SEARCH("Senior",C143)),ISNUMBER(SEARCH("Sr.",C143))),90,IF(OR(ISNUMBER(SEARCH("Manager",C143)),ISNUMBER(SEARCH("Program",C143)),ISNUMBER(SEARCH("Portfolio",C143))),80,60)))</f>
        <v/>
      </c>
      <c r="V143" s="52">
        <f>IF(C143="","",IF(OR(ISNUMBER(SEARCH("AI",C143)),ISNUMBER(SEARCH("Data",C143)),ISNUMBER(SEARCH("Technology",C143)),ISNUMBER(SEARCH("Technical",C143)),ISNUMBER(SEARCH("Engineering",C143)),ISNUMBER(SEARCH("Platform",C143)),ISNUMBER(SEARCH("Portfolio",C143))),85,65))</f>
        <v/>
      </c>
      <c r="W143" s="52">
        <f>IF(C143="","",MIN(100,50+IF(S143&lt;&gt;"",25,0)+IF(R143&lt;&gt;"",15,0)+IF(P143&lt;&gt;"",10,0)))</f>
        <v/>
      </c>
      <c r="X143" s="52">
        <f>IF(E143="","",IF(OR(E143="Canada",E143="CA"),100,IF(OR(E143="United States",E143="USA",E143="US"),IF(J143="Yes",45,75),65)))</f>
        <v/>
      </c>
      <c r="Y143" s="52">
        <f>IF(C143="","",IF(OR(ISNUMBER(SEARCH("Program",C143)),ISNUMBER(SEARCH("Portfolio",C143)),ISNUMBER(SEARCH("Operations",C143)),ISNUMBER(SEARCH("Transformation",C143))),85,IF(ISNUMBER(SEARCH("Product Manager",C143)),55,70)))</f>
        <v/>
      </c>
      <c r="Z143" s="52">
        <f>IF(C143="","",MIN(100,IF(I143&lt;&gt;"",60,10)+IF(AA143&gt;0,MIN(40,AA143*20),0)))</f>
        <v/>
      </c>
      <c r="AA143" s="52">
        <f>IF(T143="","",ROUND(T143*25%+U143*15%+V143*10%+W143*15%+X143*15%+Y143*10%+Z143*10%,0))</f>
        <v/>
      </c>
      <c r="AB143" s="52">
        <f>IF(AA143="","",IF(X143&lt;50,"Selective / Barrier",IF(AA143&gt;=80,"Tier 1 - Pursue",IF(AA143&gt;=70,"Tier 2 - Pursue",IF(AA143&gt;=60,"Tier 3 - Selective","Do Not Pursue")))))</f>
        <v/>
      </c>
      <c r="AC143" s="52">
        <f>IF(C143="","",IF(I143&lt;&gt;"","Named Contact",IF(AA143&gt;0,"Outreach Logged","Cold")))</f>
        <v/>
      </c>
      <c r="AD143" s="52">
        <f>IF(B143="","",COUNTIF('Outreach Log'!$C:$C,B143))</f>
        <v/>
      </c>
      <c r="AE143" s="52">
        <f>IF(A143="","",IF(OR(K143="Rejected",K143="Closed"),IF(L143&lt;&gt;"",L143-A143,TODAY()-A143),TODAY()-A143))</f>
        <v/>
      </c>
      <c r="AF143" s="52">
        <f>IF(C143="","",IF(AND(AA143&gt;=70,AC143="Cold"),"High-fit but cold",IF(AND(AA143&lt;60,K143="Applied"),"Low-fit application",IF(AND(AA143&gt;=70,OR(AC143="Named Contact",AC143="Outreach Logged")),"Targeted pursuit","Review"))))</f>
        <v/>
      </c>
    </row>
    <row r="144" ht="15" customHeight="1" s="44">
      <c r="A144" s="53" t="n">
        <v>46210</v>
      </c>
      <c r="B144" s="48" t="inlineStr">
        <is>
          <t>Anthropic</t>
        </is>
      </c>
      <c r="C144" s="48" t="inlineStr">
        <is>
          <t>Product Manager, GTM Experiences</t>
        </is>
      </c>
      <c r="D144" s="48" t="inlineStr">
        <is>
          <t>Senior</t>
        </is>
      </c>
      <c r="E144" s="48" t="inlineStr">
        <is>
          <t>US</t>
        </is>
      </c>
      <c r="F144" s="48" t="inlineStr">
        <is>
          <t>San Francisco, CA / New York City, NY</t>
        </is>
      </c>
      <c r="G144" s="48" t="n">
        <v>41</v>
      </c>
      <c r="H144" s="48" t="inlineStr">
        <is>
          <t>Cold Portal</t>
        </is>
      </c>
      <c r="I144" s="48" t="n"/>
      <c r="J144" s="48" t="inlineStr">
        <is>
          <t>Yes</t>
        </is>
      </c>
      <c r="K144" s="49" t="inlineStr">
        <is>
          <t>Rejected</t>
        </is>
      </c>
      <c r="L144" s="48" t="n"/>
      <c r="M144" s="48">
        <f>IF(OR(L142="",A142=""),"",L142-A142)</f>
        <v/>
      </c>
      <c r="N144" s="48" t="n"/>
      <c r="O144" s="48" t="n"/>
      <c r="P144" s="51" t="inlineStr">
        <is>
          <t>2nd Anthropic app | Status updated to Rejected per Greenhouse portal review / Gmail check, confirmed 2026-09-20 (was: Applied). | Internal Products &amp; Technologies org; owns GTM commercial infrastructure (CPQ, quoting/pricing, approval workflows, deal automation) partnering with Sales/Deal Desk/Finance/Legal. Requires Salesforce/CPQ and quote-to-cash systems knowledge. Low fit: another Product Manager (not TPM) role, plus specific CPQ/quote-to-cash platform expertise not in background. Salary $305,000-$385,000 USD.</t>
        </is>
      </c>
      <c r="Q144" s="48" t="n"/>
      <c r="R144" s="48" t="inlineStr">
        <is>
          <t>Discipline mismatch (Product Manager) + specific tool gap (CPQ/quote-to-cash systems)</t>
        </is>
      </c>
      <c r="S144" s="51" t="inlineStr">
        <is>
          <t>Product strategy for GTM commercial infra (CPQ, quoting, approvals, deal automation). Salesforce/CPQ and quote-to-cash knowledge preferred. Cross-functional GTM/Finance/Legal/Ops partnership.</t>
        </is>
      </c>
      <c r="T144" s="52">
        <f>IF(G144="","",G144)</f>
        <v/>
      </c>
      <c r="U144" s="52">
        <f>IF(C144="","",IF(OR(ISNUMBER(SEARCH("Director",C144)),ISNUMBER(SEARCH("Lead",C144)),ISNUMBER(SEARCH("Senior",C144)),ISNUMBER(SEARCH("Sr.",C144))),90,IF(OR(ISNUMBER(SEARCH("Manager",C144)),ISNUMBER(SEARCH("Program",C144)),ISNUMBER(SEARCH("Portfolio",C144))),80,60)))</f>
        <v/>
      </c>
      <c r="V144" s="52">
        <f>IF(C144="","",IF(OR(ISNUMBER(SEARCH("AI",C144)),ISNUMBER(SEARCH("Data",C144)),ISNUMBER(SEARCH("Technology",C144)),ISNUMBER(SEARCH("Technical",C144)),ISNUMBER(SEARCH("Engineering",C144)),ISNUMBER(SEARCH("Platform",C144)),ISNUMBER(SEARCH("Portfolio",C144))),85,65))</f>
        <v/>
      </c>
      <c r="W144" s="52">
        <f>IF(C144="","",MIN(100,50+IF(S144&lt;&gt;"",25,0)+IF(R144&lt;&gt;"",15,0)+IF(P144&lt;&gt;"",10,0)))</f>
        <v/>
      </c>
      <c r="X144" s="52">
        <f>IF(E144="","",IF(OR(E144="Canada",E144="CA"),100,IF(OR(E144="United States",E144="USA",E144="US"),IF(J144="Yes",45,75),65)))</f>
        <v/>
      </c>
      <c r="Y144" s="52">
        <f>IF(C144="","",IF(OR(ISNUMBER(SEARCH("Program",C144)),ISNUMBER(SEARCH("Portfolio",C144)),ISNUMBER(SEARCH("Operations",C144)),ISNUMBER(SEARCH("Transformation",C144))),85,IF(ISNUMBER(SEARCH("Product Manager",C144)),55,70)))</f>
        <v/>
      </c>
      <c r="Z144" s="52">
        <f>IF(C144="","",MIN(100,IF(I144&lt;&gt;"",60,10)+IF(AA144&gt;0,MIN(40,AA144*20),0)))</f>
        <v/>
      </c>
      <c r="AA144" s="52">
        <f>IF(T144="","",ROUND(T144*25%+U144*15%+V144*10%+W144*15%+X144*15%+Y144*10%+Z144*10%,0))</f>
        <v/>
      </c>
      <c r="AB144" s="52">
        <f>IF(AA144="","",IF(X144&lt;50,"Selective / Barrier",IF(AA144&gt;=80,"Tier 1 - Pursue",IF(AA144&gt;=70,"Tier 2 - Pursue",IF(AA144&gt;=60,"Tier 3 - Selective","Do Not Pursue")))))</f>
        <v/>
      </c>
      <c r="AC144" s="52">
        <f>IF(C144="","",IF(I144&lt;&gt;"","Named Contact",IF(AA144&gt;0,"Outreach Logged","Cold")))</f>
        <v/>
      </c>
      <c r="AD144" s="52">
        <f>IF(B144="","",COUNTIF('Outreach Log'!$C:$C,B144))</f>
        <v/>
      </c>
      <c r="AE144" s="52">
        <f>IF(A144="","",IF(OR(K144="Rejected",K144="Closed"),IF(L144&lt;&gt;"",L144-A144,TODAY()-A144),TODAY()-A144))</f>
        <v/>
      </c>
      <c r="AF144" s="52">
        <f>IF(C144="","",IF(AND(AA144&gt;=70,AC144="Cold"),"High-fit but cold",IF(AND(AA144&lt;60,K144="Applied"),"Low-fit application",IF(AND(AA144&gt;=70,OR(AC144="Named Contact",AC144="Outreach Logged")),"Targeted pursuit","Review"))))</f>
        <v/>
      </c>
    </row>
    <row r="145" ht="15" customHeight="1" s="44">
      <c r="A145" s="53" t="n">
        <v>46211</v>
      </c>
      <c r="B145" s="48" t="inlineStr">
        <is>
          <t>Reddit, Inc.</t>
        </is>
      </c>
      <c r="C145" s="48" t="inlineStr">
        <is>
          <t>Principal Technical Program Manager, Performance</t>
        </is>
      </c>
      <c r="D145" s="48" t="inlineStr">
        <is>
          <t>Principal</t>
        </is>
      </c>
      <c r="E145" s="48" t="inlineStr">
        <is>
          <t>US</t>
        </is>
      </c>
      <c r="F145" s="48" t="inlineStr">
        <is>
          <t>Remote US</t>
        </is>
      </c>
      <c r="G145" s="48" t="n">
        <v>51</v>
      </c>
      <c r="H145" s="48" t="inlineStr">
        <is>
          <t>Cold Portal</t>
        </is>
      </c>
      <c r="I145" s="48" t="n"/>
      <c r="J145" s="48" t="inlineStr">
        <is>
          <t>Yes</t>
        </is>
      </c>
      <c r="K145" s="49" t="inlineStr">
        <is>
          <t>Rejected</t>
        </is>
      </c>
      <c r="L145" s="48" t="n"/>
      <c r="M145" s="48">
        <f>IF(OR(L145="",A145=""),"",L145-A145)</f>
        <v/>
      </c>
      <c r="N145" s="48" t="n"/>
      <c r="O145" s="48" t="n"/>
      <c r="P145" s="51" t="inlineStr">
        <is>
          <t>Remote. LinkedIn shows no longer accepting applications. | Status updated to Rejected per Greenhouse portal review / Gmail check, confirmed 2026-09-20 (was: Ghosted (30d+)). | Principal TPM owning Reddit's Performance portfolio (mobile/web performance, client reliability, observability, release quality); operates at executive/company scope, no direct people management but organizational leadership. 14+ years across TPM/engineering/infrastructure/performance engineering/reliability specifically. Low-moderate fit: strong executive-scope program leadership and organizational change overlap, but requires deep hands-on technical fluency in performance/reliability engineering domains (app startup, rendering, observability systems) well beyond portfolio-level technical exposure. Base salary $260,800-$365,100 USD.</t>
        </is>
      </c>
      <c r="Q145" s="48" t="n"/>
      <c r="R145" s="48" t="inlineStr">
        <is>
          <t>Technical depth gap (performance/reliability engineering specialization)</t>
        </is>
      </c>
      <c r="S145" s="51" t="inlineStr">
        <is>
          <t>14+ yrs TPM/engineering/infra/performance eng/reliability. Deep client platform/observability/experimentation fluency. Executive scope, no direct people mgmt. Organizational change leadership.</t>
        </is>
      </c>
      <c r="T145" s="52">
        <f>IF(G145="","",G145)</f>
        <v/>
      </c>
      <c r="U145" s="52">
        <f>IF(C145="","",IF(OR(ISNUMBER(SEARCH("Director",C145)),ISNUMBER(SEARCH("Lead",C145)),ISNUMBER(SEARCH("Senior",C145)),ISNUMBER(SEARCH("Sr.",C145))),90,IF(OR(ISNUMBER(SEARCH("Manager",C145)),ISNUMBER(SEARCH("Program",C145)),ISNUMBER(SEARCH("Portfolio",C145))),80,60)))</f>
        <v/>
      </c>
      <c r="V145" s="52">
        <f>IF(C145="","",IF(OR(ISNUMBER(SEARCH("AI",C145)),ISNUMBER(SEARCH("Data",C145)),ISNUMBER(SEARCH("Technology",C145)),ISNUMBER(SEARCH("Technical",C145)),ISNUMBER(SEARCH("Engineering",C145)),ISNUMBER(SEARCH("Platform",C145)),ISNUMBER(SEARCH("Portfolio",C145))),85,65))</f>
        <v/>
      </c>
      <c r="W145" s="52">
        <f>IF(C145="","",MIN(100,50+IF(S145&lt;&gt;"",25,0)+IF(R145&lt;&gt;"",15,0)+IF(P145&lt;&gt;"",10,0)))</f>
        <v/>
      </c>
      <c r="X145" s="52">
        <f>IF(E145="","",IF(OR(E145="Canada",E145="CA"),100,IF(OR(E145="United States",E145="USA",E145="US"),IF(J145="Yes",45,75),65)))</f>
        <v/>
      </c>
      <c r="Y145" s="52">
        <f>IF(C145="","",IF(OR(ISNUMBER(SEARCH("Program",C145)),ISNUMBER(SEARCH("Portfolio",C145)),ISNUMBER(SEARCH("Operations",C145)),ISNUMBER(SEARCH("Transformation",C145))),85,IF(ISNUMBER(SEARCH("Product Manager",C145)),55,70)))</f>
        <v/>
      </c>
      <c r="Z145" s="52">
        <f>IF(C145="","",MIN(100,IF(I145&lt;&gt;"",60,10)+IF(AA145&gt;0,MIN(40,AA145*20),0)))</f>
        <v/>
      </c>
      <c r="AA145" s="52">
        <f>IF(T145="","",ROUND(T145*25%+U145*15%+V145*10%+W145*15%+X145*15%+Y145*10%+Z145*10%,0))</f>
        <v/>
      </c>
      <c r="AB145" s="52">
        <f>IF(AA145="","",IF(X145&lt;50,"Selective / Barrier",IF(AA145&gt;=80,"Tier 1 - Pursue",IF(AA145&gt;=70,"Tier 2 - Pursue",IF(AA145&gt;=60,"Tier 3 - Selective","Do Not Pursue")))))</f>
        <v/>
      </c>
      <c r="AC145" s="52">
        <f>IF(C145="","",IF(I145&lt;&gt;"","Named Contact",IF(AA145&gt;0,"Outreach Logged","Cold")))</f>
        <v/>
      </c>
      <c r="AD145" s="52">
        <f>IF(B145="","",COUNTIF('Outreach Log'!$C:$C,B145))</f>
        <v/>
      </c>
      <c r="AE145" s="52">
        <f>IF(A145="","",IF(OR(K145="Rejected",K145="Closed"),IF(L145&lt;&gt;"",L145-A145,TODAY()-A145),TODAY()-A145))</f>
        <v/>
      </c>
      <c r="AF145" s="52">
        <f>IF(C145="","",IF(AND(AA145&gt;=70,AC145="Cold"),"High-fit but cold",IF(AND(AA145&lt;60,K145="Applied"),"Low-fit application",IF(AND(AA145&gt;=70,OR(AC145="Named Contact",AC145="Outreach Logged")),"Targeted pursuit","Review"))))</f>
        <v/>
      </c>
    </row>
    <row r="146" ht="15" customHeight="1" s="44">
      <c r="A146" s="53" t="n">
        <v>46213</v>
      </c>
      <c r="B146" s="48" t="inlineStr">
        <is>
          <t>Pinterest</t>
        </is>
      </c>
      <c r="C146" s="48" t="inlineStr">
        <is>
          <t>Sr. TPM, Personalization</t>
        </is>
      </c>
      <c r="D146" s="48" t="inlineStr">
        <is>
          <t>Sr TPM</t>
        </is>
      </c>
      <c r="E146" s="48" t="inlineStr">
        <is>
          <t>US</t>
        </is>
      </c>
      <c r="F146" s="48" t="inlineStr">
        <is>
          <t>Remote US</t>
        </is>
      </c>
      <c r="G146" s="48" t="n">
        <v>75</v>
      </c>
      <c r="H146" s="48" t="inlineStr">
        <is>
          <t>Cold Portal</t>
        </is>
      </c>
      <c r="I146" s="48" t="n"/>
      <c r="J146" s="48" t="inlineStr">
        <is>
          <t>Yes</t>
        </is>
      </c>
      <c r="K146" s="55" t="inlineStr">
        <is>
          <t>Applied</t>
        </is>
      </c>
      <c r="L146" s="48" t="n"/>
      <c r="M146" s="48">
        <f>IF(OR(L67="",A67=""),"",L67-A67)</f>
        <v/>
      </c>
      <c r="N146" s="48" t="n"/>
      <c r="O146" s="48" t="n"/>
      <c r="P146" s="51" t="n"/>
      <c r="Q146" s="48" t="n"/>
      <c r="R146" s="48" t="n"/>
      <c r="S146" s="51" t="n"/>
      <c r="T146" s="52">
        <f>IF(G146="","",G146)</f>
        <v/>
      </c>
      <c r="U146" s="52">
        <f>IF(C146="","",IF(OR(ISNUMBER(SEARCH("Director",C146)),ISNUMBER(SEARCH("Lead",C146)),ISNUMBER(SEARCH("Senior",C146)),ISNUMBER(SEARCH("Sr.",C146))),90,IF(OR(ISNUMBER(SEARCH("Manager",C146)),ISNUMBER(SEARCH("Program",C146)),ISNUMBER(SEARCH("Portfolio",C146))),80,60)))</f>
        <v/>
      </c>
      <c r="V146" s="52">
        <f>IF(C146="","",IF(OR(ISNUMBER(SEARCH("AI",C146)),ISNUMBER(SEARCH("Data",C146)),ISNUMBER(SEARCH("Technology",C146)),ISNUMBER(SEARCH("Technical",C146)),ISNUMBER(SEARCH("Engineering",C146)),ISNUMBER(SEARCH("Platform",C146)),ISNUMBER(SEARCH("Portfolio",C146))),85,65))</f>
        <v/>
      </c>
      <c r="W146" s="52">
        <f>IF(C146="","",MIN(100,50+IF(S146&lt;&gt;"",25,0)+IF(R146&lt;&gt;"",15,0)+IF(P146&lt;&gt;"",10,0)))</f>
        <v/>
      </c>
      <c r="X146" s="52">
        <f>IF(E146="","",IF(OR(E146="Canada",E146="CA"),100,IF(OR(E146="United States",E146="USA",E146="US"),IF(J146="Yes",45,75),65)))</f>
        <v/>
      </c>
      <c r="Y146" s="52">
        <f>IF(C146="","",IF(OR(ISNUMBER(SEARCH("Program",C146)),ISNUMBER(SEARCH("Portfolio",C146)),ISNUMBER(SEARCH("Operations",C146)),ISNUMBER(SEARCH("Transformation",C146))),85,IF(ISNUMBER(SEARCH("Product Manager",C146)),55,70)))</f>
        <v/>
      </c>
      <c r="Z146" s="52">
        <f>IF(C146="","",MIN(100,IF(I146&lt;&gt;"",60,10)+IF(AA146&gt;0,MIN(40,AA146*20),0)))</f>
        <v/>
      </c>
      <c r="AA146" s="52">
        <f>IF(T146="","",ROUND(T146*25%+U146*15%+V146*10%+W146*15%+X146*15%+Y146*10%+Z146*10%,0))</f>
        <v/>
      </c>
      <c r="AB146" s="52">
        <f>IF(AA146="","",IF(X146&lt;50,"Selective / Barrier",IF(AA146&gt;=80,"Tier 1 - Pursue",IF(AA146&gt;=70,"Tier 2 - Pursue",IF(AA146&gt;=60,"Tier 3 - Selective","Do Not Pursue")))))</f>
        <v/>
      </c>
      <c r="AC146" s="52">
        <f>IF(C146="","",IF(I146&lt;&gt;"","Named Contact",IF(AA146&gt;0,"Outreach Logged","Cold")))</f>
        <v/>
      </c>
      <c r="AD146" s="52">
        <f>IF(B146="","",COUNTIF('Outreach Log'!$C:$C,B146))</f>
        <v/>
      </c>
      <c r="AE146" s="52">
        <f>IF(A146="","",IF(OR(K146="Rejected",K146="Closed"),IF(L146&lt;&gt;"",L146-A146,TODAY()-A146),TODAY()-A146))</f>
        <v/>
      </c>
      <c r="AF146" s="52">
        <f>IF(C146="","",IF(AND(AA146&gt;=70,AC146="Cold"),"High-fit but cold",IF(AND(AA146&lt;60,K146="Applied"),"Low-fit application",IF(AND(AA146&gt;=70,OR(AC146="Named Contact",AC146="Outreach Logged")),"Targeted pursuit","Review"))))</f>
        <v/>
      </c>
    </row>
    <row r="147" ht="15" customHeight="1" s="44">
      <c r="A147" s="53" t="n">
        <v>46213</v>
      </c>
      <c r="B147" s="48" t="inlineStr">
        <is>
          <t>Oracle</t>
        </is>
      </c>
      <c r="C147" s="48" t="inlineStr">
        <is>
          <t>Delivery Manager - NetSuite ACS</t>
        </is>
      </c>
      <c r="D147" s="48" t="inlineStr">
        <is>
          <t>Sr Manager</t>
        </is>
      </c>
      <c r="E147" s="48" t="inlineStr">
        <is>
          <t>US</t>
        </is>
      </c>
      <c r="F147" s="48" t="inlineStr">
        <is>
          <t>Remote</t>
        </is>
      </c>
      <c r="G147" s="48" t="n">
        <v>65</v>
      </c>
      <c r="H147" s="48" t="inlineStr">
        <is>
          <t>Cold Portal</t>
        </is>
      </c>
      <c r="I147" s="48" t="n"/>
      <c r="J147" s="48" t="inlineStr">
        <is>
          <t>Yes</t>
        </is>
      </c>
      <c r="K147" s="55" t="inlineStr">
        <is>
          <t>Applied</t>
        </is>
      </c>
      <c r="L147" s="48" t="n"/>
      <c r="M147" s="48">
        <f>IF(OR(L68="",A68=""),"",L68-A68)</f>
        <v/>
      </c>
      <c r="N147" s="48" t="n"/>
      <c r="O147" s="48" t="n"/>
      <c r="P147" s="51" t="n"/>
      <c r="Q147" s="48" t="n"/>
      <c r="R147" s="48" t="n"/>
      <c r="S147" s="51" t="n"/>
      <c r="T147" s="52">
        <f>IF(G147="","",G147)</f>
        <v/>
      </c>
      <c r="U147" s="52">
        <f>IF(C147="","",IF(OR(ISNUMBER(SEARCH("Director",C147)),ISNUMBER(SEARCH("Lead",C147)),ISNUMBER(SEARCH("Senior",C147)),ISNUMBER(SEARCH("Sr.",C147))),90,IF(OR(ISNUMBER(SEARCH("Manager",C147)),ISNUMBER(SEARCH("Program",C147)),ISNUMBER(SEARCH("Portfolio",C147))),80,60)))</f>
        <v/>
      </c>
      <c r="V147" s="52">
        <f>IF(C147="","",IF(OR(ISNUMBER(SEARCH("AI",C147)),ISNUMBER(SEARCH("Data",C147)),ISNUMBER(SEARCH("Technology",C147)),ISNUMBER(SEARCH("Technical",C147)),ISNUMBER(SEARCH("Engineering",C147)),ISNUMBER(SEARCH("Platform",C147)),ISNUMBER(SEARCH("Portfolio",C147))),85,65))</f>
        <v/>
      </c>
      <c r="W147" s="52">
        <f>IF(C147="","",MIN(100,50+IF(S147&lt;&gt;"",25,0)+IF(R147&lt;&gt;"",15,0)+IF(P147&lt;&gt;"",10,0)))</f>
        <v/>
      </c>
      <c r="X147" s="52">
        <f>IF(E147="","",IF(OR(E147="Canada",E147="CA"),100,IF(OR(E147="United States",E147="USA",E147="US"),IF(J147="Yes",45,75),65)))</f>
        <v/>
      </c>
      <c r="Y147" s="52">
        <f>IF(C147="","",IF(OR(ISNUMBER(SEARCH("Program",C147)),ISNUMBER(SEARCH("Portfolio",C147)),ISNUMBER(SEARCH("Operations",C147)),ISNUMBER(SEARCH("Transformation",C147))),85,IF(ISNUMBER(SEARCH("Product Manager",C147)),55,70)))</f>
        <v/>
      </c>
      <c r="Z147" s="52">
        <f>IF(C147="","",MIN(100,IF(I147&lt;&gt;"",60,10)+IF(AA147&gt;0,MIN(40,AA147*20),0)))</f>
        <v/>
      </c>
      <c r="AA147" s="52">
        <f>IF(T147="","",ROUND(T147*25%+U147*15%+V147*10%+W147*15%+X147*15%+Y147*10%+Z147*10%,0))</f>
        <v/>
      </c>
      <c r="AB147" s="52">
        <f>IF(AA147="","",IF(X147&lt;50,"Selective / Barrier",IF(AA147&gt;=80,"Tier 1 - Pursue",IF(AA147&gt;=70,"Tier 2 - Pursue",IF(AA147&gt;=60,"Tier 3 - Selective","Do Not Pursue")))))</f>
        <v/>
      </c>
      <c r="AC147" s="52">
        <f>IF(C147="","",IF(I147&lt;&gt;"","Named Contact",IF(AA147&gt;0,"Outreach Logged","Cold")))</f>
        <v/>
      </c>
      <c r="AD147" s="52">
        <f>IF(B147="","",COUNTIF('Outreach Log'!$C:$C,B147))</f>
        <v/>
      </c>
      <c r="AE147" s="52">
        <f>IF(A147="","",IF(OR(K147="Rejected",K147="Closed"),IF(L147&lt;&gt;"",L147-A147,TODAY()-A147),TODAY()-A147))</f>
        <v/>
      </c>
      <c r="AF147" s="52">
        <f>IF(C147="","",IF(AND(AA147&gt;=70,AC147="Cold"),"High-fit but cold",IF(AND(AA147&lt;60,K147="Applied"),"Low-fit application",IF(AND(AA147&gt;=70,OR(AC147="Named Contact",AC147="Outreach Logged")),"Targeted pursuit","Review"))))</f>
        <v/>
      </c>
    </row>
    <row r="148" ht="15" customHeight="1" s="44">
      <c r="A148" s="53" t="n">
        <v>46216</v>
      </c>
      <c r="B148" s="48" t="inlineStr">
        <is>
          <t>ServiceNow</t>
        </is>
      </c>
      <c r="C148" s="48" t="inlineStr">
        <is>
          <t>Director, TPM (2nd application)</t>
        </is>
      </c>
      <c r="D148" s="48" t="inlineStr">
        <is>
          <t>Director</t>
        </is>
      </c>
      <c r="E148" s="48" t="inlineStr">
        <is>
          <t>US</t>
        </is>
      </c>
      <c r="F148" s="48" t="inlineStr">
        <is>
          <t>Santa Clara</t>
        </is>
      </c>
      <c r="G148" s="48" t="n">
        <v>65</v>
      </c>
      <c r="H148" s="48" t="inlineStr">
        <is>
          <t>Cold Portal</t>
        </is>
      </c>
      <c r="I148" s="48" t="n"/>
      <c r="J148" s="48" t="inlineStr">
        <is>
          <t>Yes</t>
        </is>
      </c>
      <c r="K148" s="49" t="inlineStr">
        <is>
          <t>Rejected</t>
        </is>
      </c>
      <c r="L148" s="50" t="n">
        <v>46216</v>
      </c>
      <c r="M148" s="48">
        <f>IF(OR(L69="",A69=""),"",L69-A69)</f>
        <v/>
      </c>
      <c r="N148" s="48" t="n"/>
      <c r="O148" s="48" t="n"/>
      <c r="P148" s="51" t="inlineStr">
        <is>
          <t>Duplicate application</t>
        </is>
      </c>
      <c r="Q148" s="48" t="n"/>
      <c r="R148" s="48" t="n"/>
      <c r="S148" s="51" t="n"/>
      <c r="T148" s="52">
        <f>IF(G148="","",G148)</f>
        <v/>
      </c>
      <c r="U148" s="52">
        <f>IF(C148="","",IF(OR(ISNUMBER(SEARCH("Director",C148)),ISNUMBER(SEARCH("Lead",C148)),ISNUMBER(SEARCH("Senior",C148)),ISNUMBER(SEARCH("Sr.",C148))),90,IF(OR(ISNUMBER(SEARCH("Manager",C148)),ISNUMBER(SEARCH("Program",C148)),ISNUMBER(SEARCH("Portfolio",C148))),80,60)))</f>
        <v/>
      </c>
      <c r="V148" s="52">
        <f>IF(C148="","",IF(OR(ISNUMBER(SEARCH("AI",C148)),ISNUMBER(SEARCH("Data",C148)),ISNUMBER(SEARCH("Technology",C148)),ISNUMBER(SEARCH("Technical",C148)),ISNUMBER(SEARCH("Engineering",C148)),ISNUMBER(SEARCH("Platform",C148)),ISNUMBER(SEARCH("Portfolio",C148))),85,65))</f>
        <v/>
      </c>
      <c r="W148" s="52">
        <f>IF(C148="","",MIN(100,50+IF(S148&lt;&gt;"",25,0)+IF(R148&lt;&gt;"",15,0)+IF(P148&lt;&gt;"",10,0)))</f>
        <v/>
      </c>
      <c r="X148" s="52">
        <f>IF(E148="","",IF(OR(E148="Canada",E148="CA"),100,IF(OR(E148="United States",E148="USA",E148="US"),IF(J148="Yes",45,75),65)))</f>
        <v/>
      </c>
      <c r="Y148" s="52">
        <f>IF(C148="","",IF(OR(ISNUMBER(SEARCH("Program",C148)),ISNUMBER(SEARCH("Portfolio",C148)),ISNUMBER(SEARCH("Operations",C148)),ISNUMBER(SEARCH("Transformation",C148))),85,IF(ISNUMBER(SEARCH("Product Manager",C148)),55,70)))</f>
        <v/>
      </c>
      <c r="Z148" s="52">
        <f>IF(C148="","",MIN(100,IF(I148&lt;&gt;"",60,10)+IF(AA148&gt;0,MIN(40,AA148*20),0)))</f>
        <v/>
      </c>
      <c r="AA148" s="52">
        <f>IF(T148="","",ROUND(T148*25%+U148*15%+V148*10%+W148*15%+X148*15%+Y148*10%+Z148*10%,0))</f>
        <v/>
      </c>
      <c r="AB148" s="52">
        <f>IF(AA148="","",IF(X148&lt;50,"Selective / Barrier",IF(AA148&gt;=80,"Tier 1 - Pursue",IF(AA148&gt;=70,"Tier 2 - Pursue",IF(AA148&gt;=60,"Tier 3 - Selective","Do Not Pursue")))))</f>
        <v/>
      </c>
      <c r="AC148" s="52">
        <f>IF(C148="","",IF(I148&lt;&gt;"","Named Contact",IF(AA148&gt;0,"Outreach Logged","Cold")))</f>
        <v/>
      </c>
      <c r="AD148" s="52">
        <f>IF(B148="","",COUNTIF('Outreach Log'!$C:$C,B148))</f>
        <v/>
      </c>
      <c r="AE148" s="52">
        <f>IF(A148="","",IF(OR(K148="Rejected",K148="Closed"),IF(L148&lt;&gt;"",L148-A148,TODAY()-A148),TODAY()-A148))</f>
        <v/>
      </c>
      <c r="AF148" s="52">
        <f>IF(C148="","",IF(AND(AA148&gt;=70,AC148="Cold"),"High-fit but cold",IF(AND(AA148&lt;60,K148="Applied"),"Low-fit application",IF(AND(AA148&gt;=70,OR(AC148="Named Contact",AC148="Outreach Logged")),"Targeted pursuit","Review"))))</f>
        <v/>
      </c>
    </row>
    <row r="149" ht="15" customHeight="1" s="44">
      <c r="A149" s="53" t="n">
        <v>46218</v>
      </c>
      <c r="B149" s="48" t="inlineStr">
        <is>
          <t>FICO</t>
        </is>
      </c>
      <c r="C149" s="48" t="inlineStr">
        <is>
          <t>Director of Technology Program Management</t>
        </is>
      </c>
      <c r="D149" s="48" t="inlineStr">
        <is>
          <t>Director</t>
        </is>
      </c>
      <c r="E149" s="48" t="inlineStr">
        <is>
          <t>US</t>
        </is>
      </c>
      <c r="F149" s="48" t="inlineStr">
        <is>
          <t>Remote US</t>
        </is>
      </c>
      <c r="G149" s="48" t="n">
        <v>65</v>
      </c>
      <c r="H149" s="48" t="inlineStr">
        <is>
          <t>Cold Portal</t>
        </is>
      </c>
      <c r="I149" s="48" t="n"/>
      <c r="J149" s="48" t="inlineStr">
        <is>
          <t>Yes</t>
        </is>
      </c>
      <c r="K149" s="55" t="inlineStr">
        <is>
          <t>Applied</t>
        </is>
      </c>
      <c r="L149" s="48" t="n"/>
      <c r="M149" s="48">
        <f>IF(OR(L70="",A70=""),"",L70-A70)</f>
        <v/>
      </c>
      <c r="N149" s="48" t="n"/>
      <c r="O149" s="48" t="n"/>
      <c r="P149" s="51" t="n"/>
      <c r="Q149" s="48" t="n"/>
      <c r="R149" s="48" t="n"/>
      <c r="S149" s="51" t="n"/>
      <c r="T149" s="52">
        <f>IF(G149="","",G149)</f>
        <v/>
      </c>
      <c r="U149" s="52">
        <f>IF(C149="","",IF(OR(ISNUMBER(SEARCH("Director",C149)),ISNUMBER(SEARCH("Lead",C149)),ISNUMBER(SEARCH("Senior",C149)),ISNUMBER(SEARCH("Sr.",C149))),90,IF(OR(ISNUMBER(SEARCH("Manager",C149)),ISNUMBER(SEARCH("Program",C149)),ISNUMBER(SEARCH("Portfolio",C149))),80,60)))</f>
        <v/>
      </c>
      <c r="V149" s="52">
        <f>IF(C149="","",IF(OR(ISNUMBER(SEARCH("AI",C149)),ISNUMBER(SEARCH("Data",C149)),ISNUMBER(SEARCH("Technology",C149)),ISNUMBER(SEARCH("Technical",C149)),ISNUMBER(SEARCH("Engineering",C149)),ISNUMBER(SEARCH("Platform",C149)),ISNUMBER(SEARCH("Portfolio",C149))),85,65))</f>
        <v/>
      </c>
      <c r="W149" s="52">
        <f>IF(C149="","",MIN(100,50+IF(S149&lt;&gt;"",25,0)+IF(R149&lt;&gt;"",15,0)+IF(P149&lt;&gt;"",10,0)))</f>
        <v/>
      </c>
      <c r="X149" s="52">
        <f>IF(E149="","",IF(OR(E149="Canada",E149="CA"),100,IF(OR(E149="United States",E149="USA",E149="US"),IF(J149="Yes",45,75),65)))</f>
        <v/>
      </c>
      <c r="Y149" s="52">
        <f>IF(C149="","",IF(OR(ISNUMBER(SEARCH("Program",C149)),ISNUMBER(SEARCH("Portfolio",C149)),ISNUMBER(SEARCH("Operations",C149)),ISNUMBER(SEARCH("Transformation",C149))),85,IF(ISNUMBER(SEARCH("Product Manager",C149)),55,70)))</f>
        <v/>
      </c>
      <c r="Z149" s="52">
        <f>IF(C149="","",MIN(100,IF(I149&lt;&gt;"",60,10)+IF(AA149&gt;0,MIN(40,AA149*20),0)))</f>
        <v/>
      </c>
      <c r="AA149" s="52">
        <f>IF(T149="","",ROUND(T149*25%+U149*15%+V149*10%+W149*15%+X149*15%+Y149*10%+Z149*10%,0))</f>
        <v/>
      </c>
      <c r="AB149" s="52">
        <f>IF(AA149="","",IF(X149&lt;50,"Selective / Barrier",IF(AA149&gt;=80,"Tier 1 - Pursue",IF(AA149&gt;=70,"Tier 2 - Pursue",IF(AA149&gt;=60,"Tier 3 - Selective","Do Not Pursue")))))</f>
        <v/>
      </c>
      <c r="AC149" s="52">
        <f>IF(C149="","",IF(I149&lt;&gt;"","Named Contact",IF(AA149&gt;0,"Outreach Logged","Cold")))</f>
        <v/>
      </c>
      <c r="AD149" s="52">
        <f>IF(B149="","",COUNTIF('Outreach Log'!$C:$C,B149))</f>
        <v/>
      </c>
      <c r="AE149" s="52">
        <f>IF(A149="","",IF(OR(K149="Rejected",K149="Closed"),IF(L149&lt;&gt;"",L149-A149,TODAY()-A149),TODAY()-A149))</f>
        <v/>
      </c>
      <c r="AF149" s="52">
        <f>IF(C149="","",IF(AND(AA149&gt;=70,AC149="Cold"),"High-fit but cold",IF(AND(AA149&lt;60,K149="Applied"),"Low-fit application",IF(AND(AA149&gt;=70,OR(AC149="Named Contact",AC149="Outreach Logged")),"Targeted pursuit","Review"))))</f>
        <v/>
      </c>
    </row>
    <row r="150" ht="15" customHeight="1" s="44">
      <c r="A150" s="53" t="n">
        <v>46220</v>
      </c>
      <c r="B150" s="48" t="inlineStr">
        <is>
          <t>TD Bank</t>
        </is>
      </c>
      <c r="C150" s="48" t="inlineStr">
        <is>
          <t>AVP, Business Architecture &amp; Transformation, TD Insurance</t>
        </is>
      </c>
      <c r="D150" s="48" t="inlineStr">
        <is>
          <t>Director</t>
        </is>
      </c>
      <c r="E150" s="48" t="inlineStr">
        <is>
          <t>Canada</t>
        </is>
      </c>
      <c r="F150" s="48" t="inlineStr">
        <is>
          <t>Toronto</t>
        </is>
      </c>
      <c r="G150" s="48" t="n">
        <v>75</v>
      </c>
      <c r="H150" s="48" t="inlineStr">
        <is>
          <t>Cold Portal</t>
        </is>
      </c>
      <c r="I150" s="48" t="n"/>
      <c r="J150" s="48" t="inlineStr">
        <is>
          <t>No</t>
        </is>
      </c>
      <c r="K150" s="55" t="inlineStr">
        <is>
          <t>Applied</t>
        </is>
      </c>
      <c r="L150" s="48" t="n"/>
      <c r="M150" s="48">
        <f>IF(OR(L71="",A71=""),"",L71-A71)</f>
        <v/>
      </c>
      <c r="N150" s="48" t="n"/>
      <c r="O150" s="48" t="n"/>
      <c r="P150" s="51" t="inlineStr">
        <is>
          <t>AVP level - strong Canadian target</t>
        </is>
      </c>
      <c r="Q150" s="48" t="n"/>
      <c r="R150" s="48" t="n"/>
      <c r="S150" s="51" t="n"/>
      <c r="T150" s="52">
        <f>IF(G150="","",G150)</f>
        <v/>
      </c>
      <c r="U150" s="52">
        <f>IF(C150="","",IF(OR(ISNUMBER(SEARCH("Director",C150)),ISNUMBER(SEARCH("Lead",C150)),ISNUMBER(SEARCH("Senior",C150)),ISNUMBER(SEARCH("Sr.",C150))),90,IF(OR(ISNUMBER(SEARCH("Manager",C150)),ISNUMBER(SEARCH("Program",C150)),ISNUMBER(SEARCH("Portfolio",C150))),80,60)))</f>
        <v/>
      </c>
      <c r="V150" s="52">
        <f>IF(C150="","",IF(OR(ISNUMBER(SEARCH("AI",C150)),ISNUMBER(SEARCH("Data",C150)),ISNUMBER(SEARCH("Technology",C150)),ISNUMBER(SEARCH("Technical",C150)),ISNUMBER(SEARCH("Engineering",C150)),ISNUMBER(SEARCH("Platform",C150)),ISNUMBER(SEARCH("Portfolio",C150))),85,65))</f>
        <v/>
      </c>
      <c r="W150" s="52">
        <f>IF(C150="","",MIN(100,50+IF(S150&lt;&gt;"",25,0)+IF(R150&lt;&gt;"",15,0)+IF(P150&lt;&gt;"",10,0)))</f>
        <v/>
      </c>
      <c r="X150" s="52">
        <f>IF(E150="","",IF(OR(E150="Canada",E150="CA"),100,IF(OR(E150="United States",E150="USA",E150="US"),IF(J150="Yes",45,75),65)))</f>
        <v/>
      </c>
      <c r="Y150" s="52">
        <f>IF(C150="","",IF(OR(ISNUMBER(SEARCH("Program",C150)),ISNUMBER(SEARCH("Portfolio",C150)),ISNUMBER(SEARCH("Operations",C150)),ISNUMBER(SEARCH("Transformation",C150))),85,IF(ISNUMBER(SEARCH("Product Manager",C150)),55,70)))</f>
        <v/>
      </c>
      <c r="Z150" s="52">
        <f>IF(C150="","",MIN(100,IF(I150&lt;&gt;"",60,10)+IF(AA150&gt;0,MIN(40,AA150*20),0)))</f>
        <v/>
      </c>
      <c r="AA150" s="52">
        <f>IF(T150="","",ROUND(T150*25%+U150*15%+V150*10%+W150*15%+X150*15%+Y150*10%+Z150*10%,0))</f>
        <v/>
      </c>
      <c r="AB150" s="52">
        <f>IF(AA150="","",IF(X150&lt;50,"Selective / Barrier",IF(AA150&gt;=80,"Tier 1 - Pursue",IF(AA150&gt;=70,"Tier 2 - Pursue",IF(AA150&gt;=60,"Tier 3 - Selective","Do Not Pursue")))))</f>
        <v/>
      </c>
      <c r="AC150" s="52">
        <f>IF(C150="","",IF(I150&lt;&gt;"","Named Contact",IF(AA150&gt;0,"Outreach Logged","Cold")))</f>
        <v/>
      </c>
      <c r="AD150" s="52">
        <f>IF(B150="","",COUNTIF('Outreach Log'!$C:$C,B150))</f>
        <v/>
      </c>
      <c r="AE150" s="52">
        <f>IF(A150="","",IF(OR(K150="Rejected",K150="Closed"),IF(L150&lt;&gt;"",L150-A150,TODAY()-A150),TODAY()-A150))</f>
        <v/>
      </c>
      <c r="AF150" s="52">
        <f>IF(C150="","",IF(AND(AA150&gt;=70,AC150="Cold"),"High-fit but cold",IF(AND(AA150&lt;60,K150="Applied"),"Low-fit application",IF(AND(AA150&gt;=70,OR(AC150="Named Contact",AC150="Outreach Logged")),"Targeted pursuit","Review"))))</f>
        <v/>
      </c>
    </row>
    <row r="151" ht="15" customHeight="1" s="44">
      <c r="A151" s="53" t="n">
        <v>46220</v>
      </c>
      <c r="B151" s="48" t="inlineStr">
        <is>
          <t>Spectrum Health Care</t>
        </is>
      </c>
      <c r="C151" s="48" t="inlineStr">
        <is>
          <t>VP, Delivery - Digital and Enterprise Solutions</t>
        </is>
      </c>
      <c r="D151" s="48" t="inlineStr">
        <is>
          <t>Director</t>
        </is>
      </c>
      <c r="E151" s="48" t="inlineStr">
        <is>
          <t>Canada</t>
        </is>
      </c>
      <c r="F151" s="48" t="inlineStr">
        <is>
          <t>Toronto</t>
        </is>
      </c>
      <c r="G151" s="48" t="n">
        <v>60</v>
      </c>
      <c r="H151" s="48" t="inlineStr">
        <is>
          <t>Cold Portal</t>
        </is>
      </c>
      <c r="I151" s="48" t="n"/>
      <c r="J151" s="48" t="inlineStr">
        <is>
          <t>No</t>
        </is>
      </c>
      <c r="K151" s="49" t="inlineStr">
        <is>
          <t>Rejected</t>
        </is>
      </c>
      <c r="L151" s="50" t="n">
        <v>46224</v>
      </c>
      <c r="M151" s="48">
        <f>IF(OR(L72="",A72=""),"",L72-A72)</f>
        <v/>
      </c>
      <c r="N151" s="48" t="n"/>
      <c r="O151" s="48" t="n"/>
      <c r="P151" s="51" t="inlineStr">
        <is>
          <t>Rejected via SmartRecruiters email received 07/21</t>
        </is>
      </c>
      <c r="Q151" s="48" t="n"/>
      <c r="R151" s="48" t="n"/>
      <c r="S151" s="51" t="n"/>
      <c r="T151" s="52">
        <f>IF(G151="","",G151)</f>
        <v/>
      </c>
      <c r="U151" s="52">
        <f>IF(C151="","",IF(OR(ISNUMBER(SEARCH("Director",C151)),ISNUMBER(SEARCH("Lead",C151)),ISNUMBER(SEARCH("Senior",C151)),ISNUMBER(SEARCH("Sr.",C151))),90,IF(OR(ISNUMBER(SEARCH("Manager",C151)),ISNUMBER(SEARCH("Program",C151)),ISNUMBER(SEARCH("Portfolio",C151))),80,60)))</f>
        <v/>
      </c>
      <c r="V151" s="52">
        <f>IF(C151="","",IF(OR(ISNUMBER(SEARCH("AI",C151)),ISNUMBER(SEARCH("Data",C151)),ISNUMBER(SEARCH("Technology",C151)),ISNUMBER(SEARCH("Technical",C151)),ISNUMBER(SEARCH("Engineering",C151)),ISNUMBER(SEARCH("Platform",C151)),ISNUMBER(SEARCH("Portfolio",C151))),85,65))</f>
        <v/>
      </c>
      <c r="W151" s="52">
        <f>IF(C151="","",MIN(100,50+IF(S151&lt;&gt;"",25,0)+IF(R151&lt;&gt;"",15,0)+IF(P151&lt;&gt;"",10,0)))</f>
        <v/>
      </c>
      <c r="X151" s="52">
        <f>IF(E151="","",IF(OR(E151="Canada",E151="CA"),100,IF(OR(E151="United States",E151="USA",E151="US"),IF(J151="Yes",45,75),65)))</f>
        <v/>
      </c>
      <c r="Y151" s="52">
        <f>IF(C151="","",IF(OR(ISNUMBER(SEARCH("Program",C151)),ISNUMBER(SEARCH("Portfolio",C151)),ISNUMBER(SEARCH("Operations",C151)),ISNUMBER(SEARCH("Transformation",C151))),85,IF(ISNUMBER(SEARCH("Product Manager",C151)),55,70)))</f>
        <v/>
      </c>
      <c r="Z151" s="52">
        <f>IF(C151="","",MIN(100,IF(I151&lt;&gt;"",60,10)+IF(AA151&gt;0,MIN(40,AA151*20),0)))</f>
        <v/>
      </c>
      <c r="AA151" s="52">
        <f>IF(T151="","",ROUND(T151*25%+U151*15%+V151*10%+W151*15%+X151*15%+Y151*10%+Z151*10%,0))</f>
        <v/>
      </c>
      <c r="AB151" s="52">
        <f>IF(AA151="","",IF(X151&lt;50,"Selective / Barrier",IF(AA151&gt;=80,"Tier 1 - Pursue",IF(AA151&gt;=70,"Tier 2 - Pursue",IF(AA151&gt;=60,"Tier 3 - Selective","Do Not Pursue")))))</f>
        <v/>
      </c>
      <c r="AC151" s="52">
        <f>IF(C151="","",IF(I151&lt;&gt;"","Named Contact",IF(AA151&gt;0,"Outreach Logged","Cold")))</f>
        <v/>
      </c>
      <c r="AD151" s="52">
        <f>IF(B151="","",COUNTIF('Outreach Log'!$C:$C,B151))</f>
        <v/>
      </c>
      <c r="AE151" s="52">
        <f>IF(A151="","",IF(OR(K151="Rejected",K151="Closed"),IF(L151&lt;&gt;"",L151-A151,TODAY()-A151),TODAY()-A151))</f>
        <v/>
      </c>
      <c r="AF151" s="52">
        <f>IF(C151="","",IF(AND(AA151&gt;=70,AC151="Cold"),"High-fit but cold",IF(AND(AA151&lt;60,K151="Applied"),"Low-fit application",IF(AND(AA151&gt;=70,OR(AC151="Named Contact",AC151="Outreach Logged")),"Targeted pursuit","Review"))))</f>
        <v/>
      </c>
    </row>
    <row r="152" ht="15" customHeight="1" s="44">
      <c r="A152" s="53" t="n">
        <v>46220</v>
      </c>
      <c r="B152" s="48" t="inlineStr">
        <is>
          <t>(Indeed)</t>
        </is>
      </c>
      <c r="C152" s="48" t="inlineStr">
        <is>
          <t>Digital Transformation &amp; AI Director</t>
        </is>
      </c>
      <c r="D152" s="48" t="inlineStr">
        <is>
          <t>Director</t>
        </is>
      </c>
      <c r="E152" s="48" t="inlineStr">
        <is>
          <t>Canada</t>
        </is>
      </c>
      <c r="F152" s="48" t="inlineStr">
        <is>
          <t>Toronto</t>
        </is>
      </c>
      <c r="G152" s="48" t="n">
        <v>70</v>
      </c>
      <c r="H152" s="48" t="inlineStr">
        <is>
          <t>Cold Portal</t>
        </is>
      </c>
      <c r="I152" s="48" t="n"/>
      <c r="J152" s="48" t="inlineStr">
        <is>
          <t>No</t>
        </is>
      </c>
      <c r="K152" s="55" t="inlineStr">
        <is>
          <t>Applied</t>
        </is>
      </c>
      <c r="L152" s="48" t="n"/>
      <c r="M152" s="48">
        <f>IF(OR(L73="",A73=""),"",L73-A73)</f>
        <v/>
      </c>
      <c r="N152" s="48" t="n"/>
      <c r="O152" s="48" t="n"/>
      <c r="P152" s="51" t="inlineStr">
        <is>
          <t>Company TBD via Indeed</t>
        </is>
      </c>
      <c r="Q152" s="48" t="n"/>
      <c r="R152" s="48" t="n"/>
      <c r="S152" s="51" t="n"/>
      <c r="T152" s="52">
        <f>IF(G152="","",G152)</f>
        <v/>
      </c>
      <c r="U152" s="52">
        <f>IF(C152="","",IF(OR(ISNUMBER(SEARCH("Director",C152)),ISNUMBER(SEARCH("Lead",C152)),ISNUMBER(SEARCH("Senior",C152)),ISNUMBER(SEARCH("Sr.",C152))),90,IF(OR(ISNUMBER(SEARCH("Manager",C152)),ISNUMBER(SEARCH("Program",C152)),ISNUMBER(SEARCH("Portfolio",C152))),80,60)))</f>
        <v/>
      </c>
      <c r="V152" s="52">
        <f>IF(C152="","",IF(OR(ISNUMBER(SEARCH("AI",C152)),ISNUMBER(SEARCH("Data",C152)),ISNUMBER(SEARCH("Technology",C152)),ISNUMBER(SEARCH("Technical",C152)),ISNUMBER(SEARCH("Engineering",C152)),ISNUMBER(SEARCH("Platform",C152)),ISNUMBER(SEARCH("Portfolio",C152))),85,65))</f>
        <v/>
      </c>
      <c r="W152" s="52">
        <f>IF(C152="","",MIN(100,50+IF(S152&lt;&gt;"",25,0)+IF(R152&lt;&gt;"",15,0)+IF(P152&lt;&gt;"",10,0)))</f>
        <v/>
      </c>
      <c r="X152" s="52">
        <f>IF(E152="","",IF(OR(E152="Canada",E152="CA"),100,IF(OR(E152="United States",E152="USA",E152="US"),IF(J152="Yes",45,75),65)))</f>
        <v/>
      </c>
      <c r="Y152" s="52">
        <f>IF(C152="","",IF(OR(ISNUMBER(SEARCH("Program",C152)),ISNUMBER(SEARCH("Portfolio",C152)),ISNUMBER(SEARCH("Operations",C152)),ISNUMBER(SEARCH("Transformation",C152))),85,IF(ISNUMBER(SEARCH("Product Manager",C152)),55,70)))</f>
        <v/>
      </c>
      <c r="Z152" s="52">
        <f>IF(C152="","",MIN(100,IF(I152&lt;&gt;"",60,10)+IF(AA152&gt;0,MIN(40,AA152*20),0)))</f>
        <v/>
      </c>
      <c r="AA152" s="52">
        <f>IF(T152="","",ROUND(T152*25%+U152*15%+V152*10%+W152*15%+X152*15%+Y152*10%+Z152*10%,0))</f>
        <v/>
      </c>
      <c r="AB152" s="52">
        <f>IF(AA152="","",IF(X152&lt;50,"Selective / Barrier",IF(AA152&gt;=80,"Tier 1 - Pursue",IF(AA152&gt;=70,"Tier 2 - Pursue",IF(AA152&gt;=60,"Tier 3 - Selective","Do Not Pursue")))))</f>
        <v/>
      </c>
      <c r="AC152" s="52">
        <f>IF(C152="","",IF(I152&lt;&gt;"","Named Contact",IF(AA152&gt;0,"Outreach Logged","Cold")))</f>
        <v/>
      </c>
      <c r="AD152" s="52">
        <f>IF(B152="","",COUNTIF('Outreach Log'!$C:$C,B152))</f>
        <v/>
      </c>
      <c r="AE152" s="52">
        <f>IF(A152="","",IF(OR(K152="Rejected",K152="Closed"),IF(L152&lt;&gt;"",L152-A152,TODAY()-A152),TODAY()-A152))</f>
        <v/>
      </c>
      <c r="AF152" s="52">
        <f>IF(C152="","",IF(AND(AA152&gt;=70,AC152="Cold"),"High-fit but cold",IF(AND(AA152&lt;60,K152="Applied"),"Low-fit application",IF(AND(AA152&gt;=70,OR(AC152="Named Contact",AC152="Outreach Logged")),"Targeted pursuit","Review"))))</f>
        <v/>
      </c>
    </row>
    <row r="153" ht="15" customHeight="1" s="44">
      <c r="A153" s="53" t="n">
        <v>46222</v>
      </c>
      <c r="B153" s="48" t="inlineStr">
        <is>
          <t>OpenAI</t>
        </is>
      </c>
      <c r="C153" s="48" t="inlineStr">
        <is>
          <t>GTM Technical Onboarding Program Manager</t>
        </is>
      </c>
      <c r="D153" s="48" t="inlineStr">
        <is>
          <t>Sr Manager</t>
        </is>
      </c>
      <c r="E153" s="48" t="inlineStr">
        <is>
          <t>US</t>
        </is>
      </c>
      <c r="F153" s="48" t="inlineStr">
        <is>
          <t>SF</t>
        </is>
      </c>
      <c r="G153" s="48" t="n">
        <v>35</v>
      </c>
      <c r="H153" s="48" t="inlineStr">
        <is>
          <t>Cold Portal</t>
        </is>
      </c>
      <c r="I153" s="48" t="n"/>
      <c r="J153" s="48" t="inlineStr">
        <is>
          <t>Yes</t>
        </is>
      </c>
      <c r="K153" s="55" t="inlineStr">
        <is>
          <t>Applied</t>
        </is>
      </c>
      <c r="L153" s="48" t="n"/>
      <c r="M153" s="48">
        <f>IF(OR(L74="",A74=""),"",L74-A74)</f>
        <v/>
      </c>
      <c r="N153" s="48" t="n"/>
      <c r="O153" s="48" t="n"/>
      <c r="P153" s="51" t="inlineStr">
        <is>
          <t>Assessed 35-40% fit</t>
        </is>
      </c>
      <c r="Q153" s="48" t="n"/>
      <c r="R153" s="48" t="n"/>
      <c r="S153" s="51" t="n"/>
      <c r="T153" s="52">
        <f>IF(G153="","",G153)</f>
        <v/>
      </c>
      <c r="U153" s="52">
        <f>IF(C153="","",IF(OR(ISNUMBER(SEARCH("Director",C153)),ISNUMBER(SEARCH("Lead",C153)),ISNUMBER(SEARCH("Senior",C153)),ISNUMBER(SEARCH("Sr.",C153))),90,IF(OR(ISNUMBER(SEARCH("Manager",C153)),ISNUMBER(SEARCH("Program",C153)),ISNUMBER(SEARCH("Portfolio",C153))),80,60)))</f>
        <v/>
      </c>
      <c r="V153" s="52">
        <f>IF(C153="","",IF(OR(ISNUMBER(SEARCH("AI",C153)),ISNUMBER(SEARCH("Data",C153)),ISNUMBER(SEARCH("Technology",C153)),ISNUMBER(SEARCH("Technical",C153)),ISNUMBER(SEARCH("Engineering",C153)),ISNUMBER(SEARCH("Platform",C153)),ISNUMBER(SEARCH("Portfolio",C153))),85,65))</f>
        <v/>
      </c>
      <c r="W153" s="52">
        <f>IF(C153="","",MIN(100,50+IF(S153&lt;&gt;"",25,0)+IF(R153&lt;&gt;"",15,0)+IF(P153&lt;&gt;"",10,0)))</f>
        <v/>
      </c>
      <c r="X153" s="52">
        <f>IF(E153="","",IF(OR(E153="Canada",E153="CA"),100,IF(OR(E153="United States",E153="USA",E153="US"),IF(J153="Yes",45,75),65)))</f>
        <v/>
      </c>
      <c r="Y153" s="52">
        <f>IF(C153="","",IF(OR(ISNUMBER(SEARCH("Program",C153)),ISNUMBER(SEARCH("Portfolio",C153)),ISNUMBER(SEARCH("Operations",C153)),ISNUMBER(SEARCH("Transformation",C153))),85,IF(ISNUMBER(SEARCH("Product Manager",C153)),55,70)))</f>
        <v/>
      </c>
      <c r="Z153" s="52">
        <f>IF(C153="","",MIN(100,IF(I153&lt;&gt;"",60,10)+IF(AA153&gt;0,MIN(40,AA153*20),0)))</f>
        <v/>
      </c>
      <c r="AA153" s="52">
        <f>IF(T153="","",ROUND(T153*25%+U153*15%+V153*10%+W153*15%+X153*15%+Y153*10%+Z153*10%,0))</f>
        <v/>
      </c>
      <c r="AB153" s="52">
        <f>IF(AA153="","",IF(X153&lt;50,"Selective / Barrier",IF(AA153&gt;=80,"Tier 1 - Pursue",IF(AA153&gt;=70,"Tier 2 - Pursue",IF(AA153&gt;=60,"Tier 3 - Selective","Do Not Pursue")))))</f>
        <v/>
      </c>
      <c r="AC153" s="52">
        <f>IF(C153="","",IF(I153&lt;&gt;"","Named Contact",IF(AA153&gt;0,"Outreach Logged","Cold")))</f>
        <v/>
      </c>
      <c r="AD153" s="52">
        <f>IF(B153="","",COUNTIF('Outreach Log'!$C:$C,B153))</f>
        <v/>
      </c>
      <c r="AE153" s="52">
        <f>IF(A153="","",IF(OR(K153="Rejected",K153="Closed"),IF(L153&lt;&gt;"",L153-A153,TODAY()-A153),TODAY()-A153))</f>
        <v/>
      </c>
      <c r="AF153" s="52">
        <f>IF(C153="","",IF(AND(AA153&gt;=70,AC153="Cold"),"High-fit but cold",IF(AND(AA153&lt;60,K153="Applied"),"Low-fit application",IF(AND(AA153&gt;=70,OR(AC153="Named Contact",AC153="Outreach Logged")),"Targeted pursuit","Review"))))</f>
        <v/>
      </c>
    </row>
    <row r="154" ht="15" customHeight="1" s="44">
      <c r="A154" s="53" t="n">
        <v>46223</v>
      </c>
      <c r="B154" s="48" t="inlineStr">
        <is>
          <t>Wayfair</t>
        </is>
      </c>
      <c r="C154" s="48" t="inlineStr">
        <is>
          <t>Associate Director, TPM</t>
        </is>
      </c>
      <c r="D154" s="48" t="inlineStr">
        <is>
          <t>Assoc Director</t>
        </is>
      </c>
      <c r="E154" s="48" t="inlineStr">
        <is>
          <t>US</t>
        </is>
      </c>
      <c r="F154" s="48" t="inlineStr">
        <is>
          <t>Boston</t>
        </is>
      </c>
      <c r="G154" s="48" t="n">
        <v>80</v>
      </c>
      <c r="H154" s="48" t="inlineStr">
        <is>
          <t>Cold Portal</t>
        </is>
      </c>
      <c r="I154" s="48" t="n"/>
      <c r="J154" s="48" t="inlineStr">
        <is>
          <t>Yes</t>
        </is>
      </c>
      <c r="K154" s="55" t="inlineStr">
        <is>
          <t>Applied</t>
        </is>
      </c>
      <c r="L154" s="48" t="n"/>
      <c r="M154" s="48">
        <f>IF(OR(L75="",A75=""),"",L75-A75)</f>
        <v/>
      </c>
      <c r="N154" s="48" t="n"/>
      <c r="O154" s="48" t="n"/>
      <c r="P154" s="51" t="inlineStr">
        <is>
          <t>Best US fit</t>
        </is>
      </c>
      <c r="Q154" s="48" t="n"/>
      <c r="R154" s="48" t="n"/>
      <c r="S154" s="51" t="n"/>
      <c r="T154" s="52">
        <f>IF(G154="","",G154)</f>
        <v/>
      </c>
      <c r="U154" s="52">
        <f>IF(C154="","",IF(OR(ISNUMBER(SEARCH("Director",C154)),ISNUMBER(SEARCH("Lead",C154)),ISNUMBER(SEARCH("Senior",C154)),ISNUMBER(SEARCH("Sr.",C154))),90,IF(OR(ISNUMBER(SEARCH("Manager",C154)),ISNUMBER(SEARCH("Program",C154)),ISNUMBER(SEARCH("Portfolio",C154))),80,60)))</f>
        <v/>
      </c>
      <c r="V154" s="52">
        <f>IF(C154="","",IF(OR(ISNUMBER(SEARCH("AI",C154)),ISNUMBER(SEARCH("Data",C154)),ISNUMBER(SEARCH("Technology",C154)),ISNUMBER(SEARCH("Technical",C154)),ISNUMBER(SEARCH("Engineering",C154)),ISNUMBER(SEARCH("Platform",C154)),ISNUMBER(SEARCH("Portfolio",C154))),85,65))</f>
        <v/>
      </c>
      <c r="W154" s="52">
        <f>IF(C154="","",MIN(100,50+IF(S154&lt;&gt;"",25,0)+IF(R154&lt;&gt;"",15,0)+IF(P154&lt;&gt;"",10,0)))</f>
        <v/>
      </c>
      <c r="X154" s="52">
        <f>IF(E154="","",IF(OR(E154="Canada",E154="CA"),100,IF(OR(E154="United States",E154="USA",E154="US"),IF(J154="Yes",45,75),65)))</f>
        <v/>
      </c>
      <c r="Y154" s="52">
        <f>IF(C154="","",IF(OR(ISNUMBER(SEARCH("Program",C154)),ISNUMBER(SEARCH("Portfolio",C154)),ISNUMBER(SEARCH("Operations",C154)),ISNUMBER(SEARCH("Transformation",C154))),85,IF(ISNUMBER(SEARCH("Product Manager",C154)),55,70)))</f>
        <v/>
      </c>
      <c r="Z154" s="52">
        <f>IF(C154="","",MIN(100,IF(I154&lt;&gt;"",60,10)+IF(AA154&gt;0,MIN(40,AA154*20),0)))</f>
        <v/>
      </c>
      <c r="AA154" s="52">
        <f>IF(T154="","",ROUND(T154*25%+U154*15%+V154*10%+W154*15%+X154*15%+Y154*10%+Z154*10%,0))</f>
        <v/>
      </c>
      <c r="AB154" s="52">
        <f>IF(AA154="","",IF(X154&lt;50,"Selective / Barrier",IF(AA154&gt;=80,"Tier 1 - Pursue",IF(AA154&gt;=70,"Tier 2 - Pursue",IF(AA154&gt;=60,"Tier 3 - Selective","Do Not Pursue")))))</f>
        <v/>
      </c>
      <c r="AC154" s="52">
        <f>IF(C154="","",IF(I154&lt;&gt;"","Named Contact",IF(AA154&gt;0,"Outreach Logged","Cold")))</f>
        <v/>
      </c>
      <c r="AD154" s="52">
        <f>IF(B154="","",COUNTIF('Outreach Log'!$C:$C,B154))</f>
        <v/>
      </c>
      <c r="AE154" s="52">
        <f>IF(A154="","",IF(OR(K154="Rejected",K154="Closed"),IF(L154&lt;&gt;"",L154-A154,TODAY()-A154),TODAY()-A154))</f>
        <v/>
      </c>
      <c r="AF154" s="52">
        <f>IF(C154="","",IF(AND(AA154&gt;=70,AC154="Cold"),"High-fit but cold",IF(AND(AA154&lt;60,K154="Applied"),"Low-fit application",IF(AND(AA154&gt;=70,OR(AC154="Named Contact",AC154="Outreach Logged")),"Targeted pursuit","Review"))))</f>
        <v/>
      </c>
    </row>
    <row r="155" ht="15" customHeight="1" s="44">
      <c r="A155" s="53" t="n">
        <v>46223</v>
      </c>
      <c r="B155" s="48" t="inlineStr">
        <is>
          <t>S.i. Systems</t>
        </is>
      </c>
      <c r="C155" s="48" t="inlineStr">
        <is>
          <t>Scrum Master II - AI cybersecurity</t>
        </is>
      </c>
      <c r="D155" s="48" t="inlineStr">
        <is>
          <t>Other</t>
        </is>
      </c>
      <c r="E155" s="48" t="inlineStr">
        <is>
          <t>Canada</t>
        </is>
      </c>
      <c r="F155" s="48" t="inlineStr">
        <is>
          <t>Toronto</t>
        </is>
      </c>
      <c r="G155" s="48" t="n">
        <v>35</v>
      </c>
      <c r="H155" s="48" t="inlineStr">
        <is>
          <t>Recruiter</t>
        </is>
      </c>
      <c r="I155" s="48" t="n"/>
      <c r="J155" s="48" t="inlineStr">
        <is>
          <t>No</t>
        </is>
      </c>
      <c r="K155" s="49" t="inlineStr">
        <is>
          <t>Rejected</t>
        </is>
      </c>
      <c r="L155" s="50" t="n">
        <v>46239</v>
      </c>
      <c r="M155" s="48">
        <f>IF(OR(L76="",A76=""),"",L76-A76)</f>
        <v/>
      </c>
      <c r="N155" s="48" t="n"/>
      <c r="O155" s="48" t="n"/>
      <c r="P155" s="51" t="inlineStr">
        <is>
          <t>Below level - applicant 28 | Rejected 2026-08-05 via lisa.chesnick@sisystems.com, job 58299: another candidate selected. (Backfilled 2026-09-03 - predates daily tracker automation, was never recorded.)</t>
        </is>
      </c>
      <c r="Q155" s="48" t="n"/>
      <c r="R155" s="48" t="n"/>
      <c r="S155" s="51" t="n"/>
      <c r="T155" s="52">
        <f>IF(G155="","",G155)</f>
        <v/>
      </c>
      <c r="U155" s="52">
        <f>IF(C155="","",IF(OR(ISNUMBER(SEARCH("Director",C155)),ISNUMBER(SEARCH("Lead",C155)),ISNUMBER(SEARCH("Senior",C155)),ISNUMBER(SEARCH("Sr.",C155))),90,IF(OR(ISNUMBER(SEARCH("Manager",C155)),ISNUMBER(SEARCH("Program",C155)),ISNUMBER(SEARCH("Portfolio",C155))),80,60)))</f>
        <v/>
      </c>
      <c r="V155" s="52">
        <f>IF(C155="","",IF(OR(ISNUMBER(SEARCH("AI",C155)),ISNUMBER(SEARCH("Data",C155)),ISNUMBER(SEARCH("Technology",C155)),ISNUMBER(SEARCH("Technical",C155)),ISNUMBER(SEARCH("Engineering",C155)),ISNUMBER(SEARCH("Platform",C155)),ISNUMBER(SEARCH("Portfolio",C155))),85,65))</f>
        <v/>
      </c>
      <c r="W155" s="52">
        <f>IF(C155="","",MIN(100,50+IF(S155&lt;&gt;"",25,0)+IF(R155&lt;&gt;"",15,0)+IF(P155&lt;&gt;"",10,0)))</f>
        <v/>
      </c>
      <c r="X155" s="52">
        <f>IF(E155="","",IF(OR(E155="Canada",E155="CA"),100,IF(OR(E155="United States",E155="USA",E155="US"),IF(J155="Yes",45,75),65)))</f>
        <v/>
      </c>
      <c r="Y155" s="52">
        <f>IF(C155="","",IF(OR(ISNUMBER(SEARCH("Program",C155)),ISNUMBER(SEARCH("Portfolio",C155)),ISNUMBER(SEARCH("Operations",C155)),ISNUMBER(SEARCH("Transformation",C155))),85,IF(ISNUMBER(SEARCH("Product Manager",C155)),55,70)))</f>
        <v/>
      </c>
      <c r="Z155" s="52">
        <f>IF(C155="","",MIN(100,IF(I155&lt;&gt;"",60,10)+IF(AA155&gt;0,MIN(40,AA155*20),0)))</f>
        <v/>
      </c>
      <c r="AA155" s="52">
        <f>IF(T155="","",ROUND(T155*25%+U155*15%+V155*10%+W155*15%+X155*15%+Y155*10%+Z155*10%,0))</f>
        <v/>
      </c>
      <c r="AB155" s="52">
        <f>IF(AA155="","",IF(X155&lt;50,"Selective / Barrier",IF(AA155&gt;=80,"Tier 1 - Pursue",IF(AA155&gt;=70,"Tier 2 - Pursue",IF(AA155&gt;=60,"Tier 3 - Selective","Do Not Pursue")))))</f>
        <v/>
      </c>
      <c r="AC155" s="52">
        <f>IF(C155="","",IF(I155&lt;&gt;"","Named Contact",IF(AA155&gt;0,"Outreach Logged","Cold")))</f>
        <v/>
      </c>
      <c r="AD155" s="52">
        <f>IF(B155="","",COUNTIF('Outreach Log'!$C:$C,B155))</f>
        <v/>
      </c>
      <c r="AE155" s="52">
        <f>IF(A155="","",IF(OR(K155="Rejected",K155="Closed"),IF(L155&lt;&gt;"",L155-A155,TODAY()-A155),TODAY()-A155))</f>
        <v/>
      </c>
      <c r="AF155" s="52">
        <f>IF(C155="","",IF(AND(AA155&gt;=70,AC155="Cold"),"High-fit but cold",IF(AND(AA155&lt;60,K155="Applied"),"Low-fit application",IF(AND(AA155&gt;=70,OR(AC155="Named Contact",AC155="Outreach Logged")),"Targeted pursuit","Review"))))</f>
        <v/>
      </c>
    </row>
    <row r="156" ht="15" customHeight="1" s="44">
      <c r="A156" s="53" t="n">
        <v>46223</v>
      </c>
      <c r="B156" s="48" t="inlineStr">
        <is>
          <t>S.i. Systems</t>
        </is>
      </c>
      <c r="C156" s="48" t="inlineStr">
        <is>
          <t>Sr Program Manager - advisor website migration</t>
        </is>
      </c>
      <c r="D156" s="48" t="inlineStr">
        <is>
          <t>Sr TPM</t>
        </is>
      </c>
      <c r="E156" s="48" t="inlineStr">
        <is>
          <t>Canada</t>
        </is>
      </c>
      <c r="F156" s="48" t="inlineStr">
        <is>
          <t>Toronto</t>
        </is>
      </c>
      <c r="G156" s="48" t="n">
        <v>65</v>
      </c>
      <c r="H156" s="48" t="inlineStr">
        <is>
          <t>Recruiter</t>
        </is>
      </c>
      <c r="I156" s="48" t="n"/>
      <c r="J156" s="48" t="inlineStr">
        <is>
          <t>No</t>
        </is>
      </c>
      <c r="K156" s="49" t="inlineStr">
        <is>
          <t>Rejected</t>
        </is>
      </c>
      <c r="L156" s="50" t="n">
        <v>46248</v>
      </c>
      <c r="M156" s="48">
        <f>IF(OR(L77="",A77=""),"",L77-A77)</f>
        <v/>
      </c>
      <c r="N156" s="48" t="n"/>
      <c r="O156" s="48" t="n"/>
      <c r="P156" s="51" t="inlineStr">
        <is>
          <t>Closed 2026-08-14 - role cancelled by client (notice from Lisa Chesnick, S.i. Systems, req 104970-1). Not a candidate-specific rejection. | Reconciled to Rejected per Greenhouse-based tracker cross-check (Sep 20, 2026); was: Closed.</t>
        </is>
      </c>
      <c r="Q156" s="48" t="n"/>
      <c r="R156" s="48" t="n"/>
      <c r="S156" s="51" t="n"/>
      <c r="T156" s="52">
        <f>IF(G156="","",G156)</f>
        <v/>
      </c>
      <c r="U156" s="52">
        <f>IF(C156="","",IF(OR(ISNUMBER(SEARCH("Director",C156)),ISNUMBER(SEARCH("Lead",C156)),ISNUMBER(SEARCH("Senior",C156)),ISNUMBER(SEARCH("Sr.",C156))),90,IF(OR(ISNUMBER(SEARCH("Manager",C156)),ISNUMBER(SEARCH("Program",C156)),ISNUMBER(SEARCH("Portfolio",C156))),80,60)))</f>
        <v/>
      </c>
      <c r="V156" s="52">
        <f>IF(C156="","",IF(OR(ISNUMBER(SEARCH("AI",C156)),ISNUMBER(SEARCH("Data",C156)),ISNUMBER(SEARCH("Technology",C156)),ISNUMBER(SEARCH("Technical",C156)),ISNUMBER(SEARCH("Engineering",C156)),ISNUMBER(SEARCH("Platform",C156)),ISNUMBER(SEARCH("Portfolio",C156))),85,65))</f>
        <v/>
      </c>
      <c r="W156" s="52">
        <f>IF(C156="","",MIN(100,50+IF(S156&lt;&gt;"",25,0)+IF(R156&lt;&gt;"",15,0)+IF(P156&lt;&gt;"",10,0)))</f>
        <v/>
      </c>
      <c r="X156" s="52">
        <f>IF(E156="","",IF(OR(E156="Canada",E156="CA"),100,IF(OR(E156="United States",E156="USA",E156="US"),IF(J156="Yes",45,75),65)))</f>
        <v/>
      </c>
      <c r="Y156" s="52">
        <f>IF(C156="","",IF(OR(ISNUMBER(SEARCH("Program",C156)),ISNUMBER(SEARCH("Portfolio",C156)),ISNUMBER(SEARCH("Operations",C156)),ISNUMBER(SEARCH("Transformation",C156))),85,IF(ISNUMBER(SEARCH("Product Manager",C156)),55,70)))</f>
        <v/>
      </c>
      <c r="Z156" s="52">
        <f>IF(C156="","",MIN(100,IF(I156&lt;&gt;"",60,10)+IF(AA156&gt;0,MIN(40,AA156*20),0)))</f>
        <v/>
      </c>
      <c r="AA156" s="52">
        <f>IF(T156="","",ROUND(T156*25%+U156*15%+V156*10%+W156*15%+X156*15%+Y156*10%+Z156*10%,0))</f>
        <v/>
      </c>
      <c r="AB156" s="52">
        <f>IF(AA156="","",IF(X156&lt;50,"Selective / Barrier",IF(AA156&gt;=80,"Tier 1 - Pursue",IF(AA156&gt;=70,"Tier 2 - Pursue",IF(AA156&gt;=60,"Tier 3 - Selective","Do Not Pursue")))))</f>
        <v/>
      </c>
      <c r="AC156" s="52">
        <f>IF(C156="","",IF(I156&lt;&gt;"","Named Contact",IF(AA156&gt;0,"Outreach Logged","Cold")))</f>
        <v/>
      </c>
      <c r="AD156" s="52">
        <f>IF(B156="","",COUNTIF('Outreach Log'!$C:$C,B156))</f>
        <v/>
      </c>
      <c r="AE156" s="52">
        <f>IF(A156="","",IF(OR(K156="Rejected",K156="Closed"),IF(L156&lt;&gt;"",L156-A156,TODAY()-A156),TODAY()-A156))</f>
        <v/>
      </c>
      <c r="AF156" s="52">
        <f>IF(C156="","",IF(AND(AA156&gt;=70,AC156="Cold"),"High-fit but cold",IF(AND(AA156&lt;60,K156="Applied"),"Low-fit application",IF(AND(AA156&gt;=70,OR(AC156="Named Contact",AC156="Outreach Logged")),"Targeted pursuit","Review"))))</f>
        <v/>
      </c>
    </row>
    <row r="157" ht="15" customHeight="1" s="44">
      <c r="A157" s="53" t="n">
        <v>46223</v>
      </c>
      <c r="B157" s="48" t="inlineStr">
        <is>
          <t>S.i. Systems</t>
        </is>
      </c>
      <c r="C157" s="48" t="inlineStr">
        <is>
          <t>PM - Capital Markets/AI/data platforms</t>
        </is>
      </c>
      <c r="D157" s="48" t="inlineStr">
        <is>
          <t>Sr TPM</t>
        </is>
      </c>
      <c r="E157" s="48" t="inlineStr">
        <is>
          <t>Canada</t>
        </is>
      </c>
      <c r="F157" s="48" t="inlineStr">
        <is>
          <t>Toronto</t>
        </is>
      </c>
      <c r="G157" s="48" t="n">
        <v>70</v>
      </c>
      <c r="H157" s="48" t="inlineStr">
        <is>
          <t>Recruiter</t>
        </is>
      </c>
      <c r="I157" s="48" t="n"/>
      <c r="J157" s="48" t="inlineStr">
        <is>
          <t>No</t>
        </is>
      </c>
      <c r="K157" s="49" t="inlineStr">
        <is>
          <t>Rejected</t>
        </is>
      </c>
      <c r="L157" s="50" t="n">
        <v>46283</v>
      </c>
      <c r="M157" s="48">
        <f>IF(OR(L78="",A78=""),"",L78-A78)</f>
        <v/>
      </c>
      <c r="N157" s="48" t="n"/>
      <c r="O157" s="48" t="n"/>
      <c r="P157" s="51" t="inlineStr">
        <is>
          <t xml:space="preserve"> | REJECTED 2026-09-18: S.i. Systems (Claudia Marjanovic) — "Job Closed - Another Candidate Selected."</t>
        </is>
      </c>
      <c r="Q157" s="48" t="n"/>
      <c r="R157" s="48" t="n"/>
      <c r="S157" s="51" t="n"/>
      <c r="T157" s="52">
        <f>IF(G157="","",G157)</f>
        <v/>
      </c>
      <c r="U157" s="52">
        <f>IF(C157="","",IF(OR(ISNUMBER(SEARCH("Director",C157)),ISNUMBER(SEARCH("Lead",C157)),ISNUMBER(SEARCH("Senior",C157)),ISNUMBER(SEARCH("Sr.",C157))),90,IF(OR(ISNUMBER(SEARCH("Manager",C157)),ISNUMBER(SEARCH("Program",C157)),ISNUMBER(SEARCH("Portfolio",C157))),80,60)))</f>
        <v/>
      </c>
      <c r="V157" s="52">
        <f>IF(C157="","",IF(OR(ISNUMBER(SEARCH("AI",C157)),ISNUMBER(SEARCH("Data",C157)),ISNUMBER(SEARCH("Technology",C157)),ISNUMBER(SEARCH("Technical",C157)),ISNUMBER(SEARCH("Engineering",C157)),ISNUMBER(SEARCH("Platform",C157)),ISNUMBER(SEARCH("Portfolio",C157))),85,65))</f>
        <v/>
      </c>
      <c r="W157" s="52">
        <f>IF(C157="","",MIN(100,50+IF(S157&lt;&gt;"",25,0)+IF(R157&lt;&gt;"",15,0)+IF(P157&lt;&gt;"",10,0)))</f>
        <v/>
      </c>
      <c r="X157" s="52">
        <f>IF(E157="","",IF(OR(E157="Canada",E157="CA"),100,IF(OR(E157="United States",E157="USA",E157="US"),IF(J157="Yes",45,75),65)))</f>
        <v/>
      </c>
      <c r="Y157" s="52">
        <f>IF(C157="","",IF(OR(ISNUMBER(SEARCH("Program",C157)),ISNUMBER(SEARCH("Portfolio",C157)),ISNUMBER(SEARCH("Operations",C157)),ISNUMBER(SEARCH("Transformation",C157))),85,IF(ISNUMBER(SEARCH("Product Manager",C157)),55,70)))</f>
        <v/>
      </c>
      <c r="Z157" s="52">
        <f>IF(C157="","",MIN(100,IF(I157&lt;&gt;"",60,10)+IF(AA157&gt;0,MIN(40,AA157*20),0)))</f>
        <v/>
      </c>
      <c r="AA157" s="52">
        <f>IF(T157="","",ROUND(T157*25%+U157*15%+V157*10%+W157*15%+X157*15%+Y157*10%+Z157*10%,0))</f>
        <v/>
      </c>
      <c r="AB157" s="52">
        <f>IF(AA157="","",IF(X157&lt;50,"Selective / Barrier",IF(AA157&gt;=80,"Tier 1 - Pursue",IF(AA157&gt;=70,"Tier 2 - Pursue",IF(AA157&gt;=60,"Tier 3 - Selective","Do Not Pursue")))))</f>
        <v/>
      </c>
      <c r="AC157" s="52">
        <f>IF(C157="","",IF(I157&lt;&gt;"","Named Contact",IF(AA157&gt;0,"Outreach Logged","Cold")))</f>
        <v/>
      </c>
      <c r="AD157" s="52">
        <f>IF(B157="","",COUNTIF('Outreach Log'!$C:$C,B157))</f>
        <v/>
      </c>
      <c r="AE157" s="52">
        <f>IF(A157="","",IF(OR(K157="Rejected",K157="Closed"),IF(L157&lt;&gt;"",L157-A157,TODAY()-A157),TODAY()-A157))</f>
        <v/>
      </c>
      <c r="AF157" s="52">
        <f>IF(C157="","",IF(AND(AA157&gt;=70,AC157="Cold"),"High-fit but cold",IF(AND(AA157&lt;60,K157="Applied"),"Low-fit application",IF(AND(AA157&gt;=70,OR(AC157="Named Contact",AC157="Outreach Logged")),"Targeted pursuit","Review"))))</f>
        <v/>
      </c>
    </row>
    <row r="158" ht="15" customHeight="1" s="44">
      <c r="A158" s="53" t="n">
        <v>46223</v>
      </c>
      <c r="B158" s="48" t="inlineStr">
        <is>
          <t>S.i. Systems</t>
        </is>
      </c>
      <c r="C158" s="48" t="inlineStr">
        <is>
          <t>Senior Agile PM, ServiceNow</t>
        </is>
      </c>
      <c r="D158" s="48" t="inlineStr">
        <is>
          <t>Sr TPM</t>
        </is>
      </c>
      <c r="E158" s="48" t="inlineStr">
        <is>
          <t>Canada</t>
        </is>
      </c>
      <c r="F158" s="48" t="inlineStr">
        <is>
          <t>Toronto</t>
        </is>
      </c>
      <c r="G158" s="48" t="n">
        <v>75</v>
      </c>
      <c r="H158" s="48" t="inlineStr">
        <is>
          <t>Recruiter</t>
        </is>
      </c>
      <c r="I158" s="48" t="n"/>
      <c r="J158" s="48" t="inlineStr">
        <is>
          <t>No</t>
        </is>
      </c>
      <c r="K158" s="56" t="inlineStr">
        <is>
          <t>Closed</t>
        </is>
      </c>
      <c r="L158" s="50" t="n">
        <v>46265</v>
      </c>
      <c r="M158" s="48">
        <f>IF(OR(L79="",A79=""),"",L79-A79)</f>
        <v/>
      </c>
      <c r="N158" s="48" t="n"/>
      <c r="O158" s="48" t="n"/>
      <c r="P158" s="51" t="inlineStr">
        <is>
          <t>Closed 2026-08-31 via Duncan.Hessel@sisystems.com: job 153910 closed, no longer actively recruiting for the role.</t>
        </is>
      </c>
      <c r="Q158" s="48" t="n"/>
      <c r="R158" s="48" t="n"/>
      <c r="S158" s="51" t="n"/>
      <c r="T158" s="52">
        <f>IF(G158="","",G158)</f>
        <v/>
      </c>
      <c r="U158" s="52">
        <f>IF(C158="","",IF(OR(ISNUMBER(SEARCH("Director",C158)),ISNUMBER(SEARCH("Lead",C158)),ISNUMBER(SEARCH("Senior",C158)),ISNUMBER(SEARCH("Sr.",C158))),90,IF(OR(ISNUMBER(SEARCH("Manager",C158)),ISNUMBER(SEARCH("Program",C158)),ISNUMBER(SEARCH("Portfolio",C158))),80,60)))</f>
        <v/>
      </c>
      <c r="V158" s="52">
        <f>IF(C158="","",IF(OR(ISNUMBER(SEARCH("AI",C158)),ISNUMBER(SEARCH("Data",C158)),ISNUMBER(SEARCH("Technology",C158)),ISNUMBER(SEARCH("Technical",C158)),ISNUMBER(SEARCH("Engineering",C158)),ISNUMBER(SEARCH("Platform",C158)),ISNUMBER(SEARCH("Portfolio",C158))),85,65))</f>
        <v/>
      </c>
      <c r="W158" s="52">
        <f>IF(C158="","",MIN(100,50+IF(S158&lt;&gt;"",25,0)+IF(R158&lt;&gt;"",15,0)+IF(P158&lt;&gt;"",10,0)))</f>
        <v/>
      </c>
      <c r="X158" s="52">
        <f>IF(E158="","",IF(OR(E158="Canada",E158="CA"),100,IF(OR(E158="United States",E158="USA",E158="US"),IF(J158="Yes",45,75),65)))</f>
        <v/>
      </c>
      <c r="Y158" s="52">
        <f>IF(C158="","",IF(OR(ISNUMBER(SEARCH("Program",C158)),ISNUMBER(SEARCH("Portfolio",C158)),ISNUMBER(SEARCH("Operations",C158)),ISNUMBER(SEARCH("Transformation",C158))),85,IF(ISNUMBER(SEARCH("Product Manager",C158)),55,70)))</f>
        <v/>
      </c>
      <c r="Z158" s="52">
        <f>IF(C158="","",MIN(100,IF(I158&lt;&gt;"",60,10)+IF(AA158&gt;0,MIN(40,AA158*20),0)))</f>
        <v/>
      </c>
      <c r="AA158" s="52">
        <f>IF(T158="","",ROUND(T158*25%+U158*15%+V158*10%+W158*15%+X158*15%+Y158*10%+Z158*10%,0))</f>
        <v/>
      </c>
      <c r="AB158" s="52">
        <f>IF(AA158="","",IF(X158&lt;50,"Selective / Barrier",IF(AA158&gt;=80,"Tier 1 - Pursue",IF(AA158&gt;=70,"Tier 2 - Pursue",IF(AA158&gt;=60,"Tier 3 - Selective","Do Not Pursue")))))</f>
        <v/>
      </c>
      <c r="AC158" s="52">
        <f>IF(C158="","",IF(I158&lt;&gt;"","Named Contact",IF(AA158&gt;0,"Outreach Logged","Cold")))</f>
        <v/>
      </c>
      <c r="AD158" s="52">
        <f>IF(B158="","",COUNTIF('Outreach Log'!$C:$C,B158))</f>
        <v/>
      </c>
      <c r="AE158" s="52">
        <f>IF(A158="","",IF(OR(K158="Rejected",K158="Closed"),IF(L158&lt;&gt;"",L158-A158,TODAY()-A158),TODAY()-A158))</f>
        <v/>
      </c>
      <c r="AF158" s="52">
        <f>IF(C158="","",IF(AND(AA158&gt;=70,AC158="Cold"),"High-fit but cold",IF(AND(AA158&lt;60,K158="Applied"),"Low-fit application",IF(AND(AA158&gt;=70,OR(AC158="Named Contact",AC158="Outreach Logged")),"Targeted pursuit","Review"))))</f>
        <v/>
      </c>
    </row>
    <row r="159" ht="15" customHeight="1" s="44">
      <c r="A159" s="53" t="n">
        <v>46223</v>
      </c>
      <c r="B159" s="48" t="inlineStr">
        <is>
          <t>S.i. Systems</t>
        </is>
      </c>
      <c r="C159" s="48" t="inlineStr">
        <is>
          <t>Scrum Master - SAFe/Ping/React</t>
        </is>
      </c>
      <c r="D159" s="48" t="inlineStr">
        <is>
          <t>Other</t>
        </is>
      </c>
      <c r="E159" s="48" t="inlineStr">
        <is>
          <t>Canada</t>
        </is>
      </c>
      <c r="F159" s="48" t="inlineStr">
        <is>
          <t>Toronto</t>
        </is>
      </c>
      <c r="G159" s="48" t="n">
        <v>35</v>
      </c>
      <c r="H159" s="48" t="inlineStr">
        <is>
          <t>Recruiter</t>
        </is>
      </c>
      <c r="I159" s="48" t="n"/>
      <c r="J159" s="48" t="inlineStr">
        <is>
          <t>No</t>
        </is>
      </c>
      <c r="K159" s="55" t="inlineStr">
        <is>
          <t>Applied</t>
        </is>
      </c>
      <c r="L159" s="48" t="n"/>
      <c r="M159" s="48">
        <f>IF(OR(L80="",A80=""),"",L80-A80)</f>
        <v/>
      </c>
      <c r="N159" s="48" t="n"/>
      <c r="O159" s="48" t="n"/>
      <c r="P159" s="51" t="inlineStr">
        <is>
          <t>Below level</t>
        </is>
      </c>
      <c r="Q159" s="48" t="n"/>
      <c r="R159" s="48" t="n"/>
      <c r="S159" s="51" t="n"/>
      <c r="T159" s="52">
        <f>IF(G159="","",G159)</f>
        <v/>
      </c>
      <c r="U159" s="52">
        <f>IF(C159="","",IF(OR(ISNUMBER(SEARCH("Director",C159)),ISNUMBER(SEARCH("Lead",C159)),ISNUMBER(SEARCH("Senior",C159)),ISNUMBER(SEARCH("Sr.",C159))),90,IF(OR(ISNUMBER(SEARCH("Manager",C159)),ISNUMBER(SEARCH("Program",C159)),ISNUMBER(SEARCH("Portfolio",C159))),80,60)))</f>
        <v/>
      </c>
      <c r="V159" s="52">
        <f>IF(C159="","",IF(OR(ISNUMBER(SEARCH("AI",C159)),ISNUMBER(SEARCH("Data",C159)),ISNUMBER(SEARCH("Technology",C159)),ISNUMBER(SEARCH("Technical",C159)),ISNUMBER(SEARCH("Engineering",C159)),ISNUMBER(SEARCH("Platform",C159)),ISNUMBER(SEARCH("Portfolio",C159))),85,65))</f>
        <v/>
      </c>
      <c r="W159" s="52">
        <f>IF(C159="","",MIN(100,50+IF(S159&lt;&gt;"",25,0)+IF(R159&lt;&gt;"",15,0)+IF(P159&lt;&gt;"",10,0)))</f>
        <v/>
      </c>
      <c r="X159" s="52">
        <f>IF(E159="","",IF(OR(E159="Canada",E159="CA"),100,IF(OR(E159="United States",E159="USA",E159="US"),IF(J159="Yes",45,75),65)))</f>
        <v/>
      </c>
      <c r="Y159" s="52">
        <f>IF(C159="","",IF(OR(ISNUMBER(SEARCH("Program",C159)),ISNUMBER(SEARCH("Portfolio",C159)),ISNUMBER(SEARCH("Operations",C159)),ISNUMBER(SEARCH("Transformation",C159))),85,IF(ISNUMBER(SEARCH("Product Manager",C159)),55,70)))</f>
        <v/>
      </c>
      <c r="Z159" s="52">
        <f>IF(C159="","",MIN(100,IF(I159&lt;&gt;"",60,10)+IF(AA159&gt;0,MIN(40,AA159*20),0)))</f>
        <v/>
      </c>
      <c r="AA159" s="52">
        <f>IF(T159="","",ROUND(T159*25%+U159*15%+V159*10%+W159*15%+X159*15%+Y159*10%+Z159*10%,0))</f>
        <v/>
      </c>
      <c r="AB159" s="52">
        <f>IF(AA159="","",IF(X159&lt;50,"Selective / Barrier",IF(AA159&gt;=80,"Tier 1 - Pursue",IF(AA159&gt;=70,"Tier 2 - Pursue",IF(AA159&gt;=60,"Tier 3 - Selective","Do Not Pursue")))))</f>
        <v/>
      </c>
      <c r="AC159" s="52">
        <f>IF(C159="","",IF(I159&lt;&gt;"","Named Contact",IF(AA159&gt;0,"Outreach Logged","Cold")))</f>
        <v/>
      </c>
      <c r="AD159" s="52">
        <f>IF(B159="","",COUNTIF('Outreach Log'!$C:$C,B159))</f>
        <v/>
      </c>
      <c r="AE159" s="52">
        <f>IF(A159="","",IF(OR(K159="Rejected",K159="Closed"),IF(L159&lt;&gt;"",L159-A159,TODAY()-A159),TODAY()-A159))</f>
        <v/>
      </c>
      <c r="AF159" s="52">
        <f>IF(C159="","",IF(AND(AA159&gt;=70,AC159="Cold"),"High-fit but cold",IF(AND(AA159&lt;60,K159="Applied"),"Low-fit application",IF(AND(AA159&gt;=70,OR(AC159="Named Contact",AC159="Outreach Logged")),"Targeted pursuit","Review"))))</f>
        <v/>
      </c>
    </row>
    <row r="160" ht="15" customHeight="1" s="44">
      <c r="A160" s="53" t="n">
        <v>46223</v>
      </c>
      <c r="B160" s="48" t="inlineStr">
        <is>
          <t>S.i. Systems</t>
        </is>
      </c>
      <c r="C160" s="48" t="inlineStr">
        <is>
          <t>Sr PM, Individual Wealth Technology (Req 153974-6829)</t>
        </is>
      </c>
      <c r="D160" s="48" t="inlineStr">
        <is>
          <t>Sr TPM</t>
        </is>
      </c>
      <c r="E160" s="48" t="inlineStr">
        <is>
          <t>Canada</t>
        </is>
      </c>
      <c r="F160" s="48" t="inlineStr">
        <is>
          <t>Toronto</t>
        </is>
      </c>
      <c r="G160" s="48" t="n">
        <v>65</v>
      </c>
      <c r="H160" s="48" t="inlineStr">
        <is>
          <t>Recruiter</t>
        </is>
      </c>
      <c r="I160" s="48" t="n"/>
      <c r="J160" s="48" t="inlineStr">
        <is>
          <t>No</t>
        </is>
      </c>
      <c r="K160" s="49" t="inlineStr">
        <is>
          <t>Rejected</t>
        </is>
      </c>
      <c r="L160" s="50" t="n">
        <v>46255</v>
      </c>
      <c r="M160" s="48">
        <f>IF(OR(L81="",A81=""),"",L81-A81)</f>
        <v/>
      </c>
      <c r="N160" s="48" t="n"/>
      <c r="O160" s="48" t="n"/>
      <c r="P160" s="51" t="inlineStr">
        <is>
          <t>REJECTED 2026-08-21 9:58am ET via Robert Lutz, S.i. Systems (robert.lutz@sisystems.com), req 153974-6829: "chosen to move forward with other candidates." Standard recruiter-agency decline.</t>
        </is>
      </c>
      <c r="Q160" s="48" t="n"/>
      <c r="R160" s="48" t="n"/>
      <c r="S160" s="51" t="n"/>
      <c r="T160" s="52">
        <f>IF(G160="","",G160)</f>
        <v/>
      </c>
      <c r="U160" s="52">
        <f>IF(C160="","",IF(OR(ISNUMBER(SEARCH("Director",C160)),ISNUMBER(SEARCH("Lead",C160)),ISNUMBER(SEARCH("Senior",C160)),ISNUMBER(SEARCH("Sr.",C160))),90,IF(OR(ISNUMBER(SEARCH("Manager",C160)),ISNUMBER(SEARCH("Program",C160)),ISNUMBER(SEARCH("Portfolio",C160))),80,60)))</f>
        <v/>
      </c>
      <c r="V160" s="52">
        <f>IF(C160="","",IF(OR(ISNUMBER(SEARCH("AI",C160)),ISNUMBER(SEARCH("Data",C160)),ISNUMBER(SEARCH("Technology",C160)),ISNUMBER(SEARCH("Technical",C160)),ISNUMBER(SEARCH("Engineering",C160)),ISNUMBER(SEARCH("Platform",C160)),ISNUMBER(SEARCH("Portfolio",C160))),85,65))</f>
        <v/>
      </c>
      <c r="W160" s="52">
        <f>IF(C160="","",MIN(100,50+IF(S160&lt;&gt;"",25,0)+IF(R160&lt;&gt;"",15,0)+IF(P160&lt;&gt;"",10,0)))</f>
        <v/>
      </c>
      <c r="X160" s="52">
        <f>IF(E160="","",IF(OR(E160="Canada",E160="CA"),100,IF(OR(E160="United States",E160="USA",E160="US"),IF(J160="Yes",45,75),65)))</f>
        <v/>
      </c>
      <c r="Y160" s="52">
        <f>IF(C160="","",IF(OR(ISNUMBER(SEARCH("Program",C160)),ISNUMBER(SEARCH("Portfolio",C160)),ISNUMBER(SEARCH("Operations",C160)),ISNUMBER(SEARCH("Transformation",C160))),85,IF(ISNUMBER(SEARCH("Product Manager",C160)),55,70)))</f>
        <v/>
      </c>
      <c r="Z160" s="52">
        <f>IF(C160="","",MIN(100,IF(I160&lt;&gt;"",60,10)+IF(AA160&gt;0,MIN(40,AA160*20),0)))</f>
        <v/>
      </c>
      <c r="AA160" s="52">
        <f>IF(T160="","",ROUND(T160*25%+U160*15%+V160*10%+W160*15%+X160*15%+Y160*10%+Z160*10%,0))</f>
        <v/>
      </c>
      <c r="AB160" s="52">
        <f>IF(AA160="","",IF(X160&lt;50,"Selective / Barrier",IF(AA160&gt;=80,"Tier 1 - Pursue",IF(AA160&gt;=70,"Tier 2 - Pursue",IF(AA160&gt;=60,"Tier 3 - Selective","Do Not Pursue")))))</f>
        <v/>
      </c>
      <c r="AC160" s="52">
        <f>IF(C160="","",IF(I160&lt;&gt;"","Named Contact",IF(AA160&gt;0,"Outreach Logged","Cold")))</f>
        <v/>
      </c>
      <c r="AD160" s="52">
        <f>IF(B160="","",COUNTIF('Outreach Log'!$C:$C,B160))</f>
        <v/>
      </c>
      <c r="AE160" s="52">
        <f>IF(A160="","",IF(OR(K160="Rejected",K160="Closed"),IF(L160&lt;&gt;"",L160-A160,TODAY()-A160),TODAY()-A160))</f>
        <v/>
      </c>
      <c r="AF160" s="52">
        <f>IF(C160="","",IF(AND(AA160&gt;=70,AC160="Cold"),"High-fit but cold",IF(AND(AA160&lt;60,K160="Applied"),"Low-fit application",IF(AND(AA160&gt;=70,OR(AC160="Named Contact",AC160="Outreach Logged")),"Targeted pursuit","Review"))))</f>
        <v/>
      </c>
    </row>
    <row r="161" ht="15" customHeight="1" s="44">
      <c r="A161" s="53" t="n">
        <v>46223</v>
      </c>
      <c r="B161" s="48" t="inlineStr">
        <is>
          <t>S.i. Systems</t>
        </is>
      </c>
      <c r="C161" s="48" t="inlineStr">
        <is>
          <t>ERP Project Manager</t>
        </is>
      </c>
      <c r="D161" s="48" t="inlineStr">
        <is>
          <t>Sr TPM</t>
        </is>
      </c>
      <c r="E161" s="48" t="inlineStr">
        <is>
          <t>Canada</t>
        </is>
      </c>
      <c r="F161" s="48" t="inlineStr">
        <is>
          <t>Toronto</t>
        </is>
      </c>
      <c r="G161" s="48" t="n">
        <v>65</v>
      </c>
      <c r="H161" s="48" t="inlineStr">
        <is>
          <t>Recruiter</t>
        </is>
      </c>
      <c r="I161" s="48" t="n"/>
      <c r="J161" s="48" t="inlineStr">
        <is>
          <t>No</t>
        </is>
      </c>
      <c r="K161" s="55" t="inlineStr">
        <is>
          <t>Applied</t>
        </is>
      </c>
      <c r="L161" s="48" t="n"/>
      <c r="M161" s="48">
        <f>IF(OR(L82="",A82=""),"",L82-A82)</f>
        <v/>
      </c>
      <c r="N161" s="48" t="n"/>
      <c r="O161" s="48" t="n"/>
      <c r="P161" s="51" t="n"/>
      <c r="Q161" s="48" t="n"/>
      <c r="R161" s="48" t="n"/>
      <c r="S161" s="51" t="n"/>
      <c r="T161" s="52">
        <f>IF(G161="","",G161)</f>
        <v/>
      </c>
      <c r="U161" s="52">
        <f>IF(C161="","",IF(OR(ISNUMBER(SEARCH("Director",C161)),ISNUMBER(SEARCH("Lead",C161)),ISNUMBER(SEARCH("Senior",C161)),ISNUMBER(SEARCH("Sr.",C161))),90,IF(OR(ISNUMBER(SEARCH("Manager",C161)),ISNUMBER(SEARCH("Program",C161)),ISNUMBER(SEARCH("Portfolio",C161))),80,60)))</f>
        <v/>
      </c>
      <c r="V161" s="52">
        <f>IF(C161="","",IF(OR(ISNUMBER(SEARCH("AI",C161)),ISNUMBER(SEARCH("Data",C161)),ISNUMBER(SEARCH("Technology",C161)),ISNUMBER(SEARCH("Technical",C161)),ISNUMBER(SEARCH("Engineering",C161)),ISNUMBER(SEARCH("Platform",C161)),ISNUMBER(SEARCH("Portfolio",C161))),85,65))</f>
        <v/>
      </c>
      <c r="W161" s="52">
        <f>IF(C161="","",MIN(100,50+IF(S161&lt;&gt;"",25,0)+IF(R161&lt;&gt;"",15,0)+IF(P161&lt;&gt;"",10,0)))</f>
        <v/>
      </c>
      <c r="X161" s="52">
        <f>IF(E161="","",IF(OR(E161="Canada",E161="CA"),100,IF(OR(E161="United States",E161="USA",E161="US"),IF(J161="Yes",45,75),65)))</f>
        <v/>
      </c>
      <c r="Y161" s="52">
        <f>IF(C161="","",IF(OR(ISNUMBER(SEARCH("Program",C161)),ISNUMBER(SEARCH("Portfolio",C161)),ISNUMBER(SEARCH("Operations",C161)),ISNUMBER(SEARCH("Transformation",C161))),85,IF(ISNUMBER(SEARCH("Product Manager",C161)),55,70)))</f>
        <v/>
      </c>
      <c r="Z161" s="52">
        <f>IF(C161="","",MIN(100,IF(I161&lt;&gt;"",60,10)+IF(AA161&gt;0,MIN(40,AA161*20),0)))</f>
        <v/>
      </c>
      <c r="AA161" s="52">
        <f>IF(T161="","",ROUND(T161*25%+U161*15%+V161*10%+W161*15%+X161*15%+Y161*10%+Z161*10%,0))</f>
        <v/>
      </c>
      <c r="AB161" s="52">
        <f>IF(AA161="","",IF(X161&lt;50,"Selective / Barrier",IF(AA161&gt;=80,"Tier 1 - Pursue",IF(AA161&gt;=70,"Tier 2 - Pursue",IF(AA161&gt;=60,"Tier 3 - Selective","Do Not Pursue")))))</f>
        <v/>
      </c>
      <c r="AC161" s="52">
        <f>IF(C161="","",IF(I161&lt;&gt;"","Named Contact",IF(AA161&gt;0,"Outreach Logged","Cold")))</f>
        <v/>
      </c>
      <c r="AD161" s="52">
        <f>IF(B161="","",COUNTIF('Outreach Log'!$C:$C,B161))</f>
        <v/>
      </c>
      <c r="AE161" s="52">
        <f>IF(A161="","",IF(OR(K161="Rejected",K161="Closed"),IF(L161&lt;&gt;"",L161-A161,TODAY()-A161),TODAY()-A161))</f>
        <v/>
      </c>
      <c r="AF161" s="52">
        <f>IF(C161="","",IF(AND(AA161&gt;=70,AC161="Cold"),"High-fit but cold",IF(AND(AA161&lt;60,K161="Applied"),"Low-fit application",IF(AND(AA161&gt;=70,OR(AC161="Named Contact",AC161="Outreach Logged")),"Targeted pursuit","Review"))))</f>
        <v/>
      </c>
    </row>
    <row r="162" ht="15" customHeight="1" s="44">
      <c r="A162" s="53" t="n">
        <v>46223</v>
      </c>
      <c r="B162" s="48" t="inlineStr">
        <is>
          <t>S.i. Systems</t>
        </is>
      </c>
      <c r="C162" s="48" t="inlineStr">
        <is>
          <t>Sr Technical Transformation PM - ERP</t>
        </is>
      </c>
      <c r="D162" s="48" t="inlineStr">
        <is>
          <t>Sr TPM</t>
        </is>
      </c>
      <c r="E162" s="48" t="inlineStr">
        <is>
          <t>Canada</t>
        </is>
      </c>
      <c r="F162" s="48" t="inlineStr">
        <is>
          <t>Toronto</t>
        </is>
      </c>
      <c r="G162" s="48" t="n">
        <v>70</v>
      </c>
      <c r="H162" s="48" t="inlineStr">
        <is>
          <t>Recruiter</t>
        </is>
      </c>
      <c r="I162" s="48" t="n"/>
      <c r="J162" s="48" t="inlineStr">
        <is>
          <t>No</t>
        </is>
      </c>
      <c r="K162" s="49" t="inlineStr">
        <is>
          <t>Rejected</t>
        </is>
      </c>
      <c r="L162" s="50" t="n">
        <v>46262</v>
      </c>
      <c r="M162" s="48">
        <f>IF(OR(L83="",A83=""),"",L83-A83)</f>
        <v/>
      </c>
      <c r="N162" s="48" t="n"/>
      <c r="O162" s="48" t="n"/>
      <c r="P162" s="51" t="inlineStr">
        <is>
          <t>Rejected 2026-08-28 via mike.bennett@sisystems.com: client selected another candidate for Senior Technical Transformation Program Manager - ERP, Enterprise Integration &amp; Digital Transformation.</t>
        </is>
      </c>
      <c r="Q162" s="48" t="n"/>
      <c r="R162" s="48" t="n"/>
      <c r="S162" s="51" t="n"/>
      <c r="T162" s="52">
        <f>IF(G162="","",G162)</f>
        <v/>
      </c>
      <c r="U162" s="52">
        <f>IF(C162="","",IF(OR(ISNUMBER(SEARCH("Director",C162)),ISNUMBER(SEARCH("Lead",C162)),ISNUMBER(SEARCH("Senior",C162)),ISNUMBER(SEARCH("Sr.",C162))),90,IF(OR(ISNUMBER(SEARCH("Manager",C162)),ISNUMBER(SEARCH("Program",C162)),ISNUMBER(SEARCH("Portfolio",C162))),80,60)))</f>
        <v/>
      </c>
      <c r="V162" s="52">
        <f>IF(C162="","",IF(OR(ISNUMBER(SEARCH("AI",C162)),ISNUMBER(SEARCH("Data",C162)),ISNUMBER(SEARCH("Technology",C162)),ISNUMBER(SEARCH("Technical",C162)),ISNUMBER(SEARCH("Engineering",C162)),ISNUMBER(SEARCH("Platform",C162)),ISNUMBER(SEARCH("Portfolio",C162))),85,65))</f>
        <v/>
      </c>
      <c r="W162" s="52">
        <f>IF(C162="","",MIN(100,50+IF(S162&lt;&gt;"",25,0)+IF(R162&lt;&gt;"",15,0)+IF(P162&lt;&gt;"",10,0)))</f>
        <v/>
      </c>
      <c r="X162" s="52">
        <f>IF(E162="","",IF(OR(E162="Canada",E162="CA"),100,IF(OR(E162="United States",E162="USA",E162="US"),IF(J162="Yes",45,75),65)))</f>
        <v/>
      </c>
      <c r="Y162" s="52">
        <f>IF(C162="","",IF(OR(ISNUMBER(SEARCH("Program",C162)),ISNUMBER(SEARCH("Portfolio",C162)),ISNUMBER(SEARCH("Operations",C162)),ISNUMBER(SEARCH("Transformation",C162))),85,IF(ISNUMBER(SEARCH("Product Manager",C162)),55,70)))</f>
        <v/>
      </c>
      <c r="Z162" s="52">
        <f>IF(C162="","",MIN(100,IF(I162&lt;&gt;"",60,10)+IF(AA162&gt;0,MIN(40,AA162*20),0)))</f>
        <v/>
      </c>
      <c r="AA162" s="52">
        <f>IF(T162="","",ROUND(T162*25%+U162*15%+V162*10%+W162*15%+X162*15%+Y162*10%+Z162*10%,0))</f>
        <v/>
      </c>
      <c r="AB162" s="52">
        <f>IF(AA162="","",IF(X162&lt;50,"Selective / Barrier",IF(AA162&gt;=80,"Tier 1 - Pursue",IF(AA162&gt;=70,"Tier 2 - Pursue",IF(AA162&gt;=60,"Tier 3 - Selective","Do Not Pursue")))))</f>
        <v/>
      </c>
      <c r="AC162" s="52">
        <f>IF(C162="","",IF(I162&lt;&gt;"","Named Contact",IF(AA162&gt;0,"Outreach Logged","Cold")))</f>
        <v/>
      </c>
      <c r="AD162" s="52">
        <f>IF(B162="","",COUNTIF('Outreach Log'!$C:$C,B162))</f>
        <v/>
      </c>
      <c r="AE162" s="52">
        <f>IF(A162="","",IF(OR(K162="Rejected",K162="Closed"),IF(L162&lt;&gt;"",L162-A162,TODAY()-A162),TODAY()-A162))</f>
        <v/>
      </c>
      <c r="AF162" s="52">
        <f>IF(C162="","",IF(AND(AA162&gt;=70,AC162="Cold"),"High-fit but cold",IF(AND(AA162&lt;60,K162="Applied"),"Low-fit application",IF(AND(AA162&gt;=70,OR(AC162="Named Contact",AC162="Outreach Logged")),"Targeted pursuit","Review"))))</f>
        <v/>
      </c>
    </row>
    <row r="163" ht="15" customHeight="1" s="44">
      <c r="A163" s="53" t="n">
        <v>46223</v>
      </c>
      <c r="B163" s="48" t="inlineStr">
        <is>
          <t>S.i. Systems</t>
        </is>
      </c>
      <c r="C163" s="48" t="inlineStr">
        <is>
          <t>Sr PM - audit remediation/infrastructure</t>
        </is>
      </c>
      <c r="D163" s="48" t="inlineStr">
        <is>
          <t>Sr TPM</t>
        </is>
      </c>
      <c r="E163" s="48" t="inlineStr">
        <is>
          <t>Canada</t>
        </is>
      </c>
      <c r="F163" s="48" t="inlineStr">
        <is>
          <t>Toronto</t>
        </is>
      </c>
      <c r="G163" s="48" t="n">
        <v>55</v>
      </c>
      <c r="H163" s="48" t="inlineStr">
        <is>
          <t>Recruiter</t>
        </is>
      </c>
      <c r="I163" s="48" t="n"/>
      <c r="J163" s="48" t="inlineStr">
        <is>
          <t>No</t>
        </is>
      </c>
      <c r="K163" s="55" t="inlineStr">
        <is>
          <t>Applied</t>
        </is>
      </c>
      <c r="L163" s="48" t="n"/>
      <c r="M163" s="48">
        <f>IF(OR(L84="",A84=""),"",L84-A84)</f>
        <v/>
      </c>
      <c r="N163" s="48" t="n"/>
      <c r="O163" s="48" t="n"/>
      <c r="P163" s="51" t="n"/>
      <c r="Q163" s="48" t="n"/>
      <c r="R163" s="48" t="n"/>
      <c r="S163" s="51" t="n"/>
      <c r="T163" s="52">
        <f>IF(G163="","",G163)</f>
        <v/>
      </c>
      <c r="U163" s="52">
        <f>IF(C163="","",IF(OR(ISNUMBER(SEARCH("Director",C163)),ISNUMBER(SEARCH("Lead",C163)),ISNUMBER(SEARCH("Senior",C163)),ISNUMBER(SEARCH("Sr.",C163))),90,IF(OR(ISNUMBER(SEARCH("Manager",C163)),ISNUMBER(SEARCH("Program",C163)),ISNUMBER(SEARCH("Portfolio",C163))),80,60)))</f>
        <v/>
      </c>
      <c r="V163" s="52">
        <f>IF(C163="","",IF(OR(ISNUMBER(SEARCH("AI",C163)),ISNUMBER(SEARCH("Data",C163)),ISNUMBER(SEARCH("Technology",C163)),ISNUMBER(SEARCH("Technical",C163)),ISNUMBER(SEARCH("Engineering",C163)),ISNUMBER(SEARCH("Platform",C163)),ISNUMBER(SEARCH("Portfolio",C163))),85,65))</f>
        <v/>
      </c>
      <c r="W163" s="52">
        <f>IF(C163="","",MIN(100,50+IF(S163&lt;&gt;"",25,0)+IF(R163&lt;&gt;"",15,0)+IF(P163&lt;&gt;"",10,0)))</f>
        <v/>
      </c>
      <c r="X163" s="52">
        <f>IF(E163="","",IF(OR(E163="Canada",E163="CA"),100,IF(OR(E163="United States",E163="USA",E163="US"),IF(J163="Yes",45,75),65)))</f>
        <v/>
      </c>
      <c r="Y163" s="52">
        <f>IF(C163="","",IF(OR(ISNUMBER(SEARCH("Program",C163)),ISNUMBER(SEARCH("Portfolio",C163)),ISNUMBER(SEARCH("Operations",C163)),ISNUMBER(SEARCH("Transformation",C163))),85,IF(ISNUMBER(SEARCH("Product Manager",C163)),55,70)))</f>
        <v/>
      </c>
      <c r="Z163" s="52">
        <f>IF(C163="","",MIN(100,IF(I163&lt;&gt;"",60,10)+IF(AA163&gt;0,MIN(40,AA163*20),0)))</f>
        <v/>
      </c>
      <c r="AA163" s="52">
        <f>IF(T163="","",ROUND(T163*25%+U163*15%+V163*10%+W163*15%+X163*15%+Y163*10%+Z163*10%,0))</f>
        <v/>
      </c>
      <c r="AB163" s="52">
        <f>IF(AA163="","",IF(X163&lt;50,"Selective / Barrier",IF(AA163&gt;=80,"Tier 1 - Pursue",IF(AA163&gt;=70,"Tier 2 - Pursue",IF(AA163&gt;=60,"Tier 3 - Selective","Do Not Pursue")))))</f>
        <v/>
      </c>
      <c r="AC163" s="52">
        <f>IF(C163="","",IF(I163&lt;&gt;"","Named Contact",IF(AA163&gt;0,"Outreach Logged","Cold")))</f>
        <v/>
      </c>
      <c r="AD163" s="52">
        <f>IF(B163="","",COUNTIF('Outreach Log'!$C:$C,B163))</f>
        <v/>
      </c>
      <c r="AE163" s="52">
        <f>IF(A163="","",IF(OR(K163="Rejected",K163="Closed"),IF(L163&lt;&gt;"",L163-A163,TODAY()-A163),TODAY()-A163))</f>
        <v/>
      </c>
      <c r="AF163" s="52">
        <f>IF(C163="","",IF(AND(AA163&gt;=70,AC163="Cold"),"High-fit but cold",IF(AND(AA163&lt;60,K163="Applied"),"Low-fit application",IF(AND(AA163&gt;=70,OR(AC163="Named Contact",AC163="Outreach Logged")),"Targeted pursuit","Review"))))</f>
        <v/>
      </c>
    </row>
    <row r="164" ht="15" customHeight="1" s="44">
      <c r="A164" s="53" t="n">
        <v>46223</v>
      </c>
      <c r="B164" s="48" t="inlineStr">
        <is>
          <t>eBay</t>
        </is>
      </c>
      <c r="C164" s="48" t="inlineStr">
        <is>
          <t>Technical Program Manager, Search</t>
        </is>
      </c>
      <c r="D164" s="48" t="inlineStr">
        <is>
          <t>Manager</t>
        </is>
      </c>
      <c r="E164" s="48" t="inlineStr">
        <is>
          <t>Canada</t>
        </is>
      </c>
      <c r="F164" s="48" t="inlineStr">
        <is>
          <t>Toronto</t>
        </is>
      </c>
      <c r="G164" s="48" t="n">
        <v>80</v>
      </c>
      <c r="H164" s="48" t="inlineStr">
        <is>
          <t>Cold Portal</t>
        </is>
      </c>
      <c r="I164" s="48" t="n"/>
      <c r="J164" s="48" t="inlineStr">
        <is>
          <t>No</t>
        </is>
      </c>
      <c r="K164" s="49" t="inlineStr">
        <is>
          <t>Rejected</t>
        </is>
      </c>
      <c r="L164" s="50" t="n">
        <v>46245</v>
      </c>
      <c r="M164" s="48">
        <f>IF(OR(L85="",A85=""),"",L85-A85)</f>
        <v/>
      </c>
      <c r="N164" s="48" t="n"/>
      <c r="O164" s="48" t="n"/>
      <c r="P164" s="51" t="inlineStr">
        <is>
          <t>Previously unlogged. Invited to next stage 08/04 — recruiter phone/Zoom screen. Schedule via https://oli.vi/htR5RlDr, share availability this week/next week. Exact original apply date estimated. Location corrected to Toronto, Canada (Job ID R0074668) per user confirmation — distinct from the Bengaluru, India posting (R0074669) for the same title. | Rejected 08/11 (confirmed by candidate). Reached recruiter screen stage; did not proceed to hiring manager round. | Interview/advancement confirmed 2026-08-04: "thrilled to invite you to the next stage" — this is one of 3 total eBay interviews confirmed by Elena (alongside Sr. Engineering Program Manager and Lead Product Program Manager, Buyer Experience).</t>
        </is>
      </c>
      <c r="Q164" s="50" t="n">
        <v>46238</v>
      </c>
      <c r="R164" s="48" t="n"/>
      <c r="S164" s="51" t="n"/>
      <c r="T164" s="52">
        <f>IF(G164="","",G164)</f>
        <v/>
      </c>
      <c r="U164" s="52">
        <f>IF(C164="","",IF(OR(ISNUMBER(SEARCH("Director",C164)),ISNUMBER(SEARCH("Lead",C164)),ISNUMBER(SEARCH("Senior",C164)),ISNUMBER(SEARCH("Sr.",C164))),90,IF(OR(ISNUMBER(SEARCH("Manager",C164)),ISNUMBER(SEARCH("Program",C164)),ISNUMBER(SEARCH("Portfolio",C164))),80,60)))</f>
        <v/>
      </c>
      <c r="V164" s="52">
        <f>IF(C164="","",IF(OR(ISNUMBER(SEARCH("AI",C164)),ISNUMBER(SEARCH("Data",C164)),ISNUMBER(SEARCH("Technology",C164)),ISNUMBER(SEARCH("Technical",C164)),ISNUMBER(SEARCH("Engineering",C164)),ISNUMBER(SEARCH("Platform",C164)),ISNUMBER(SEARCH("Portfolio",C164))),85,65))</f>
        <v/>
      </c>
      <c r="W164" s="52">
        <f>IF(C164="","",MIN(100,50+IF(S164&lt;&gt;"",25,0)+IF(R164&lt;&gt;"",15,0)+IF(P164&lt;&gt;"",10,0)))</f>
        <v/>
      </c>
      <c r="X164" s="52">
        <f>IF(E164="","",IF(OR(E164="Canada",E164="CA"),100,IF(OR(E164="United States",E164="USA",E164="US"),IF(J164="Yes",45,75),65)))</f>
        <v/>
      </c>
      <c r="Y164" s="52">
        <f>IF(C164="","",IF(OR(ISNUMBER(SEARCH("Program",C164)),ISNUMBER(SEARCH("Portfolio",C164)),ISNUMBER(SEARCH("Operations",C164)),ISNUMBER(SEARCH("Transformation",C164))),85,IF(ISNUMBER(SEARCH("Product Manager",C164)),55,70)))</f>
        <v/>
      </c>
      <c r="Z164" s="52">
        <f>IF(C164="","",MIN(100,IF(I164&lt;&gt;"",60,10)+IF(AA164&gt;0,MIN(40,AA164*20),0)))</f>
        <v/>
      </c>
      <c r="AA164" s="52">
        <f>IF(T164="","",ROUND(T164*25%+U164*15%+V164*10%+W164*15%+X164*15%+Y164*10%+Z164*10%,0))</f>
        <v/>
      </c>
      <c r="AB164" s="52">
        <f>IF(AA164="","",IF(X164&lt;50,"Selective / Barrier",IF(AA164&gt;=80,"Tier 1 - Pursue",IF(AA164&gt;=70,"Tier 2 - Pursue",IF(AA164&gt;=60,"Tier 3 - Selective","Do Not Pursue")))))</f>
        <v/>
      </c>
      <c r="AC164" s="52">
        <f>IF(C164="","",IF(I164&lt;&gt;"","Named Contact",IF(AA164&gt;0,"Outreach Logged","Cold")))</f>
        <v/>
      </c>
      <c r="AD164" s="52">
        <f>IF(B164="","",COUNTIF('Outreach Log'!$C:$C,B164))</f>
        <v/>
      </c>
      <c r="AE164" s="52">
        <f>IF(A164="","",IF(OR(K164="Rejected",K164="Closed"),IF(L164&lt;&gt;"",L164-A164,TODAY()-A164),TODAY()-A164))</f>
        <v/>
      </c>
      <c r="AF164" s="52">
        <f>IF(C164="","",IF(AND(AA164&gt;=70,AC164="Cold"),"High-fit but cold",IF(AND(AA164&lt;60,K164="Applied"),"Low-fit application",IF(AND(AA164&gt;=70,OR(AC164="Named Contact",AC164="Outreach Logged")),"Targeted pursuit","Review"))))</f>
        <v/>
      </c>
    </row>
    <row r="165" ht="15" customHeight="1" s="44">
      <c r="A165" s="53" t="n">
        <v>46223</v>
      </c>
      <c r="B165" s="48" t="inlineStr">
        <is>
          <t>Wayfair</t>
        </is>
      </c>
      <c r="C165" s="48" t="inlineStr">
        <is>
          <t>Associate Director, Technical Program Management</t>
        </is>
      </c>
      <c r="D165" s="48" t="n"/>
      <c r="E165" s="48" t="n"/>
      <c r="F165" s="48" t="n"/>
      <c r="G165" s="48" t="n"/>
      <c r="H165" s="48" t="n"/>
      <c r="I165" s="48" t="n"/>
      <c r="J165" s="48" t="n"/>
      <c r="K165" s="55" t="inlineStr">
        <is>
          <t>Applied</t>
        </is>
      </c>
      <c r="L165" s="48" t="n"/>
      <c r="M165" s="48" t="n"/>
      <c r="N165" s="48" t="n"/>
      <c r="O165" s="48" t="n"/>
      <c r="P165" s="51" t="inlineStr">
        <is>
          <t>Earliest confirmation of 3 duplicates</t>
        </is>
      </c>
      <c r="Q165" s="48" t="n"/>
      <c r="R165" s="48" t="n"/>
      <c r="S165" s="51" t="n"/>
      <c r="T165" s="52">
        <f>IF(G165="","",G165)</f>
        <v/>
      </c>
      <c r="U165" s="52">
        <f>IF(C165="","",IF(OR(ISNUMBER(SEARCH("Director",C165)),ISNUMBER(SEARCH("Lead",C165)),ISNUMBER(SEARCH("Senior",C165)),ISNUMBER(SEARCH("Sr.",C165))),90,IF(OR(ISNUMBER(SEARCH("Manager",C165)),ISNUMBER(SEARCH("Program",C165)),ISNUMBER(SEARCH("Portfolio",C165))),80,60)))</f>
        <v/>
      </c>
      <c r="V165" s="52">
        <f>IF(C165="","",IF(OR(ISNUMBER(SEARCH("AI",C165)),ISNUMBER(SEARCH("Data",C165)),ISNUMBER(SEARCH("Technology",C165)),ISNUMBER(SEARCH("Technical",C165)),ISNUMBER(SEARCH("Engineering",C165)),ISNUMBER(SEARCH("Platform",C165)),ISNUMBER(SEARCH("Portfolio",C165))),85,65))</f>
        <v/>
      </c>
      <c r="W165" s="52">
        <f>IF(C165="","",MIN(100,50+IF(S165&lt;&gt;"",25,0)+IF(R165&lt;&gt;"",15,0)+IF(P165&lt;&gt;"",10,0)))</f>
        <v/>
      </c>
      <c r="X165" s="52">
        <f>IF(E165="","",IF(OR(E165="Canada",E165="CA"),100,IF(OR(E165="United States",E165="USA",E165="US"),IF(J165="Yes",45,75),65)))</f>
        <v/>
      </c>
      <c r="Y165" s="52">
        <f>IF(C165="","",IF(OR(ISNUMBER(SEARCH("Program",C165)),ISNUMBER(SEARCH("Portfolio",C165)),ISNUMBER(SEARCH("Operations",C165)),ISNUMBER(SEARCH("Transformation",C165))),85,IF(ISNUMBER(SEARCH("Product Manager",C165)),55,70)))</f>
        <v/>
      </c>
      <c r="Z165" s="52">
        <f>IF(C165="","",MIN(100,IF(I165&lt;&gt;"",60,10)+IF(AA165&gt;0,MIN(40,AA165*20),0)))</f>
        <v/>
      </c>
      <c r="AA165" s="52">
        <f>IF(T165="","",ROUND(T165*25%+U165*15%+V165*10%+W165*15%+X165*15%+Y165*10%+Z165*10%,0))</f>
        <v/>
      </c>
      <c r="AB165" s="52">
        <f>IF(AA165="","",IF(X165&lt;50,"Selective / Barrier",IF(AA165&gt;=80,"Tier 1 - Pursue",IF(AA165&gt;=70,"Tier 2 - Pursue",IF(AA165&gt;=60,"Tier 3 - Selective","Do Not Pursue")))))</f>
        <v/>
      </c>
      <c r="AC165" s="52">
        <f>IF(C165="","",IF(I165&lt;&gt;"","Named Contact",IF(AA165&gt;0,"Outreach Logged","Cold")))</f>
        <v/>
      </c>
      <c r="AD165" s="52">
        <f>IF(B165="","",COUNTIF('Outreach Log'!$C:$C,B165))</f>
        <v/>
      </c>
      <c r="AE165" s="52">
        <f>IF(A165="","",IF(OR(K165="Rejected",K165="Closed"),IF(L165&lt;&gt;"",L165-A165,TODAY()-A165),TODAY()-A165))</f>
        <v/>
      </c>
      <c r="AF165" s="52">
        <f>IF(C165="","",IF(AND(AA165&gt;=70,AC165="Cold"),"High-fit but cold",IF(AND(AA165&lt;60,K165="Applied"),"Low-fit application",IF(AND(AA165&gt;=70,OR(AC165="Named Contact",AC165="Outreach Logged")),"Targeted pursuit","Review"))))</f>
        <v/>
      </c>
    </row>
    <row r="166" ht="15" customHeight="1" s="44">
      <c r="A166" s="53" t="n">
        <v>46223</v>
      </c>
      <c r="B166" s="48" t="inlineStr">
        <is>
          <t>Compass</t>
        </is>
      </c>
      <c r="C166" s="48" t="inlineStr">
        <is>
          <t>Senior Technical Program Manager II</t>
        </is>
      </c>
      <c r="D166" s="48" t="inlineStr">
        <is>
          <t>Senior</t>
        </is>
      </c>
      <c r="E166" s="48" t="inlineStr">
        <is>
          <t>US</t>
        </is>
      </c>
      <c r="F166" s="48" t="inlineStr">
        <is>
          <t>New York City</t>
        </is>
      </c>
      <c r="G166" s="48" t="n">
        <v>70</v>
      </c>
      <c r="H166" s="48" t="inlineStr">
        <is>
          <t>Cold Portal</t>
        </is>
      </c>
      <c r="I166" s="48" t="n"/>
      <c r="J166" s="48" t="inlineStr">
        <is>
          <t>Yes</t>
        </is>
      </c>
      <c r="K166" s="49" t="inlineStr">
        <is>
          <t>Rejected</t>
        </is>
      </c>
      <c r="L166" s="48" t="n"/>
      <c r="M166" s="48">
        <f>IF(OR(L164="",A164=""),"",L164-A164)</f>
        <v/>
      </c>
      <c r="N166" s="48" t="n"/>
      <c r="O166" s="48" t="n"/>
      <c r="P166" s="51" t="inlineStr">
        <is>
          <t>Drives large-scale new product/platform initiatives; large-scale migrations/integrations, core enterprise platforms (corporate systems, identity governance, collaboration tools). Requires BS/MS CS, 7+ years TPM in high-pace tech, scripting/SQL, AWS/cloud, containerization. Base pay $173,430-$192,700. Slightly better fit than the other Compass Senior TPM role given enterprise-platform and migration focus overlapping with Bell Data &amp; AI Enterprise Architecture background. From Greenhouse portal review. Rejected.</t>
        </is>
      </c>
      <c r="Q166" s="48" t="n"/>
      <c r="R166" s="48" t="inlineStr">
        <is>
          <t>Technical depth gap (enterprise platform migrations) — best of 2 Compass roles</t>
        </is>
      </c>
      <c r="S166" s="51" t="inlineStr">
        <is>
          <t>BS/MS CS/eng. 7+ yrs TPM. Large-scale migrations/integrations. Enterprise platforms (identity, corp systems). Scripting/SQL, AWS.</t>
        </is>
      </c>
      <c r="T166" s="52">
        <f>IF(G166="","",G166)</f>
        <v/>
      </c>
      <c r="U166" s="52">
        <f>IF(C166="","",IF(OR(ISNUMBER(SEARCH("Director",C166)),ISNUMBER(SEARCH("Lead",C166)),ISNUMBER(SEARCH("Senior",C166)),ISNUMBER(SEARCH("Sr.",C166))),90,IF(OR(ISNUMBER(SEARCH("Manager",C166)),ISNUMBER(SEARCH("Program",C166)),ISNUMBER(SEARCH("Portfolio",C166))),80,60)))</f>
        <v/>
      </c>
      <c r="V166" s="52">
        <f>IF(C166="","",IF(OR(ISNUMBER(SEARCH("AI",C166)),ISNUMBER(SEARCH("Data",C166)),ISNUMBER(SEARCH("Technology",C166)),ISNUMBER(SEARCH("Technical",C166)),ISNUMBER(SEARCH("Engineering",C166)),ISNUMBER(SEARCH("Platform",C166)),ISNUMBER(SEARCH("Portfolio",C166))),85,65))</f>
        <v/>
      </c>
      <c r="W166" s="52">
        <f>IF(C166="","",MIN(100,50+IF(S166&lt;&gt;"",25,0)+IF(R166&lt;&gt;"",15,0)+IF(P166&lt;&gt;"",10,0)))</f>
        <v/>
      </c>
      <c r="X166" s="52">
        <f>IF(E166="","",IF(OR(E166="Canada",E166="CA"),100,IF(OR(E166="United States",E166="USA",E166="US"),IF(J166="Yes",45,75),65)))</f>
        <v/>
      </c>
      <c r="Y166" s="52">
        <f>IF(C166="","",IF(OR(ISNUMBER(SEARCH("Program",C166)),ISNUMBER(SEARCH("Portfolio",C166)),ISNUMBER(SEARCH("Operations",C166)),ISNUMBER(SEARCH("Transformation",C166))),85,IF(ISNUMBER(SEARCH("Product Manager",C166)),55,70)))</f>
        <v/>
      </c>
      <c r="Z166" s="52">
        <f>IF(C166="","",MIN(100,IF(I166&lt;&gt;"",60,10)+IF(AA166&gt;0,MIN(40,AA166*20),0)))</f>
        <v/>
      </c>
      <c r="AA166" s="52">
        <f>IF(T166="","",ROUND(T166*25%+U166*15%+V166*10%+W166*15%+X166*15%+Y166*10%+Z166*10%,0))</f>
        <v/>
      </c>
      <c r="AB166" s="52">
        <f>IF(AA166="","",IF(X166&lt;50,"Selective / Barrier",IF(AA166&gt;=80,"Tier 1 - Pursue",IF(AA166&gt;=70,"Tier 2 - Pursue",IF(AA166&gt;=60,"Tier 3 - Selective","Do Not Pursue")))))</f>
        <v/>
      </c>
      <c r="AC166" s="52">
        <f>IF(C166="","",IF(I166&lt;&gt;"","Named Contact",IF(AA166&gt;0,"Outreach Logged","Cold")))</f>
        <v/>
      </c>
      <c r="AD166" s="52">
        <f>IF(B166="","",COUNTIF('Outreach Log'!$C:$C,B166))</f>
        <v/>
      </c>
      <c r="AE166" s="52">
        <f>IF(A166="","",IF(OR(K166="Rejected",K166="Closed"),IF(L166&lt;&gt;"",L166-A166,TODAY()-A166),TODAY()-A166))</f>
        <v/>
      </c>
      <c r="AF166" s="52">
        <f>IF(C166="","",IF(AND(AA166&gt;=70,AC166="Cold"),"High-fit but cold",IF(AND(AA166&lt;60,K166="Applied"),"Low-fit application",IF(AND(AA166&gt;=70,OR(AC166="Named Contact",AC166="Outreach Logged")),"Targeted pursuit","Review"))))</f>
        <v/>
      </c>
    </row>
    <row r="167" ht="15" customHeight="1" s="44">
      <c r="A167" s="53" t="n">
        <v>46224</v>
      </c>
      <c r="B167" s="48" t="inlineStr">
        <is>
          <t>Shakudo</t>
        </is>
      </c>
      <c r="C167" s="48" t="inlineStr">
        <is>
          <t>Senior Engagement Manager</t>
        </is>
      </c>
      <c r="D167" s="48" t="inlineStr">
        <is>
          <t>Sr Manager</t>
        </is>
      </c>
      <c r="E167" s="48" t="inlineStr">
        <is>
          <t>Canada</t>
        </is>
      </c>
      <c r="F167" s="48" t="inlineStr">
        <is>
          <t>Toronto</t>
        </is>
      </c>
      <c r="G167" s="48" t="n">
        <v>75</v>
      </c>
      <c r="H167" s="48" t="inlineStr">
        <is>
          <t>Cold Portal</t>
        </is>
      </c>
      <c r="I167" s="48" t="n"/>
      <c r="J167" s="48" t="inlineStr">
        <is>
          <t>No</t>
        </is>
      </c>
      <c r="K167" s="49" t="inlineStr">
        <is>
          <t>Rejected</t>
        </is>
      </c>
      <c r="L167" s="50" t="n">
        <v>46234</v>
      </c>
      <c r="M167" s="48">
        <f>IF(OR(L86="",A86=""),"",L86-A86)</f>
        <v/>
      </c>
      <c r="N167" s="48" t="n"/>
      <c r="O167" s="48" t="n"/>
      <c r="P167" s="51" t="inlineStr">
        <is>
          <t>Interviewed 07/22 with Bonnie Chen; thank-you note sent 07/29; rejection received 07/31 after hiring manager follow-up</t>
        </is>
      </c>
      <c r="Q167" s="50" t="n">
        <v>46224</v>
      </c>
      <c r="R167" s="48" t="n"/>
      <c r="S167" s="51" t="n"/>
      <c r="T167" s="52">
        <f>IF(G167="","",G167)</f>
        <v/>
      </c>
      <c r="U167" s="52">
        <f>IF(C167="","",IF(OR(ISNUMBER(SEARCH("Director",C167)),ISNUMBER(SEARCH("Lead",C167)),ISNUMBER(SEARCH("Senior",C167)),ISNUMBER(SEARCH("Sr.",C167))),90,IF(OR(ISNUMBER(SEARCH("Manager",C167)),ISNUMBER(SEARCH("Program",C167)),ISNUMBER(SEARCH("Portfolio",C167))),80,60)))</f>
        <v/>
      </c>
      <c r="V167" s="52">
        <f>IF(C167="","",IF(OR(ISNUMBER(SEARCH("AI",C167)),ISNUMBER(SEARCH("Data",C167)),ISNUMBER(SEARCH("Technology",C167)),ISNUMBER(SEARCH("Technical",C167)),ISNUMBER(SEARCH("Engineering",C167)),ISNUMBER(SEARCH("Platform",C167)),ISNUMBER(SEARCH("Portfolio",C167))),85,65))</f>
        <v/>
      </c>
      <c r="W167" s="52">
        <f>IF(C167="","",MIN(100,50+IF(S167&lt;&gt;"",25,0)+IF(R167&lt;&gt;"",15,0)+IF(P167&lt;&gt;"",10,0)))</f>
        <v/>
      </c>
      <c r="X167" s="52">
        <f>IF(E167="","",IF(OR(E167="Canada",E167="CA"),100,IF(OR(E167="United States",E167="USA",E167="US"),IF(J167="Yes",45,75),65)))</f>
        <v/>
      </c>
      <c r="Y167" s="52">
        <f>IF(C167="","",IF(OR(ISNUMBER(SEARCH("Program",C167)),ISNUMBER(SEARCH("Portfolio",C167)),ISNUMBER(SEARCH("Operations",C167)),ISNUMBER(SEARCH("Transformation",C167))),85,IF(ISNUMBER(SEARCH("Product Manager",C167)),55,70)))</f>
        <v/>
      </c>
      <c r="Z167" s="52">
        <f>IF(C167="","",MIN(100,IF(I167&lt;&gt;"",60,10)+IF(AA167&gt;0,MIN(40,AA167*20),0)))</f>
        <v/>
      </c>
      <c r="AA167" s="52">
        <f>IF(T167="","",ROUND(T167*25%+U167*15%+V167*10%+W167*15%+X167*15%+Y167*10%+Z167*10%,0))</f>
        <v/>
      </c>
      <c r="AB167" s="52">
        <f>IF(AA167="","",IF(X167&lt;50,"Selective / Barrier",IF(AA167&gt;=80,"Tier 1 - Pursue",IF(AA167&gt;=70,"Tier 2 - Pursue",IF(AA167&gt;=60,"Tier 3 - Selective","Do Not Pursue")))))</f>
        <v/>
      </c>
      <c r="AC167" s="52">
        <f>IF(C167="","",IF(I167&lt;&gt;"","Named Contact",IF(AA167&gt;0,"Outreach Logged","Cold")))</f>
        <v/>
      </c>
      <c r="AD167" s="52">
        <f>IF(B167="","",COUNTIF('Outreach Log'!$C:$C,B167))</f>
        <v/>
      </c>
      <c r="AE167" s="52">
        <f>IF(A167="","",IF(OR(K167="Rejected",K167="Closed"),IF(L167&lt;&gt;"",L167-A167,TODAY()-A167),TODAY()-A167))</f>
        <v/>
      </c>
      <c r="AF167" s="52">
        <f>IF(C167="","",IF(AND(AA167&gt;=70,AC167="Cold"),"High-fit but cold",IF(AND(AA167&lt;60,K167="Applied"),"Low-fit application",IF(AND(AA167&gt;=70,OR(AC167="Named Contact",AC167="Outreach Logged")),"Targeted pursuit","Review"))))</f>
        <v/>
      </c>
    </row>
    <row r="168" ht="15" customHeight="1" s="44">
      <c r="A168" s="53" t="n">
        <v>46224</v>
      </c>
      <c r="B168" s="48" t="inlineStr">
        <is>
          <t>Figma</t>
        </is>
      </c>
      <c r="C168" s="48" t="inlineStr">
        <is>
          <t>Technical Program Manager, Data</t>
        </is>
      </c>
      <c r="D168" s="48" t="inlineStr">
        <is>
          <t>Senior</t>
        </is>
      </c>
      <c r="E168" s="48" t="inlineStr">
        <is>
          <t>US</t>
        </is>
      </c>
      <c r="F168" s="48" t="inlineStr">
        <is>
          <t>San Francisco / New York (Remote US eligible)</t>
        </is>
      </c>
      <c r="G168" s="48" t="n">
        <v>74</v>
      </c>
      <c r="H168" s="48" t="inlineStr">
        <is>
          <t>Cold Portal</t>
        </is>
      </c>
      <c r="I168" s="48" t="n"/>
      <c r="J168" s="48" t="inlineStr">
        <is>
          <t>Yes</t>
        </is>
      </c>
      <c r="K168" s="49" t="inlineStr">
        <is>
          <t>Rejected</t>
        </is>
      </c>
      <c r="L168" s="48" t="n"/>
      <c r="M168" s="48">
        <f>IF(OR(L166="",A166=""),"",L166-A166)</f>
        <v/>
      </c>
      <c r="N168" s="48" t="n"/>
      <c r="O168" s="48" t="n"/>
      <c r="P168" s="51" t="inlineStr">
        <is>
          <t>Figma's first dedicated TPM for Data Science. Owns Self-Serve Analytics program end-to-end: semantic layer expansion, Figma Data Assistant, LLM data-access governance/security, adoption change management, and DS org operations. 5+ years TPM experience driving data infra/analytics platform programs required. Good fit: strong overlap with enterprise data/AI portfolio management background (Bell Data &amp; AI Enterprise Architecture) and multi-stakeholder program delivery; scored up from other Figma role given closer alignment to data/AI platform work rather than pure business-ops strategy. From Greenhouse portal review. Rejected.</t>
        </is>
      </c>
      <c r="Q168" s="48" t="n"/>
      <c r="R168" s="48" t="inlineStr">
        <is>
          <t>Good fit — data/AI platform overlap</t>
        </is>
      </c>
      <c r="S168" s="51" t="inlineStr">
        <is>
          <t>5+ yrs TPM driving data infra/analytics platforms. Semantic layers, data catalogs, BI tools, LLM governance. Adoption/change management.</t>
        </is>
      </c>
      <c r="T168" s="52">
        <f>IF(G168="","",G168)</f>
        <v/>
      </c>
      <c r="U168" s="52">
        <f>IF(C168="","",IF(OR(ISNUMBER(SEARCH("Director",C168)),ISNUMBER(SEARCH("Lead",C168)),ISNUMBER(SEARCH("Senior",C168)),ISNUMBER(SEARCH("Sr.",C168))),90,IF(OR(ISNUMBER(SEARCH("Manager",C168)),ISNUMBER(SEARCH("Program",C168)),ISNUMBER(SEARCH("Portfolio",C168))),80,60)))</f>
        <v/>
      </c>
      <c r="V168" s="52">
        <f>IF(C168="","",IF(OR(ISNUMBER(SEARCH("AI",C168)),ISNUMBER(SEARCH("Data",C168)),ISNUMBER(SEARCH("Technology",C168)),ISNUMBER(SEARCH("Technical",C168)),ISNUMBER(SEARCH("Engineering",C168)),ISNUMBER(SEARCH("Platform",C168)),ISNUMBER(SEARCH("Portfolio",C168))),85,65))</f>
        <v/>
      </c>
      <c r="W168" s="52">
        <f>IF(C168="","",MIN(100,50+IF(S168&lt;&gt;"",25,0)+IF(R168&lt;&gt;"",15,0)+IF(P168&lt;&gt;"",10,0)))</f>
        <v/>
      </c>
      <c r="X168" s="52">
        <f>IF(E168="","",IF(OR(E168="Canada",E168="CA"),100,IF(OR(E168="United States",E168="USA",E168="US"),IF(J168="Yes",45,75),65)))</f>
        <v/>
      </c>
      <c r="Y168" s="52">
        <f>IF(C168="","",IF(OR(ISNUMBER(SEARCH("Program",C168)),ISNUMBER(SEARCH("Portfolio",C168)),ISNUMBER(SEARCH("Operations",C168)),ISNUMBER(SEARCH("Transformation",C168))),85,IF(ISNUMBER(SEARCH("Product Manager",C168)),55,70)))</f>
        <v/>
      </c>
      <c r="Z168" s="52">
        <f>IF(C168="","",MIN(100,IF(I168&lt;&gt;"",60,10)+IF(AA168&gt;0,MIN(40,AA168*20),0)))</f>
        <v/>
      </c>
      <c r="AA168" s="52">
        <f>IF(T168="","",ROUND(T168*25%+U168*15%+V168*10%+W168*15%+X168*15%+Y168*10%+Z168*10%,0))</f>
        <v/>
      </c>
      <c r="AB168" s="52">
        <f>IF(AA168="","",IF(X168&lt;50,"Selective / Barrier",IF(AA168&gt;=80,"Tier 1 - Pursue",IF(AA168&gt;=70,"Tier 2 - Pursue",IF(AA168&gt;=60,"Tier 3 - Selective","Do Not Pursue")))))</f>
        <v/>
      </c>
      <c r="AC168" s="52">
        <f>IF(C168="","",IF(I168&lt;&gt;"","Named Contact",IF(AA168&gt;0,"Outreach Logged","Cold")))</f>
        <v/>
      </c>
      <c r="AD168" s="52">
        <f>IF(B168="","",COUNTIF('Outreach Log'!$C:$C,B168))</f>
        <v/>
      </c>
      <c r="AE168" s="52">
        <f>IF(A168="","",IF(OR(K168="Rejected",K168="Closed"),IF(L168&lt;&gt;"",L168-A168,TODAY()-A168),TODAY()-A168))</f>
        <v/>
      </c>
      <c r="AF168" s="52">
        <f>IF(C168="","",IF(AND(AA168&gt;=70,AC168="Cold"),"High-fit but cold",IF(AND(AA168&lt;60,K168="Applied"),"Low-fit application",IF(AND(AA168&gt;=70,OR(AC168="Named Contact",AC168="Outreach Logged")),"Targeted pursuit","Review"))))</f>
        <v/>
      </c>
    </row>
    <row r="169" ht="15" customHeight="1" s="44">
      <c r="A169" s="53" t="n">
        <v>46224</v>
      </c>
      <c r="B169" s="48" t="inlineStr">
        <is>
          <t>Headway</t>
        </is>
      </c>
      <c r="C169" s="48" t="inlineStr">
        <is>
          <t>Staff Technical Program Manager</t>
        </is>
      </c>
      <c r="D169" s="48" t="inlineStr">
        <is>
          <t>Principal</t>
        </is>
      </c>
      <c r="E169" s="48" t="inlineStr">
        <is>
          <t>US</t>
        </is>
      </c>
      <c r="F169" s="48" t="inlineStr">
        <is>
          <t>NY/Remote</t>
        </is>
      </c>
      <c r="G169" s="48" t="n">
        <v>60</v>
      </c>
      <c r="H169" s="48" t="inlineStr">
        <is>
          <t>Cold Portal</t>
        </is>
      </c>
      <c r="I169" s="48" t="n"/>
      <c r="J169" s="48" t="inlineStr">
        <is>
          <t>Yes</t>
        </is>
      </c>
      <c r="K169" s="49" t="inlineStr">
        <is>
          <t>Rejected</t>
        </is>
      </c>
      <c r="L169" s="48" t="n"/>
      <c r="M169" s="48">
        <f>IF(OR(L88="",A88=""),"",L88-A88)</f>
        <v/>
      </c>
      <c r="N169" s="48" t="n"/>
      <c r="O169" s="48" t="n"/>
      <c r="P169" s="51" t="inlineStr">
        <is>
          <t xml:space="preserve"> | Status updated to Rejected per Greenhouse portal review / Gmail check, confirmed 2026-09-20 (was: Applied).</t>
        </is>
      </c>
      <c r="Q169" s="48" t="n"/>
      <c r="R169" s="48" t="n"/>
      <c r="S169" s="51" t="n"/>
      <c r="T169" s="52">
        <f>IF(G169="","",G169)</f>
        <v/>
      </c>
      <c r="U169" s="52">
        <f>IF(C169="","",IF(OR(ISNUMBER(SEARCH("Director",C169)),ISNUMBER(SEARCH("Lead",C169)),ISNUMBER(SEARCH("Senior",C169)),ISNUMBER(SEARCH("Sr.",C169))),90,IF(OR(ISNUMBER(SEARCH("Manager",C169)),ISNUMBER(SEARCH("Program",C169)),ISNUMBER(SEARCH("Portfolio",C169))),80,60)))</f>
        <v/>
      </c>
      <c r="V169" s="52">
        <f>IF(C169="","",IF(OR(ISNUMBER(SEARCH("AI",C169)),ISNUMBER(SEARCH("Data",C169)),ISNUMBER(SEARCH("Technology",C169)),ISNUMBER(SEARCH("Technical",C169)),ISNUMBER(SEARCH("Engineering",C169)),ISNUMBER(SEARCH("Platform",C169)),ISNUMBER(SEARCH("Portfolio",C169))),85,65))</f>
        <v/>
      </c>
      <c r="W169" s="52">
        <f>IF(C169="","",MIN(100,50+IF(S169&lt;&gt;"",25,0)+IF(R169&lt;&gt;"",15,0)+IF(P169&lt;&gt;"",10,0)))</f>
        <v/>
      </c>
      <c r="X169" s="52">
        <f>IF(E169="","",IF(OR(E169="Canada",E169="CA"),100,IF(OR(E169="United States",E169="USA",E169="US"),IF(J169="Yes",45,75),65)))</f>
        <v/>
      </c>
      <c r="Y169" s="52">
        <f>IF(C169="","",IF(OR(ISNUMBER(SEARCH("Program",C169)),ISNUMBER(SEARCH("Portfolio",C169)),ISNUMBER(SEARCH("Operations",C169)),ISNUMBER(SEARCH("Transformation",C169))),85,IF(ISNUMBER(SEARCH("Product Manager",C169)),55,70)))</f>
        <v/>
      </c>
      <c r="Z169" s="52">
        <f>IF(C169="","",MIN(100,IF(I169&lt;&gt;"",60,10)+IF(AA169&gt;0,MIN(40,AA169*20),0)))</f>
        <v/>
      </c>
      <c r="AA169" s="52">
        <f>IF(T169="","",ROUND(T169*25%+U169*15%+V169*10%+W169*15%+X169*15%+Y169*10%+Z169*10%,0))</f>
        <v/>
      </c>
      <c r="AB169" s="52">
        <f>IF(AA169="","",IF(X169&lt;50,"Selective / Barrier",IF(AA169&gt;=80,"Tier 1 - Pursue",IF(AA169&gt;=70,"Tier 2 - Pursue",IF(AA169&gt;=60,"Tier 3 - Selective","Do Not Pursue")))))</f>
        <v/>
      </c>
      <c r="AC169" s="52">
        <f>IF(C169="","",IF(I169&lt;&gt;"","Named Contact",IF(AA169&gt;0,"Outreach Logged","Cold")))</f>
        <v/>
      </c>
      <c r="AD169" s="52">
        <f>IF(B169="","",COUNTIF('Outreach Log'!$C:$C,B169))</f>
        <v/>
      </c>
      <c r="AE169" s="52">
        <f>IF(A169="","",IF(OR(K169="Rejected",K169="Closed"),IF(L169&lt;&gt;"",L169-A169,TODAY()-A169),TODAY()-A169))</f>
        <v/>
      </c>
      <c r="AF169" s="52">
        <f>IF(C169="","",IF(AND(AA169&gt;=70,AC169="Cold"),"High-fit but cold",IF(AND(AA169&lt;60,K169="Applied"),"Low-fit application",IF(AND(AA169&gt;=70,OR(AC169="Named Contact",AC169="Outreach Logged")),"Targeted pursuit","Review"))))</f>
        <v/>
      </c>
    </row>
    <row r="170" ht="15" customHeight="1" s="44">
      <c r="A170" s="53" t="n">
        <v>46224</v>
      </c>
      <c r="B170" s="48" t="inlineStr">
        <is>
          <t>ServiceNow</t>
        </is>
      </c>
      <c r="C170" s="48" t="inlineStr">
        <is>
          <t>Program Director</t>
        </is>
      </c>
      <c r="D170" s="48" t="inlineStr">
        <is>
          <t>Director</t>
        </is>
      </c>
      <c r="E170" s="48" t="inlineStr">
        <is>
          <t>US</t>
        </is>
      </c>
      <c r="F170" s="48" t="inlineStr">
        <is>
          <t>Santa Clara</t>
        </is>
      </c>
      <c r="G170" s="48" t="n">
        <v>65</v>
      </c>
      <c r="H170" s="48" t="inlineStr">
        <is>
          <t>Cold Portal</t>
        </is>
      </c>
      <c r="I170" s="48" t="n"/>
      <c r="J170" s="48" t="inlineStr">
        <is>
          <t>Yes</t>
        </is>
      </c>
      <c r="K170" s="55" t="inlineStr">
        <is>
          <t>Applied</t>
        </is>
      </c>
      <c r="L170" s="48" t="n"/>
      <c r="M170" s="48">
        <f>IF(OR(L89="",A89=""),"",L89-A89)</f>
        <v/>
      </c>
      <c r="N170" s="48" t="n"/>
      <c r="O170" s="48" t="n"/>
      <c r="P170" s="51" t="inlineStr">
        <is>
          <t>3rd ServiceNow app</t>
        </is>
      </c>
      <c r="Q170" s="48" t="n"/>
      <c r="R170" s="48" t="n"/>
      <c r="S170" s="51" t="n"/>
      <c r="T170" s="52">
        <f>IF(G170="","",G170)</f>
        <v/>
      </c>
      <c r="U170" s="52">
        <f>IF(C170="","",IF(OR(ISNUMBER(SEARCH("Director",C170)),ISNUMBER(SEARCH("Lead",C170)),ISNUMBER(SEARCH("Senior",C170)),ISNUMBER(SEARCH("Sr.",C170))),90,IF(OR(ISNUMBER(SEARCH("Manager",C170)),ISNUMBER(SEARCH("Program",C170)),ISNUMBER(SEARCH("Portfolio",C170))),80,60)))</f>
        <v/>
      </c>
      <c r="V170" s="52">
        <f>IF(C170="","",IF(OR(ISNUMBER(SEARCH("AI",C170)),ISNUMBER(SEARCH("Data",C170)),ISNUMBER(SEARCH("Technology",C170)),ISNUMBER(SEARCH("Technical",C170)),ISNUMBER(SEARCH("Engineering",C170)),ISNUMBER(SEARCH("Platform",C170)),ISNUMBER(SEARCH("Portfolio",C170))),85,65))</f>
        <v/>
      </c>
      <c r="W170" s="52">
        <f>IF(C170="","",MIN(100,50+IF(S170&lt;&gt;"",25,0)+IF(R170&lt;&gt;"",15,0)+IF(P170&lt;&gt;"",10,0)))</f>
        <v/>
      </c>
      <c r="X170" s="52">
        <f>IF(E170="","",IF(OR(E170="Canada",E170="CA"),100,IF(OR(E170="United States",E170="USA",E170="US"),IF(J170="Yes",45,75),65)))</f>
        <v/>
      </c>
      <c r="Y170" s="52">
        <f>IF(C170="","",IF(OR(ISNUMBER(SEARCH("Program",C170)),ISNUMBER(SEARCH("Portfolio",C170)),ISNUMBER(SEARCH("Operations",C170)),ISNUMBER(SEARCH("Transformation",C170))),85,IF(ISNUMBER(SEARCH("Product Manager",C170)),55,70)))</f>
        <v/>
      </c>
      <c r="Z170" s="52">
        <f>IF(C170="","",MIN(100,IF(I170&lt;&gt;"",60,10)+IF(AA170&gt;0,MIN(40,AA170*20),0)))</f>
        <v/>
      </c>
      <c r="AA170" s="52">
        <f>IF(T170="","",ROUND(T170*25%+U170*15%+V170*10%+W170*15%+X170*15%+Y170*10%+Z170*10%,0))</f>
        <v/>
      </c>
      <c r="AB170" s="52">
        <f>IF(AA170="","",IF(X170&lt;50,"Selective / Barrier",IF(AA170&gt;=80,"Tier 1 - Pursue",IF(AA170&gt;=70,"Tier 2 - Pursue",IF(AA170&gt;=60,"Tier 3 - Selective","Do Not Pursue")))))</f>
        <v/>
      </c>
      <c r="AC170" s="52">
        <f>IF(C170="","",IF(I170&lt;&gt;"","Named Contact",IF(AA170&gt;0,"Outreach Logged","Cold")))</f>
        <v/>
      </c>
      <c r="AD170" s="52">
        <f>IF(B170="","",COUNTIF('Outreach Log'!$C:$C,B170))</f>
        <v/>
      </c>
      <c r="AE170" s="52">
        <f>IF(A170="","",IF(OR(K170="Rejected",K170="Closed"),IF(L170&lt;&gt;"",L170-A170,TODAY()-A170),TODAY()-A170))</f>
        <v/>
      </c>
      <c r="AF170" s="52">
        <f>IF(C170="","",IF(AND(AA170&gt;=70,AC170="Cold"),"High-fit but cold",IF(AND(AA170&lt;60,K170="Applied"),"Low-fit application",IF(AND(AA170&gt;=70,OR(AC170="Named Contact",AC170="Outreach Logged")),"Targeted pursuit","Review"))))</f>
        <v/>
      </c>
    </row>
    <row r="171" ht="15" customHeight="1" s="44">
      <c r="A171" s="53" t="n">
        <v>46224</v>
      </c>
      <c r="B171" s="48" t="inlineStr">
        <is>
          <t>OpenAI</t>
        </is>
      </c>
      <c r="C171" s="48" t="inlineStr">
        <is>
          <t>Platform Operations Program Manager</t>
        </is>
      </c>
      <c r="D171" s="48" t="inlineStr">
        <is>
          <t>Sr Manager</t>
        </is>
      </c>
      <c r="E171" s="48" t="inlineStr">
        <is>
          <t>US</t>
        </is>
      </c>
      <c r="F171" s="48" t="inlineStr">
        <is>
          <t>SF</t>
        </is>
      </c>
      <c r="G171" s="48" t="n">
        <v>50</v>
      </c>
      <c r="H171" s="48" t="inlineStr">
        <is>
          <t>Cold Portal</t>
        </is>
      </c>
      <c r="I171" s="48" t="n"/>
      <c r="J171" s="48" t="inlineStr">
        <is>
          <t>Yes</t>
        </is>
      </c>
      <c r="K171" s="49" t="inlineStr">
        <is>
          <t>Rejected</t>
        </is>
      </c>
      <c r="L171" s="50" t="n">
        <v>46279</v>
      </c>
      <c r="M171" s="48">
        <f>IF(OR(L90="",A90=""),"",L90-A90)</f>
        <v/>
      </c>
      <c r="N171" s="48" t="n"/>
      <c r="O171" s="48" t="n"/>
      <c r="P171" s="51" t="inlineStr">
        <is>
          <t xml:space="preserve"> REJECTED 2026-09-14 (Ashby): "we have closed the position and will not be moving forward with your application." Role title confirmed via rejection email — previously logged as placeholder "(2nd role)".</t>
        </is>
      </c>
      <c r="Q171" s="48" t="n"/>
      <c r="R171" s="48" t="n"/>
      <c r="S171" s="51" t="n"/>
      <c r="T171" s="52">
        <f>IF(G171="","",G171)</f>
        <v/>
      </c>
      <c r="U171" s="52">
        <f>IF(C171="","",IF(OR(ISNUMBER(SEARCH("Director",C171)),ISNUMBER(SEARCH("Lead",C171)),ISNUMBER(SEARCH("Senior",C171)),ISNUMBER(SEARCH("Sr.",C171))),90,IF(OR(ISNUMBER(SEARCH("Manager",C171)),ISNUMBER(SEARCH("Program",C171)),ISNUMBER(SEARCH("Portfolio",C171))),80,60)))</f>
        <v/>
      </c>
      <c r="V171" s="52">
        <f>IF(C171="","",IF(OR(ISNUMBER(SEARCH("AI",C171)),ISNUMBER(SEARCH("Data",C171)),ISNUMBER(SEARCH("Technology",C171)),ISNUMBER(SEARCH("Technical",C171)),ISNUMBER(SEARCH("Engineering",C171)),ISNUMBER(SEARCH("Platform",C171)),ISNUMBER(SEARCH("Portfolio",C171))),85,65))</f>
        <v/>
      </c>
      <c r="W171" s="52">
        <f>IF(C171="","",MIN(100,50+IF(S171&lt;&gt;"",25,0)+IF(R171&lt;&gt;"",15,0)+IF(P171&lt;&gt;"",10,0)))</f>
        <v/>
      </c>
      <c r="X171" s="52">
        <f>IF(E171="","",IF(OR(E171="Canada",E171="CA"),100,IF(OR(E171="United States",E171="USA",E171="US"),IF(J171="Yes",45,75),65)))</f>
        <v/>
      </c>
      <c r="Y171" s="52">
        <f>IF(C171="","",IF(OR(ISNUMBER(SEARCH("Program",C171)),ISNUMBER(SEARCH("Portfolio",C171)),ISNUMBER(SEARCH("Operations",C171)),ISNUMBER(SEARCH("Transformation",C171))),85,IF(ISNUMBER(SEARCH("Product Manager",C171)),55,70)))</f>
        <v/>
      </c>
      <c r="Z171" s="52">
        <f>IF(C171="","",MIN(100,IF(I171&lt;&gt;"",60,10)+IF(AA171&gt;0,MIN(40,AA171*20),0)))</f>
        <v/>
      </c>
      <c r="AA171" s="52">
        <f>IF(T171="","",ROUND(T171*25%+U171*15%+V171*10%+W171*15%+X171*15%+Y171*10%+Z171*10%,0))</f>
        <v/>
      </c>
      <c r="AB171" s="52">
        <f>IF(AA171="","",IF(X171&lt;50,"Selective / Barrier",IF(AA171&gt;=80,"Tier 1 - Pursue",IF(AA171&gt;=70,"Tier 2 - Pursue",IF(AA171&gt;=60,"Tier 3 - Selective","Do Not Pursue")))))</f>
        <v/>
      </c>
      <c r="AC171" s="52">
        <f>IF(C171="","",IF(I171&lt;&gt;"","Named Contact",IF(AA171&gt;0,"Outreach Logged","Cold")))</f>
        <v/>
      </c>
      <c r="AD171" s="52">
        <f>IF(B171="","",COUNTIF('Outreach Log'!$C:$C,B171))</f>
        <v/>
      </c>
      <c r="AE171" s="52">
        <f>IF(A171="","",IF(OR(K171="Rejected",K171="Closed"),IF(L171&lt;&gt;"",L171-A171,TODAY()-A171),TODAY()-A171))</f>
        <v/>
      </c>
      <c r="AF171" s="52">
        <f>IF(C171="","",IF(AND(AA171&gt;=70,AC171="Cold"),"High-fit but cold",IF(AND(AA171&lt;60,K171="Applied"),"Low-fit application",IF(AND(AA171&gt;=70,OR(AC171="Named Contact",AC171="Outreach Logged")),"Targeted pursuit","Review"))))</f>
        <v/>
      </c>
    </row>
    <row r="172" ht="15" customHeight="1" s="44">
      <c r="A172" s="53" t="n">
        <v>46224</v>
      </c>
      <c r="B172" s="48" t="inlineStr">
        <is>
          <t>Walmart</t>
        </is>
      </c>
      <c r="C172" s="48" t="inlineStr">
        <is>
          <t>TPM role (US)</t>
        </is>
      </c>
      <c r="D172" s="48" t="inlineStr">
        <is>
          <t>Sr TPM</t>
        </is>
      </c>
      <c r="E172" s="48" t="inlineStr">
        <is>
          <t>US</t>
        </is>
      </c>
      <c r="F172" s="48" t="inlineStr">
        <is>
          <t>Bentonville?</t>
        </is>
      </c>
      <c r="G172" s="48" t="n">
        <v>65</v>
      </c>
      <c r="H172" s="48" t="inlineStr">
        <is>
          <t>Cold Portal</t>
        </is>
      </c>
      <c r="I172" s="48" t="n"/>
      <c r="J172" s="48" t="inlineStr">
        <is>
          <t>Yes</t>
        </is>
      </c>
      <c r="K172" s="55" t="inlineStr">
        <is>
          <t>Applied</t>
        </is>
      </c>
      <c r="L172" s="48" t="n"/>
      <c r="M172" s="48">
        <f>IF(OR(L91="",A91=""),"",L91-A91)</f>
        <v/>
      </c>
      <c r="N172" s="48" t="n"/>
      <c r="O172" s="48" t="n"/>
      <c r="P172" s="51" t="n"/>
      <c r="Q172" s="48" t="n"/>
      <c r="R172" s="48" t="n"/>
      <c r="S172" s="51" t="n"/>
      <c r="T172" s="52">
        <f>IF(G172="","",G172)</f>
        <v/>
      </c>
      <c r="U172" s="52">
        <f>IF(C172="","",IF(OR(ISNUMBER(SEARCH("Director",C172)),ISNUMBER(SEARCH("Lead",C172)),ISNUMBER(SEARCH("Senior",C172)),ISNUMBER(SEARCH("Sr.",C172))),90,IF(OR(ISNUMBER(SEARCH("Manager",C172)),ISNUMBER(SEARCH("Program",C172)),ISNUMBER(SEARCH("Portfolio",C172))),80,60)))</f>
        <v/>
      </c>
      <c r="V172" s="52">
        <f>IF(C172="","",IF(OR(ISNUMBER(SEARCH("AI",C172)),ISNUMBER(SEARCH("Data",C172)),ISNUMBER(SEARCH("Technology",C172)),ISNUMBER(SEARCH("Technical",C172)),ISNUMBER(SEARCH("Engineering",C172)),ISNUMBER(SEARCH("Platform",C172)),ISNUMBER(SEARCH("Portfolio",C172))),85,65))</f>
        <v/>
      </c>
      <c r="W172" s="52">
        <f>IF(C172="","",MIN(100,50+IF(S172&lt;&gt;"",25,0)+IF(R172&lt;&gt;"",15,0)+IF(P172&lt;&gt;"",10,0)))</f>
        <v/>
      </c>
      <c r="X172" s="52">
        <f>IF(E172="","",IF(OR(E172="Canada",E172="CA"),100,IF(OR(E172="United States",E172="USA",E172="US"),IF(J172="Yes",45,75),65)))</f>
        <v/>
      </c>
      <c r="Y172" s="52">
        <f>IF(C172="","",IF(OR(ISNUMBER(SEARCH("Program",C172)),ISNUMBER(SEARCH("Portfolio",C172)),ISNUMBER(SEARCH("Operations",C172)),ISNUMBER(SEARCH("Transformation",C172))),85,IF(ISNUMBER(SEARCH("Product Manager",C172)),55,70)))</f>
        <v/>
      </c>
      <c r="Z172" s="52">
        <f>IF(C172="","",MIN(100,IF(I172&lt;&gt;"",60,10)+IF(AA172&gt;0,MIN(40,AA172*20),0)))</f>
        <v/>
      </c>
      <c r="AA172" s="52">
        <f>IF(T172="","",ROUND(T172*25%+U172*15%+V172*10%+W172*15%+X172*15%+Y172*10%+Z172*10%,0))</f>
        <v/>
      </c>
      <c r="AB172" s="52">
        <f>IF(AA172="","",IF(X172&lt;50,"Selective / Barrier",IF(AA172&gt;=80,"Tier 1 - Pursue",IF(AA172&gt;=70,"Tier 2 - Pursue",IF(AA172&gt;=60,"Tier 3 - Selective","Do Not Pursue")))))</f>
        <v/>
      </c>
      <c r="AC172" s="52">
        <f>IF(C172="","",IF(I172&lt;&gt;"","Named Contact",IF(AA172&gt;0,"Outreach Logged","Cold")))</f>
        <v/>
      </c>
      <c r="AD172" s="52">
        <f>IF(B172="","",COUNTIF('Outreach Log'!$C:$C,B172))</f>
        <v/>
      </c>
      <c r="AE172" s="52">
        <f>IF(A172="","",IF(OR(K172="Rejected",K172="Closed"),IF(L172&lt;&gt;"",L172-A172,TODAY()-A172),TODAY()-A172))</f>
        <v/>
      </c>
      <c r="AF172" s="52">
        <f>IF(C172="","",IF(AND(AA172&gt;=70,AC172="Cold"),"High-fit but cold",IF(AND(AA172&lt;60,K172="Applied"),"Low-fit application",IF(AND(AA172&gt;=70,OR(AC172="Named Contact",AC172="Outreach Logged")),"Targeted pursuit","Review"))))</f>
        <v/>
      </c>
    </row>
    <row r="173" ht="15" customHeight="1" s="44">
      <c r="A173" s="53" t="n">
        <v>46224</v>
      </c>
      <c r="B173" s="48" t="inlineStr">
        <is>
          <t>Vector Institute</t>
        </is>
      </c>
      <c r="C173" s="48" t="inlineStr">
        <is>
          <t>Senior Project Manager</t>
        </is>
      </c>
      <c r="D173" s="48" t="inlineStr">
        <is>
          <t>Sr Manager</t>
        </is>
      </c>
      <c r="E173" s="48" t="inlineStr">
        <is>
          <t>Canada</t>
        </is>
      </c>
      <c r="F173" s="48" t="inlineStr">
        <is>
          <t>Toronto</t>
        </is>
      </c>
      <c r="G173" s="48" t="n">
        <v>80</v>
      </c>
      <c r="H173" s="48" t="inlineStr">
        <is>
          <t>Cold Portal</t>
        </is>
      </c>
      <c r="I173" s="48" t="n"/>
      <c r="J173" s="48" t="inlineStr">
        <is>
          <t>No</t>
        </is>
      </c>
      <c r="K173" s="56" t="inlineStr">
        <is>
          <t>Closed</t>
        </is>
      </c>
      <c r="L173" s="50" t="n">
        <v>46246</v>
      </c>
      <c r="M173" s="48">
        <f>IF(OR(L92="",A92=""),"",L92-A92)</f>
        <v/>
      </c>
      <c r="N173" s="48" t="n"/>
      <c r="O173" s="48" t="n"/>
      <c r="P173" s="51" t="inlineStr">
        <is>
          <t>Knows FastLane program already | Role no longer posted on vectorinstitute.ai as of 2026-08-12 - req appears closed/withdrawn, no candidate-specific rejection received. Current Vector openings are Project Manager, Partnerships &amp; Ecosystem Manager, Program Coordinator ROAP (all below target level).</t>
        </is>
      </c>
      <c r="Q173" s="48" t="n"/>
      <c r="R173" s="48" t="n"/>
      <c r="S173" s="51" t="n"/>
      <c r="T173" s="52">
        <f>IF(G173="","",G173)</f>
        <v/>
      </c>
      <c r="U173" s="52">
        <f>IF(C173="","",IF(OR(ISNUMBER(SEARCH("Director",C173)),ISNUMBER(SEARCH("Lead",C173)),ISNUMBER(SEARCH("Senior",C173)),ISNUMBER(SEARCH("Sr.",C173))),90,IF(OR(ISNUMBER(SEARCH("Manager",C173)),ISNUMBER(SEARCH("Program",C173)),ISNUMBER(SEARCH("Portfolio",C173))),80,60)))</f>
        <v/>
      </c>
      <c r="V173" s="52">
        <f>IF(C173="","",IF(OR(ISNUMBER(SEARCH("AI",C173)),ISNUMBER(SEARCH("Data",C173)),ISNUMBER(SEARCH("Technology",C173)),ISNUMBER(SEARCH("Technical",C173)),ISNUMBER(SEARCH("Engineering",C173)),ISNUMBER(SEARCH("Platform",C173)),ISNUMBER(SEARCH("Portfolio",C173))),85,65))</f>
        <v/>
      </c>
      <c r="W173" s="52">
        <f>IF(C173="","",MIN(100,50+IF(S173&lt;&gt;"",25,0)+IF(R173&lt;&gt;"",15,0)+IF(P173&lt;&gt;"",10,0)))</f>
        <v/>
      </c>
      <c r="X173" s="52">
        <f>IF(E173="","",IF(OR(E173="Canada",E173="CA"),100,IF(OR(E173="United States",E173="USA",E173="US"),IF(J173="Yes",45,75),65)))</f>
        <v/>
      </c>
      <c r="Y173" s="52">
        <f>IF(C173="","",IF(OR(ISNUMBER(SEARCH("Program",C173)),ISNUMBER(SEARCH("Portfolio",C173)),ISNUMBER(SEARCH("Operations",C173)),ISNUMBER(SEARCH("Transformation",C173))),85,IF(ISNUMBER(SEARCH("Product Manager",C173)),55,70)))</f>
        <v/>
      </c>
      <c r="Z173" s="52">
        <f>IF(C173="","",MIN(100,IF(I173&lt;&gt;"",60,10)+IF(AA173&gt;0,MIN(40,AA173*20),0)))</f>
        <v/>
      </c>
      <c r="AA173" s="52">
        <f>IF(T173="","",ROUND(T173*25%+U173*15%+V173*10%+W173*15%+X173*15%+Y173*10%+Z173*10%,0))</f>
        <v/>
      </c>
      <c r="AB173" s="52">
        <f>IF(AA173="","",IF(X173&lt;50,"Selective / Barrier",IF(AA173&gt;=80,"Tier 1 - Pursue",IF(AA173&gt;=70,"Tier 2 - Pursue",IF(AA173&gt;=60,"Tier 3 - Selective","Do Not Pursue")))))</f>
        <v/>
      </c>
      <c r="AC173" s="52">
        <f>IF(C173="","",IF(I173&lt;&gt;"","Named Contact",IF(AA173&gt;0,"Outreach Logged","Cold")))</f>
        <v/>
      </c>
      <c r="AD173" s="52">
        <f>IF(B173="","",COUNTIF('Outreach Log'!$C:$C,B173))</f>
        <v/>
      </c>
      <c r="AE173" s="52">
        <f>IF(A173="","",IF(OR(K173="Rejected",K173="Closed"),IF(L173&lt;&gt;"",L173-A173,TODAY()-A173),TODAY()-A173))</f>
        <v/>
      </c>
      <c r="AF173" s="52">
        <f>IF(C173="","",IF(AND(AA173&gt;=70,AC173="Cold"),"High-fit but cold",IF(AND(AA173&lt;60,K173="Applied"),"Low-fit application",IF(AND(AA173&gt;=70,OR(AC173="Named Contact",AC173="Outreach Logged")),"Targeted pursuit","Review"))))</f>
        <v/>
      </c>
    </row>
    <row r="174" ht="15" customHeight="1" s="44">
      <c r="A174" s="53" t="n">
        <v>46224</v>
      </c>
      <c r="B174" s="48" t="inlineStr">
        <is>
          <t>S.i. Systems</t>
        </is>
      </c>
      <c r="C174" s="48" t="inlineStr">
        <is>
          <t>PM - enterprise fraud transformation</t>
        </is>
      </c>
      <c r="D174" s="48" t="inlineStr">
        <is>
          <t>Sr TPM</t>
        </is>
      </c>
      <c r="E174" s="48" t="inlineStr">
        <is>
          <t>Canada</t>
        </is>
      </c>
      <c r="F174" s="48" t="inlineStr">
        <is>
          <t>Toronto</t>
        </is>
      </c>
      <c r="G174" s="48" t="n">
        <v>65</v>
      </c>
      <c r="H174" s="48" t="inlineStr">
        <is>
          <t>Recruiter</t>
        </is>
      </c>
      <c r="I174" s="48" t="n"/>
      <c r="J174" s="48" t="inlineStr">
        <is>
          <t>No</t>
        </is>
      </c>
      <c r="K174" s="55" t="inlineStr">
        <is>
          <t>Applied</t>
        </is>
      </c>
      <c r="L174" s="48" t="n"/>
      <c r="M174" s="48">
        <f>IF(OR(L93="",A93=""),"",L93-A93)</f>
        <v/>
      </c>
      <c r="N174" s="48" t="n"/>
      <c r="O174" s="48" t="n"/>
      <c r="P174" s="51" t="n"/>
      <c r="Q174" s="48" t="n"/>
      <c r="R174" s="48" t="n"/>
      <c r="S174" s="51" t="n"/>
      <c r="T174" s="52">
        <f>IF(G174="","",G174)</f>
        <v/>
      </c>
      <c r="U174" s="52">
        <f>IF(C174="","",IF(OR(ISNUMBER(SEARCH("Director",C174)),ISNUMBER(SEARCH("Lead",C174)),ISNUMBER(SEARCH("Senior",C174)),ISNUMBER(SEARCH("Sr.",C174))),90,IF(OR(ISNUMBER(SEARCH("Manager",C174)),ISNUMBER(SEARCH("Program",C174)),ISNUMBER(SEARCH("Portfolio",C174))),80,60)))</f>
        <v/>
      </c>
      <c r="V174" s="52">
        <f>IF(C174="","",IF(OR(ISNUMBER(SEARCH("AI",C174)),ISNUMBER(SEARCH("Data",C174)),ISNUMBER(SEARCH("Technology",C174)),ISNUMBER(SEARCH("Technical",C174)),ISNUMBER(SEARCH("Engineering",C174)),ISNUMBER(SEARCH("Platform",C174)),ISNUMBER(SEARCH("Portfolio",C174))),85,65))</f>
        <v/>
      </c>
      <c r="W174" s="52">
        <f>IF(C174="","",MIN(100,50+IF(S174&lt;&gt;"",25,0)+IF(R174&lt;&gt;"",15,0)+IF(P174&lt;&gt;"",10,0)))</f>
        <v/>
      </c>
      <c r="X174" s="52">
        <f>IF(E174="","",IF(OR(E174="Canada",E174="CA"),100,IF(OR(E174="United States",E174="USA",E174="US"),IF(J174="Yes",45,75),65)))</f>
        <v/>
      </c>
      <c r="Y174" s="52">
        <f>IF(C174="","",IF(OR(ISNUMBER(SEARCH("Program",C174)),ISNUMBER(SEARCH("Portfolio",C174)),ISNUMBER(SEARCH("Operations",C174)),ISNUMBER(SEARCH("Transformation",C174))),85,IF(ISNUMBER(SEARCH("Product Manager",C174)),55,70)))</f>
        <v/>
      </c>
      <c r="Z174" s="52">
        <f>IF(C174="","",MIN(100,IF(I174&lt;&gt;"",60,10)+IF(AA174&gt;0,MIN(40,AA174*20),0)))</f>
        <v/>
      </c>
      <c r="AA174" s="52">
        <f>IF(T174="","",ROUND(T174*25%+U174*15%+V174*10%+W174*15%+X174*15%+Y174*10%+Z174*10%,0))</f>
        <v/>
      </c>
      <c r="AB174" s="52">
        <f>IF(AA174="","",IF(X174&lt;50,"Selective / Barrier",IF(AA174&gt;=80,"Tier 1 - Pursue",IF(AA174&gt;=70,"Tier 2 - Pursue",IF(AA174&gt;=60,"Tier 3 - Selective","Do Not Pursue")))))</f>
        <v/>
      </c>
      <c r="AC174" s="52">
        <f>IF(C174="","",IF(I174&lt;&gt;"","Named Contact",IF(AA174&gt;0,"Outreach Logged","Cold")))</f>
        <v/>
      </c>
      <c r="AD174" s="52">
        <f>IF(B174="","",COUNTIF('Outreach Log'!$C:$C,B174))</f>
        <v/>
      </c>
      <c r="AE174" s="52">
        <f>IF(A174="","",IF(OR(K174="Rejected",K174="Closed"),IF(L174&lt;&gt;"",L174-A174,TODAY()-A174),TODAY()-A174))</f>
        <v/>
      </c>
      <c r="AF174" s="52">
        <f>IF(C174="","",IF(AND(AA174&gt;=70,AC174="Cold"),"High-fit but cold",IF(AND(AA174&lt;60,K174="Applied"),"Low-fit application",IF(AND(AA174&gt;=70,OR(AC174="Named Contact",AC174="Outreach Logged")),"Targeted pursuit","Review"))))</f>
        <v/>
      </c>
    </row>
    <row r="175" ht="15" customHeight="1" s="44">
      <c r="A175" s="53" t="n">
        <v>46224</v>
      </c>
      <c r="B175" s="48" t="inlineStr">
        <is>
          <t>S.i. Systems</t>
        </is>
      </c>
      <c r="C175" s="48" t="inlineStr">
        <is>
          <t>PM Elections Specialist - public sector</t>
        </is>
      </c>
      <c r="D175" s="48" t="inlineStr">
        <is>
          <t>Sr TPM</t>
        </is>
      </c>
      <c r="E175" s="48" t="inlineStr">
        <is>
          <t>Canada</t>
        </is>
      </c>
      <c r="F175" s="48" t="inlineStr">
        <is>
          <t>Toronto</t>
        </is>
      </c>
      <c r="G175" s="48" t="n">
        <v>40</v>
      </c>
      <c r="H175" s="48" t="inlineStr">
        <is>
          <t>Recruiter</t>
        </is>
      </c>
      <c r="I175" s="48" t="n"/>
      <c r="J175" s="48" t="inlineStr">
        <is>
          <t>No</t>
        </is>
      </c>
      <c r="K175" s="49" t="inlineStr">
        <is>
          <t>Rejected</t>
        </is>
      </c>
      <c r="L175" s="50" t="n">
        <v>46231</v>
      </c>
      <c r="M175" s="48">
        <f>IF(OR(L94="",A94=""),"",L94-A94)</f>
        <v/>
      </c>
      <c r="N175" s="48" t="n"/>
      <c r="O175" s="48" t="n"/>
      <c r="P175" s="51" t="inlineStr">
        <is>
          <t>Another candidate selected</t>
        </is>
      </c>
      <c r="Q175" s="48" t="n"/>
      <c r="R175" s="48" t="n"/>
      <c r="S175" s="51" t="n"/>
      <c r="T175" s="52">
        <f>IF(G175="","",G175)</f>
        <v/>
      </c>
      <c r="U175" s="52">
        <f>IF(C175="","",IF(OR(ISNUMBER(SEARCH("Director",C175)),ISNUMBER(SEARCH("Lead",C175)),ISNUMBER(SEARCH("Senior",C175)),ISNUMBER(SEARCH("Sr.",C175))),90,IF(OR(ISNUMBER(SEARCH("Manager",C175)),ISNUMBER(SEARCH("Program",C175)),ISNUMBER(SEARCH("Portfolio",C175))),80,60)))</f>
        <v/>
      </c>
      <c r="V175" s="52">
        <f>IF(C175="","",IF(OR(ISNUMBER(SEARCH("AI",C175)),ISNUMBER(SEARCH("Data",C175)),ISNUMBER(SEARCH("Technology",C175)),ISNUMBER(SEARCH("Technical",C175)),ISNUMBER(SEARCH("Engineering",C175)),ISNUMBER(SEARCH("Platform",C175)),ISNUMBER(SEARCH("Portfolio",C175))),85,65))</f>
        <v/>
      </c>
      <c r="W175" s="52">
        <f>IF(C175="","",MIN(100,50+IF(S175&lt;&gt;"",25,0)+IF(R175&lt;&gt;"",15,0)+IF(P175&lt;&gt;"",10,0)))</f>
        <v/>
      </c>
      <c r="X175" s="52">
        <f>IF(E175="","",IF(OR(E175="Canada",E175="CA"),100,IF(OR(E175="United States",E175="USA",E175="US"),IF(J175="Yes",45,75),65)))</f>
        <v/>
      </c>
      <c r="Y175" s="52">
        <f>IF(C175="","",IF(OR(ISNUMBER(SEARCH("Program",C175)),ISNUMBER(SEARCH("Portfolio",C175)),ISNUMBER(SEARCH("Operations",C175)),ISNUMBER(SEARCH("Transformation",C175))),85,IF(ISNUMBER(SEARCH("Product Manager",C175)),55,70)))</f>
        <v/>
      </c>
      <c r="Z175" s="52">
        <f>IF(C175="","",MIN(100,IF(I175&lt;&gt;"",60,10)+IF(AA175&gt;0,MIN(40,AA175*20),0)))</f>
        <v/>
      </c>
      <c r="AA175" s="52">
        <f>IF(T175="","",ROUND(T175*25%+U175*15%+V175*10%+W175*15%+X175*15%+Y175*10%+Z175*10%,0))</f>
        <v/>
      </c>
      <c r="AB175" s="52">
        <f>IF(AA175="","",IF(X175&lt;50,"Selective / Barrier",IF(AA175&gt;=80,"Tier 1 - Pursue",IF(AA175&gt;=70,"Tier 2 - Pursue",IF(AA175&gt;=60,"Tier 3 - Selective","Do Not Pursue")))))</f>
        <v/>
      </c>
      <c r="AC175" s="52">
        <f>IF(C175="","",IF(I175&lt;&gt;"","Named Contact",IF(AA175&gt;0,"Outreach Logged","Cold")))</f>
        <v/>
      </c>
      <c r="AD175" s="52">
        <f>IF(B175="","",COUNTIF('Outreach Log'!$C:$C,B175))</f>
        <v/>
      </c>
      <c r="AE175" s="52">
        <f>IF(A175="","",IF(OR(K175="Rejected",K175="Closed"),IF(L175&lt;&gt;"",L175-A175,TODAY()-A175),TODAY()-A175))</f>
        <v/>
      </c>
      <c r="AF175" s="52">
        <f>IF(C175="","",IF(AND(AA175&gt;=70,AC175="Cold"),"High-fit but cold",IF(AND(AA175&lt;60,K175="Applied"),"Low-fit application",IF(AND(AA175&gt;=70,OR(AC175="Named Contact",AC175="Outreach Logged")),"Targeted pursuit","Review"))))</f>
        <v/>
      </c>
    </row>
    <row r="176" ht="15" customHeight="1" s="44">
      <c r="A176" s="53" t="n">
        <v>46224</v>
      </c>
      <c r="B176" s="48" t="inlineStr">
        <is>
          <t>S.i. Systems</t>
        </is>
      </c>
      <c r="C176" s="48" t="inlineStr">
        <is>
          <t>Sr. PM</t>
        </is>
      </c>
      <c r="D176" s="48" t="inlineStr">
        <is>
          <t>Sr TPM</t>
        </is>
      </c>
      <c r="E176" s="48" t="inlineStr">
        <is>
          <t>Canada</t>
        </is>
      </c>
      <c r="F176" s="48" t="inlineStr">
        <is>
          <t>Toronto</t>
        </is>
      </c>
      <c r="G176" s="48" t="n">
        <v>70</v>
      </c>
      <c r="H176" s="48" t="inlineStr">
        <is>
          <t>Recruiter</t>
        </is>
      </c>
      <c r="I176" s="48" t="n"/>
      <c r="J176" s="48" t="inlineStr">
        <is>
          <t>No</t>
        </is>
      </c>
      <c r="K176" s="55" t="inlineStr">
        <is>
          <t>Applied</t>
        </is>
      </c>
      <c r="L176" s="48" t="n"/>
      <c r="M176" s="48">
        <f>IF(OR(L95="",A95=""),"",L95-A95)</f>
        <v/>
      </c>
      <c r="N176" s="48" t="n"/>
      <c r="O176" s="48" t="n"/>
      <c r="P176" s="51" t="inlineStr">
        <is>
          <t>Applicant 4 - early</t>
        </is>
      </c>
      <c r="Q176" s="48" t="n"/>
      <c r="R176" s="48" t="n"/>
      <c r="S176" s="51" t="n"/>
      <c r="T176" s="52">
        <f>IF(G176="","",G176)</f>
        <v/>
      </c>
      <c r="U176" s="52">
        <f>IF(C176="","",IF(OR(ISNUMBER(SEARCH("Director",C176)),ISNUMBER(SEARCH("Lead",C176)),ISNUMBER(SEARCH("Senior",C176)),ISNUMBER(SEARCH("Sr.",C176))),90,IF(OR(ISNUMBER(SEARCH("Manager",C176)),ISNUMBER(SEARCH("Program",C176)),ISNUMBER(SEARCH("Portfolio",C176))),80,60)))</f>
        <v/>
      </c>
      <c r="V176" s="52">
        <f>IF(C176="","",IF(OR(ISNUMBER(SEARCH("AI",C176)),ISNUMBER(SEARCH("Data",C176)),ISNUMBER(SEARCH("Technology",C176)),ISNUMBER(SEARCH("Technical",C176)),ISNUMBER(SEARCH("Engineering",C176)),ISNUMBER(SEARCH("Platform",C176)),ISNUMBER(SEARCH("Portfolio",C176))),85,65))</f>
        <v/>
      </c>
      <c r="W176" s="52">
        <f>IF(C176="","",MIN(100,50+IF(S176&lt;&gt;"",25,0)+IF(R176&lt;&gt;"",15,0)+IF(P176&lt;&gt;"",10,0)))</f>
        <v/>
      </c>
      <c r="X176" s="52">
        <f>IF(E176="","",IF(OR(E176="Canada",E176="CA"),100,IF(OR(E176="United States",E176="USA",E176="US"),IF(J176="Yes",45,75),65)))</f>
        <v/>
      </c>
      <c r="Y176" s="52">
        <f>IF(C176="","",IF(OR(ISNUMBER(SEARCH("Program",C176)),ISNUMBER(SEARCH("Portfolio",C176)),ISNUMBER(SEARCH("Operations",C176)),ISNUMBER(SEARCH("Transformation",C176))),85,IF(ISNUMBER(SEARCH("Product Manager",C176)),55,70)))</f>
        <v/>
      </c>
      <c r="Z176" s="52">
        <f>IF(C176="","",MIN(100,IF(I176&lt;&gt;"",60,10)+IF(AA176&gt;0,MIN(40,AA176*20),0)))</f>
        <v/>
      </c>
      <c r="AA176" s="52">
        <f>IF(T176="","",ROUND(T176*25%+U176*15%+V176*10%+W176*15%+X176*15%+Y176*10%+Z176*10%,0))</f>
        <v/>
      </c>
      <c r="AB176" s="52">
        <f>IF(AA176="","",IF(X176&lt;50,"Selective / Barrier",IF(AA176&gt;=80,"Tier 1 - Pursue",IF(AA176&gt;=70,"Tier 2 - Pursue",IF(AA176&gt;=60,"Tier 3 - Selective","Do Not Pursue")))))</f>
        <v/>
      </c>
      <c r="AC176" s="52">
        <f>IF(C176="","",IF(I176&lt;&gt;"","Named Contact",IF(AA176&gt;0,"Outreach Logged","Cold")))</f>
        <v/>
      </c>
      <c r="AD176" s="52">
        <f>IF(B176="","",COUNTIF('Outreach Log'!$C:$C,B176))</f>
        <v/>
      </c>
      <c r="AE176" s="52">
        <f>IF(A176="","",IF(OR(K176="Rejected",K176="Closed"),IF(L176&lt;&gt;"",L176-A176,TODAY()-A176),TODAY()-A176))</f>
        <v/>
      </c>
      <c r="AF176" s="52">
        <f>IF(C176="","",IF(AND(AA176&gt;=70,AC176="Cold"),"High-fit but cold",IF(AND(AA176&lt;60,K176="Applied"),"Low-fit application",IF(AND(AA176&gt;=70,OR(AC176="Named Contact",AC176="Outreach Logged")),"Targeted pursuit","Review"))))</f>
        <v/>
      </c>
    </row>
    <row r="177" ht="15" customHeight="1" s="44">
      <c r="A177" s="53" t="n">
        <v>46224</v>
      </c>
      <c r="B177" s="48" t="inlineStr">
        <is>
          <t>NVIDIA</t>
        </is>
      </c>
      <c r="C177" s="48" t="inlineStr">
        <is>
          <t>Senior Project Delivery Manager - NVIS</t>
        </is>
      </c>
      <c r="D177" s="48" t="inlineStr">
        <is>
          <t>Sr Manager</t>
        </is>
      </c>
      <c r="E177" s="48" t="inlineStr">
        <is>
          <t>US</t>
        </is>
      </c>
      <c r="F177" s="48" t="inlineStr">
        <is>
          <t>Santa Clara</t>
        </is>
      </c>
      <c r="G177" s="48" t="n">
        <v>60</v>
      </c>
      <c r="H177" s="48" t="inlineStr">
        <is>
          <t>Cold Portal</t>
        </is>
      </c>
      <c r="I177" s="48" t="n"/>
      <c r="J177" s="48" t="inlineStr">
        <is>
          <t>Yes</t>
        </is>
      </c>
      <c r="K177" s="49" t="inlineStr">
        <is>
          <t>Rejected</t>
        </is>
      </c>
      <c r="L177" s="50" t="n">
        <v>46238</v>
      </c>
      <c r="M177" s="48">
        <f>IF(OR(L96="",A96=""),"",L96-A96)</f>
        <v/>
      </c>
      <c r="N177" s="48" t="n"/>
      <c r="O177" s="48" t="n"/>
      <c r="P177" s="51" t="inlineStr">
        <is>
          <t>Rejection email received 08/04</t>
        </is>
      </c>
      <c r="Q177" s="48" t="n"/>
      <c r="R177" s="48" t="n"/>
      <c r="S177" s="51" t="n"/>
      <c r="T177" s="52">
        <f>IF(G177="","",G177)</f>
        <v/>
      </c>
      <c r="U177" s="52">
        <f>IF(C177="","",IF(OR(ISNUMBER(SEARCH("Director",C177)),ISNUMBER(SEARCH("Lead",C177)),ISNUMBER(SEARCH("Senior",C177)),ISNUMBER(SEARCH("Sr.",C177))),90,IF(OR(ISNUMBER(SEARCH("Manager",C177)),ISNUMBER(SEARCH("Program",C177)),ISNUMBER(SEARCH("Portfolio",C177))),80,60)))</f>
        <v/>
      </c>
      <c r="V177" s="52">
        <f>IF(C177="","",IF(OR(ISNUMBER(SEARCH("AI",C177)),ISNUMBER(SEARCH("Data",C177)),ISNUMBER(SEARCH("Technology",C177)),ISNUMBER(SEARCH("Technical",C177)),ISNUMBER(SEARCH("Engineering",C177)),ISNUMBER(SEARCH("Platform",C177)),ISNUMBER(SEARCH("Portfolio",C177))),85,65))</f>
        <v/>
      </c>
      <c r="W177" s="52">
        <f>IF(C177="","",MIN(100,50+IF(S177&lt;&gt;"",25,0)+IF(R177&lt;&gt;"",15,0)+IF(P177&lt;&gt;"",10,0)))</f>
        <v/>
      </c>
      <c r="X177" s="52">
        <f>IF(E177="","",IF(OR(E177="Canada",E177="CA"),100,IF(OR(E177="United States",E177="USA",E177="US"),IF(J177="Yes",45,75),65)))</f>
        <v/>
      </c>
      <c r="Y177" s="52">
        <f>IF(C177="","",IF(OR(ISNUMBER(SEARCH("Program",C177)),ISNUMBER(SEARCH("Portfolio",C177)),ISNUMBER(SEARCH("Operations",C177)),ISNUMBER(SEARCH("Transformation",C177))),85,IF(ISNUMBER(SEARCH("Product Manager",C177)),55,70)))</f>
        <v/>
      </c>
      <c r="Z177" s="52">
        <f>IF(C177="","",MIN(100,IF(I177&lt;&gt;"",60,10)+IF(AA177&gt;0,MIN(40,AA177*20),0)))</f>
        <v/>
      </c>
      <c r="AA177" s="52">
        <f>IF(T177="","",ROUND(T177*25%+U177*15%+V177*10%+W177*15%+X177*15%+Y177*10%+Z177*10%,0))</f>
        <v/>
      </c>
      <c r="AB177" s="52">
        <f>IF(AA177="","",IF(X177&lt;50,"Selective / Barrier",IF(AA177&gt;=80,"Tier 1 - Pursue",IF(AA177&gt;=70,"Tier 2 - Pursue",IF(AA177&gt;=60,"Tier 3 - Selective","Do Not Pursue")))))</f>
        <v/>
      </c>
      <c r="AC177" s="52">
        <f>IF(C177="","",IF(I177&lt;&gt;"","Named Contact",IF(AA177&gt;0,"Outreach Logged","Cold")))</f>
        <v/>
      </c>
      <c r="AD177" s="52">
        <f>IF(B177="","",COUNTIF('Outreach Log'!$C:$C,B177))</f>
        <v/>
      </c>
      <c r="AE177" s="52">
        <f>IF(A177="","",IF(OR(K177="Rejected",K177="Closed"),IF(L177&lt;&gt;"",L177-A177,TODAY()-A177),TODAY()-A177))</f>
        <v/>
      </c>
      <c r="AF177" s="52">
        <f>IF(C177="","",IF(AND(AA177&gt;=70,AC177="Cold"),"High-fit but cold",IF(AND(AA177&lt;60,K177="Applied"),"Low-fit application",IF(AND(AA177&gt;=70,OR(AC177="Named Contact",AC177="Outreach Logged")),"Targeted pursuit","Review"))))</f>
        <v/>
      </c>
    </row>
    <row r="178" ht="15" customHeight="1" s="44">
      <c r="A178" s="53" t="n">
        <v>46224</v>
      </c>
      <c r="B178" s="48" t="inlineStr">
        <is>
          <t>Google</t>
        </is>
      </c>
      <c r="C178" s="48" t="inlineStr">
        <is>
          <t>Technical Program Manager, PDI - Sunnyvale</t>
        </is>
      </c>
      <c r="D178" s="48" t="inlineStr">
        <is>
          <t>Senior</t>
        </is>
      </c>
      <c r="E178" s="48" t="inlineStr">
        <is>
          <t>US</t>
        </is>
      </c>
      <c r="F178" s="48" t="inlineStr">
        <is>
          <t>Sunnyvale, CA</t>
        </is>
      </c>
      <c r="G178" s="48" t="n">
        <v>30</v>
      </c>
      <c r="H178" s="48" t="inlineStr">
        <is>
          <t>Cold Portal</t>
        </is>
      </c>
      <c r="I178" s="48" t="n"/>
      <c r="J178" s="48" t="inlineStr">
        <is>
          <t>Yes</t>
        </is>
      </c>
      <c r="K178" s="57" t="inlineStr">
        <is>
          <t>Screening</t>
        </is>
      </c>
      <c r="L178" s="50" t="n">
        <v>46225</v>
      </c>
      <c r="M178" s="48">
        <f>IF(OR(L97="",A97=""),"",L97-A97)</f>
        <v/>
      </c>
      <c r="N178" s="48" t="inlineStr">
        <is>
          <t>Low fit (30%) due to hardware/infrastructure domain mismatch — confirm with Elena whether to continue pursuing given already at Interviewing/Hiring Assessment stage</t>
        </is>
      </c>
      <c r="O178" s="48" t="n"/>
      <c r="P178" s="51" t="inlineStr">
        <is>
          <t>Application confirmed retroactively via Elena. Role: Technical Program Manager, PDI - Sunnyvale (PDI = Product Development Insertion — a Technical Infrastructure/Data Center Infrastructure hardware NPI program role). Submitted 2026-07-21. Progressed to Google Hiring Assessment stage per email from noreply@google.com dated 2026-07-22, assessment due 2026-07-26 11:08am ET. No JD review or fit-score assessment on file for this specific role. Note: this is a separate, earlier Google application from the Search Content Platform Program Manager role reviewed with Elena on 2026-08-24 (that one has not yet been submitted — tailored resume built: Resume_ElenaShchetinina_GoogleSearchContentPlatform.docx). Sponsorship question marked Yes as this is a US-based role (Sunnyvale, CA) — worth confirming actual sponsorship requirement stated in the application with Elena. FIT SCORE ~30%: significant domain mismatch — this role centers on hardware/data-center infrastructure product lifecycle management (construction, NPI, physical infrastructure deployment, hardware ROI/cost-benefit analysis), not software/enterprise-systems program management. Elena's cross-functional leadership, executive communication, and risk/schedule management strengths transfer, but she has no hardware/data-center/NPI domain experience. Much weaker match than the separate Google Search Content Platform PM role reviewed same day (~55-60% fit). CORRECTION 2026-08-25: status changed from 'Interviewing' to 'Screening' — the Hiring Assessment is a screening step, not a live interview; Elena confirmed she has no active interviews in the US.</t>
        </is>
      </c>
      <c r="Q178" s="50" t="n">
        <v>46225</v>
      </c>
      <c r="R178" s="48" t="n"/>
      <c r="S178" s="51" t="n"/>
      <c r="T178" s="52">
        <f>IF(G178="","",G178)</f>
        <v/>
      </c>
      <c r="U178" s="52">
        <f>IF(C178="","",IF(OR(ISNUMBER(SEARCH("Director",C178)),ISNUMBER(SEARCH("Lead",C178)),ISNUMBER(SEARCH("Senior",C178)),ISNUMBER(SEARCH("Sr.",C178))),90,IF(OR(ISNUMBER(SEARCH("Manager",C178)),ISNUMBER(SEARCH("Program",C178)),ISNUMBER(SEARCH("Portfolio",C178))),80,60)))</f>
        <v/>
      </c>
      <c r="V178" s="52">
        <f>IF(C178="","",IF(OR(ISNUMBER(SEARCH("AI",C178)),ISNUMBER(SEARCH("Data",C178)),ISNUMBER(SEARCH("Technology",C178)),ISNUMBER(SEARCH("Technical",C178)),ISNUMBER(SEARCH("Engineering",C178)),ISNUMBER(SEARCH("Platform",C178)),ISNUMBER(SEARCH("Portfolio",C178))),85,65))</f>
        <v/>
      </c>
      <c r="W178" s="52">
        <f>IF(C178="","",MIN(100,50+IF(S178&lt;&gt;"",25,0)+IF(R178&lt;&gt;"",15,0)+IF(P178&lt;&gt;"",10,0)))</f>
        <v/>
      </c>
      <c r="X178" s="52">
        <f>IF(E178="","",IF(OR(E178="Canada",E178="CA"),100,IF(OR(E178="United States",E178="USA",E178="US"),IF(J178="Yes",45,75),65)))</f>
        <v/>
      </c>
      <c r="Y178" s="52">
        <f>IF(C178="","",IF(OR(ISNUMBER(SEARCH("Program",C178)),ISNUMBER(SEARCH("Portfolio",C178)),ISNUMBER(SEARCH("Operations",C178)),ISNUMBER(SEARCH("Transformation",C178))),85,IF(ISNUMBER(SEARCH("Product Manager",C178)),55,70)))</f>
        <v/>
      </c>
      <c r="Z178" s="52">
        <f>IF(C178="","",MIN(100,IF(I178&lt;&gt;"",60,10)+IF(AA178&gt;0,MIN(40,AA178*20),0)))</f>
        <v/>
      </c>
      <c r="AA178" s="52">
        <f>IF(T178="","",ROUND(T178*25%+U178*15%+V178*10%+W178*15%+X178*15%+Y178*10%+Z178*10%,0))</f>
        <v/>
      </c>
      <c r="AB178" s="52">
        <f>IF(AA178="","",IF(X178&lt;50,"Selective / Barrier",IF(AA178&gt;=80,"Tier 1 - Pursue",IF(AA178&gt;=70,"Tier 2 - Pursue",IF(AA178&gt;=60,"Tier 3 - Selective","Do Not Pursue")))))</f>
        <v/>
      </c>
      <c r="AC178" s="52">
        <f>IF(C178="","",IF(I178&lt;&gt;"","Named Contact",IF(AA178&gt;0,"Outreach Logged","Cold")))</f>
        <v/>
      </c>
      <c r="AD178" s="52">
        <f>IF(B178="","",COUNTIF('Outreach Log'!$C:$C,B178))</f>
        <v/>
      </c>
      <c r="AE178" s="52">
        <f>IF(A178="","",IF(OR(K178="Rejected",K178="Closed"),IF(L178&lt;&gt;"",L178-A178,TODAY()-A178),TODAY()-A178))</f>
        <v/>
      </c>
      <c r="AF178" s="52">
        <f>IF(C178="","",IF(AND(AA178&gt;=70,AC178="Cold"),"High-fit but cold",IF(AND(AA178&lt;60,K178="Applied"),"Low-fit application",IF(AND(AA178&gt;=70,OR(AC178="Named Contact",AC178="Outreach Logged")),"Targeted pursuit","Review"))))</f>
        <v/>
      </c>
    </row>
    <row r="179" ht="15" customHeight="1" s="44">
      <c r="A179" s="53" t="n">
        <v>46224</v>
      </c>
      <c r="B179" s="48" t="inlineStr">
        <is>
          <t>OpenAI</t>
        </is>
      </c>
      <c r="C179" s="48" t="inlineStr">
        <is>
          <t>(role unspecified)</t>
        </is>
      </c>
      <c r="D179" s="48" t="n"/>
      <c r="E179" s="48" t="n"/>
      <c r="F179" s="48" t="n"/>
      <c r="G179" s="48" t="n"/>
      <c r="H179" s="48" t="n"/>
      <c r="I179" s="48" t="n"/>
      <c r="J179" s="48" t="n"/>
      <c r="K179" s="55" t="inlineStr">
        <is>
          <t>Applied</t>
        </is>
      </c>
      <c r="L179" s="48" t="n"/>
      <c r="M179" s="48" t="n"/>
      <c r="N179" s="48" t="n"/>
      <c r="O179" s="48" t="n"/>
      <c r="P179" s="51" t="n"/>
      <c r="Q179" s="48" t="n"/>
      <c r="R179" s="48" t="n"/>
      <c r="S179" s="51" t="n"/>
      <c r="T179" s="52">
        <f>IF(G179="","",G179)</f>
        <v/>
      </c>
      <c r="U179" s="52">
        <f>IF(C179="","",IF(OR(ISNUMBER(SEARCH("Director",C179)),ISNUMBER(SEARCH("Lead",C179)),ISNUMBER(SEARCH("Senior",C179)),ISNUMBER(SEARCH("Sr.",C179))),90,IF(OR(ISNUMBER(SEARCH("Manager",C179)),ISNUMBER(SEARCH("Program",C179)),ISNUMBER(SEARCH("Portfolio",C179))),80,60)))</f>
        <v/>
      </c>
      <c r="V179" s="52">
        <f>IF(C179="","",IF(OR(ISNUMBER(SEARCH("AI",C179)),ISNUMBER(SEARCH("Data",C179)),ISNUMBER(SEARCH("Technology",C179)),ISNUMBER(SEARCH("Technical",C179)),ISNUMBER(SEARCH("Engineering",C179)),ISNUMBER(SEARCH("Platform",C179)),ISNUMBER(SEARCH("Portfolio",C179))),85,65))</f>
        <v/>
      </c>
      <c r="W179" s="52">
        <f>IF(C179="","",MIN(100,50+IF(S179&lt;&gt;"",25,0)+IF(R179&lt;&gt;"",15,0)+IF(P179&lt;&gt;"",10,0)))</f>
        <v/>
      </c>
      <c r="X179" s="52">
        <f>IF(E179="","",IF(OR(E179="Canada",E179="CA"),100,IF(OR(E179="United States",E179="USA",E179="US"),IF(J179="Yes",45,75),65)))</f>
        <v/>
      </c>
      <c r="Y179" s="52">
        <f>IF(C179="","",IF(OR(ISNUMBER(SEARCH("Program",C179)),ISNUMBER(SEARCH("Portfolio",C179)),ISNUMBER(SEARCH("Operations",C179)),ISNUMBER(SEARCH("Transformation",C179))),85,IF(ISNUMBER(SEARCH("Product Manager",C179)),55,70)))</f>
        <v/>
      </c>
      <c r="Z179" s="52">
        <f>IF(C179="","",MIN(100,IF(I179&lt;&gt;"",60,10)+IF(AA179&gt;0,MIN(40,AA179*20),0)))</f>
        <v/>
      </c>
      <c r="AA179" s="52">
        <f>IF(T179="","",ROUND(T179*25%+U179*15%+V179*10%+W179*15%+X179*15%+Y179*10%+Z179*10%,0))</f>
        <v/>
      </c>
      <c r="AB179" s="52">
        <f>IF(AA179="","",IF(X179&lt;50,"Selective / Barrier",IF(AA179&gt;=80,"Tier 1 - Pursue",IF(AA179&gt;=70,"Tier 2 - Pursue",IF(AA179&gt;=60,"Tier 3 - Selective","Do Not Pursue")))))</f>
        <v/>
      </c>
      <c r="AC179" s="52">
        <f>IF(C179="","",IF(I179&lt;&gt;"","Named Contact",IF(AA179&gt;0,"Outreach Logged","Cold")))</f>
        <v/>
      </c>
      <c r="AD179" s="52">
        <f>IF(B179="","",COUNTIF('Outreach Log'!$C:$C,B179))</f>
        <v/>
      </c>
      <c r="AE179" s="52">
        <f>IF(A179="","",IF(OR(K179="Rejected",K179="Closed"),IF(L179&lt;&gt;"",L179-A179,TODAY()-A179),TODAY()-A179))</f>
        <v/>
      </c>
      <c r="AF179" s="52">
        <f>IF(C179="","",IF(AND(AA179&gt;=70,AC179="Cold"),"High-fit but cold",IF(AND(AA179&lt;60,K179="Applied"),"Low-fit application",IF(AND(AA179&gt;=70,OR(AC179="Named Contact",AC179="Outreach Logged")),"Targeted pursuit","Review"))))</f>
        <v/>
      </c>
    </row>
    <row r="180" ht="15" customHeight="1" s="44">
      <c r="A180" s="53" t="n">
        <v>46224</v>
      </c>
      <c r="B180" s="48" t="inlineStr">
        <is>
          <t>Walmart</t>
        </is>
      </c>
      <c r="C180" s="48" t="inlineStr">
        <is>
          <t>(role unspecified)</t>
        </is>
      </c>
      <c r="D180" s="48" t="n"/>
      <c r="E180" s="48" t="n"/>
      <c r="F180" s="48" t="n"/>
      <c r="G180" s="48" t="n"/>
      <c r="H180" s="48" t="n"/>
      <c r="I180" s="48" t="n"/>
      <c r="J180" s="48" t="n"/>
      <c r="K180" s="55" t="inlineStr">
        <is>
          <t>Applied</t>
        </is>
      </c>
      <c r="L180" s="48" t="n"/>
      <c r="M180" s="48" t="n"/>
      <c r="N180" s="48" t="n"/>
      <c r="O180" s="48" t="n"/>
      <c r="P180" s="51" t="n"/>
      <c r="Q180" s="48" t="n"/>
      <c r="R180" s="48" t="n"/>
      <c r="S180" s="51" t="n"/>
      <c r="T180" s="52">
        <f>IF(G180="","",G180)</f>
        <v/>
      </c>
      <c r="U180" s="52">
        <f>IF(C180="","",IF(OR(ISNUMBER(SEARCH("Director",C180)),ISNUMBER(SEARCH("Lead",C180)),ISNUMBER(SEARCH("Senior",C180)),ISNUMBER(SEARCH("Sr.",C180))),90,IF(OR(ISNUMBER(SEARCH("Manager",C180)),ISNUMBER(SEARCH("Program",C180)),ISNUMBER(SEARCH("Portfolio",C180))),80,60)))</f>
        <v/>
      </c>
      <c r="V180" s="52">
        <f>IF(C180="","",IF(OR(ISNUMBER(SEARCH("AI",C180)),ISNUMBER(SEARCH("Data",C180)),ISNUMBER(SEARCH("Technology",C180)),ISNUMBER(SEARCH("Technical",C180)),ISNUMBER(SEARCH("Engineering",C180)),ISNUMBER(SEARCH("Platform",C180)),ISNUMBER(SEARCH("Portfolio",C180))),85,65))</f>
        <v/>
      </c>
      <c r="W180" s="52">
        <f>IF(C180="","",MIN(100,50+IF(S180&lt;&gt;"",25,0)+IF(R180&lt;&gt;"",15,0)+IF(P180&lt;&gt;"",10,0)))</f>
        <v/>
      </c>
      <c r="X180" s="52">
        <f>IF(E180="","",IF(OR(E180="Canada",E180="CA"),100,IF(OR(E180="United States",E180="USA",E180="US"),IF(J180="Yes",45,75),65)))</f>
        <v/>
      </c>
      <c r="Y180" s="52">
        <f>IF(C180="","",IF(OR(ISNUMBER(SEARCH("Program",C180)),ISNUMBER(SEARCH("Portfolio",C180)),ISNUMBER(SEARCH("Operations",C180)),ISNUMBER(SEARCH("Transformation",C180))),85,IF(ISNUMBER(SEARCH("Product Manager",C180)),55,70)))</f>
        <v/>
      </c>
      <c r="Z180" s="52">
        <f>IF(C180="","",MIN(100,IF(I180&lt;&gt;"",60,10)+IF(AA180&gt;0,MIN(40,AA180*20),0)))</f>
        <v/>
      </c>
      <c r="AA180" s="52">
        <f>IF(T180="","",ROUND(T180*25%+U180*15%+V180*10%+W180*15%+X180*15%+Y180*10%+Z180*10%,0))</f>
        <v/>
      </c>
      <c r="AB180" s="52">
        <f>IF(AA180="","",IF(X180&lt;50,"Selective / Barrier",IF(AA180&gt;=80,"Tier 1 - Pursue",IF(AA180&gt;=70,"Tier 2 - Pursue",IF(AA180&gt;=60,"Tier 3 - Selective","Do Not Pursue")))))</f>
        <v/>
      </c>
      <c r="AC180" s="52">
        <f>IF(C180="","",IF(I180&lt;&gt;"","Named Contact",IF(AA180&gt;0,"Outreach Logged","Cold")))</f>
        <v/>
      </c>
      <c r="AD180" s="52">
        <f>IF(B180="","",COUNTIF('Outreach Log'!$C:$C,B180))</f>
        <v/>
      </c>
      <c r="AE180" s="52">
        <f>IF(A180="","",IF(OR(K180="Rejected",K180="Closed"),IF(L180&lt;&gt;"",L180-A180,TODAY()-A180),TODAY()-A180))</f>
        <v/>
      </c>
      <c r="AF180" s="52">
        <f>IF(C180="","",IF(AND(AA180&gt;=70,AC180="Cold"),"High-fit but cold",IF(AND(AA180&lt;60,K180="Applied"),"Low-fit application",IF(AND(AA180&gt;=70,OR(AC180="Named Contact",AC180="Outreach Logged")),"Targeted pursuit","Review"))))</f>
        <v/>
      </c>
    </row>
    <row r="181" ht="15" customHeight="1" s="44">
      <c r="A181" s="53" t="n">
        <v>46224</v>
      </c>
      <c r="B181" s="48" t="inlineStr">
        <is>
          <t>Vector Institute</t>
        </is>
      </c>
      <c r="C181" s="48" t="inlineStr">
        <is>
          <t>Senior Project Manager</t>
        </is>
      </c>
      <c r="D181" s="48" t="n"/>
      <c r="E181" s="48" t="n"/>
      <c r="F181" s="48" t="n"/>
      <c r="G181" s="48" t="n"/>
      <c r="H181" s="48" t="n"/>
      <c r="I181" s="48" t="n"/>
      <c r="J181" s="48" t="n"/>
      <c r="K181" s="55" t="inlineStr">
        <is>
          <t>Applied</t>
        </is>
      </c>
      <c r="L181" s="48" t="n"/>
      <c r="M181" s="48" t="n"/>
      <c r="N181" s="48" t="n"/>
      <c r="O181" s="48" t="n"/>
      <c r="P181" s="51" t="n"/>
      <c r="Q181" s="48" t="n"/>
      <c r="R181" s="48" t="n"/>
      <c r="S181" s="51" t="n"/>
      <c r="T181" s="52">
        <f>IF(G181="","",G181)</f>
        <v/>
      </c>
      <c r="U181" s="52">
        <f>IF(C181="","",IF(OR(ISNUMBER(SEARCH("Director",C181)),ISNUMBER(SEARCH("Lead",C181)),ISNUMBER(SEARCH("Senior",C181)),ISNUMBER(SEARCH("Sr.",C181))),90,IF(OR(ISNUMBER(SEARCH("Manager",C181)),ISNUMBER(SEARCH("Program",C181)),ISNUMBER(SEARCH("Portfolio",C181))),80,60)))</f>
        <v/>
      </c>
      <c r="V181" s="52">
        <f>IF(C181="","",IF(OR(ISNUMBER(SEARCH("AI",C181)),ISNUMBER(SEARCH("Data",C181)),ISNUMBER(SEARCH("Technology",C181)),ISNUMBER(SEARCH("Technical",C181)),ISNUMBER(SEARCH("Engineering",C181)),ISNUMBER(SEARCH("Platform",C181)),ISNUMBER(SEARCH("Portfolio",C181))),85,65))</f>
        <v/>
      </c>
      <c r="W181" s="52">
        <f>IF(C181="","",MIN(100,50+IF(S181&lt;&gt;"",25,0)+IF(R181&lt;&gt;"",15,0)+IF(P181&lt;&gt;"",10,0)))</f>
        <v/>
      </c>
      <c r="X181" s="52">
        <f>IF(E181="","",IF(OR(E181="Canada",E181="CA"),100,IF(OR(E181="United States",E181="USA",E181="US"),IF(J181="Yes",45,75),65)))</f>
        <v/>
      </c>
      <c r="Y181" s="52">
        <f>IF(C181="","",IF(OR(ISNUMBER(SEARCH("Program",C181)),ISNUMBER(SEARCH("Portfolio",C181)),ISNUMBER(SEARCH("Operations",C181)),ISNUMBER(SEARCH("Transformation",C181))),85,IF(ISNUMBER(SEARCH("Product Manager",C181)),55,70)))</f>
        <v/>
      </c>
      <c r="Z181" s="52">
        <f>IF(C181="","",MIN(100,IF(I181&lt;&gt;"",60,10)+IF(AA181&gt;0,MIN(40,AA181*20),0)))</f>
        <v/>
      </c>
      <c r="AA181" s="52">
        <f>IF(T181="","",ROUND(T181*25%+U181*15%+V181*10%+W181*15%+X181*15%+Y181*10%+Z181*10%,0))</f>
        <v/>
      </c>
      <c r="AB181" s="52">
        <f>IF(AA181="","",IF(X181&lt;50,"Selective / Barrier",IF(AA181&gt;=80,"Tier 1 - Pursue",IF(AA181&gt;=70,"Tier 2 - Pursue",IF(AA181&gt;=60,"Tier 3 - Selective","Do Not Pursue")))))</f>
        <v/>
      </c>
      <c r="AC181" s="52">
        <f>IF(C181="","",IF(I181&lt;&gt;"","Named Contact",IF(AA181&gt;0,"Outreach Logged","Cold")))</f>
        <v/>
      </c>
      <c r="AD181" s="52">
        <f>IF(B181="","",COUNTIF('Outreach Log'!$C:$C,B181))</f>
        <v/>
      </c>
      <c r="AE181" s="52">
        <f>IF(A181="","",IF(OR(K181="Rejected",K181="Closed"),IF(L181&lt;&gt;"",L181-A181,TODAY()-A181),TODAY()-A181))</f>
        <v/>
      </c>
      <c r="AF181" s="52">
        <f>IF(C181="","",IF(AND(AA181&gt;=70,AC181="Cold"),"High-fit but cold",IF(AND(AA181&lt;60,K181="Applied"),"Low-fit application",IF(AND(AA181&gt;=70,OR(AC181="Named Contact",AC181="Outreach Logged")),"Targeted pursuit","Review"))))</f>
        <v/>
      </c>
    </row>
    <row r="182" ht="15" customHeight="1" s="44">
      <c r="A182" s="53" t="n">
        <v>46224</v>
      </c>
      <c r="B182" s="48" t="inlineStr">
        <is>
          <t>SI Systems (contract)</t>
        </is>
      </c>
      <c r="C182" s="48" t="inlineStr">
        <is>
          <t>Project Manager - Enterprise Fraud Transformation (41261)</t>
        </is>
      </c>
      <c r="D182" s="48" t="n"/>
      <c r="E182" s="48" t="n"/>
      <c r="F182" s="48" t="n"/>
      <c r="G182" s="48" t="n"/>
      <c r="H182" s="48" t="n"/>
      <c r="I182" s="48" t="n"/>
      <c r="J182" s="48" t="n"/>
      <c r="K182" s="55" t="inlineStr">
        <is>
          <t>Applied</t>
        </is>
      </c>
      <c r="L182" s="48" t="n"/>
      <c r="M182" s="48" t="n"/>
      <c r="N182" s="48" t="n"/>
      <c r="O182" s="48" t="n"/>
      <c r="P182" s="51" t="n"/>
      <c r="Q182" s="48" t="n"/>
      <c r="R182" s="48" t="n"/>
      <c r="S182" s="51" t="n"/>
      <c r="T182" s="52">
        <f>IF(G182="","",G182)</f>
        <v/>
      </c>
      <c r="U182" s="52">
        <f>IF(C182="","",IF(OR(ISNUMBER(SEARCH("Director",C182)),ISNUMBER(SEARCH("Lead",C182)),ISNUMBER(SEARCH("Senior",C182)),ISNUMBER(SEARCH("Sr.",C182))),90,IF(OR(ISNUMBER(SEARCH("Manager",C182)),ISNUMBER(SEARCH("Program",C182)),ISNUMBER(SEARCH("Portfolio",C182))),80,60)))</f>
        <v/>
      </c>
      <c r="V182" s="52">
        <f>IF(C182="","",IF(OR(ISNUMBER(SEARCH("AI",C182)),ISNUMBER(SEARCH("Data",C182)),ISNUMBER(SEARCH("Technology",C182)),ISNUMBER(SEARCH("Technical",C182)),ISNUMBER(SEARCH("Engineering",C182)),ISNUMBER(SEARCH("Platform",C182)),ISNUMBER(SEARCH("Portfolio",C182))),85,65))</f>
        <v/>
      </c>
      <c r="W182" s="52">
        <f>IF(C182="","",MIN(100,50+IF(S182&lt;&gt;"",25,0)+IF(R182&lt;&gt;"",15,0)+IF(P182&lt;&gt;"",10,0)))</f>
        <v/>
      </c>
      <c r="X182" s="52">
        <f>IF(E182="","",IF(OR(E182="Canada",E182="CA"),100,IF(OR(E182="United States",E182="USA",E182="US"),IF(J182="Yes",45,75),65)))</f>
        <v/>
      </c>
      <c r="Y182" s="52">
        <f>IF(C182="","",IF(OR(ISNUMBER(SEARCH("Program",C182)),ISNUMBER(SEARCH("Portfolio",C182)),ISNUMBER(SEARCH("Operations",C182)),ISNUMBER(SEARCH("Transformation",C182))),85,IF(ISNUMBER(SEARCH("Product Manager",C182)),55,70)))</f>
        <v/>
      </c>
      <c r="Z182" s="52">
        <f>IF(C182="","",MIN(100,IF(I182&lt;&gt;"",60,10)+IF(AA182&gt;0,MIN(40,AA182*20),0)))</f>
        <v/>
      </c>
      <c r="AA182" s="52">
        <f>IF(T182="","",ROUND(T182*25%+U182*15%+V182*10%+W182*15%+X182*15%+Y182*10%+Z182*10%,0))</f>
        <v/>
      </c>
      <c r="AB182" s="52">
        <f>IF(AA182="","",IF(X182&lt;50,"Selective / Barrier",IF(AA182&gt;=80,"Tier 1 - Pursue",IF(AA182&gt;=70,"Tier 2 - Pursue",IF(AA182&gt;=60,"Tier 3 - Selective","Do Not Pursue")))))</f>
        <v/>
      </c>
      <c r="AC182" s="52">
        <f>IF(C182="","",IF(I182&lt;&gt;"","Named Contact",IF(AA182&gt;0,"Outreach Logged","Cold")))</f>
        <v/>
      </c>
      <c r="AD182" s="52">
        <f>IF(B182="","",COUNTIF('Outreach Log'!$C:$C,B182))</f>
        <v/>
      </c>
      <c r="AE182" s="52">
        <f>IF(A182="","",IF(OR(K182="Rejected",K182="Closed"),IF(L182&lt;&gt;"",L182-A182,TODAY()-A182),TODAY()-A182))</f>
        <v/>
      </c>
      <c r="AF182" s="52">
        <f>IF(C182="","",IF(AND(AA182&gt;=70,AC182="Cold"),"High-fit but cold",IF(AND(AA182&lt;60,K182="Applied"),"Low-fit application",IF(AND(AA182&gt;=70,OR(AC182="Named Contact",AC182="Outreach Logged")),"Targeted pursuit","Review"))))</f>
        <v/>
      </c>
    </row>
    <row r="183" ht="15" customHeight="1" s="44">
      <c r="A183" s="53" t="n">
        <v>46224</v>
      </c>
      <c r="B183" s="48" t="inlineStr">
        <is>
          <t>SI Systems (contract)</t>
        </is>
      </c>
      <c r="C183" s="48" t="inlineStr">
        <is>
          <t>Project Manager (Elections Specialist)</t>
        </is>
      </c>
      <c r="D183" s="48" t="n"/>
      <c r="E183" s="48" t="n"/>
      <c r="F183" s="48" t="n"/>
      <c r="G183" s="48" t="n"/>
      <c r="H183" s="48" t="n"/>
      <c r="I183" s="48" t="n"/>
      <c r="J183" s="48" t="n"/>
      <c r="K183" s="49" t="inlineStr">
        <is>
          <t>Rejected</t>
        </is>
      </c>
      <c r="L183" s="48" t="n"/>
      <c r="M183" s="48" t="n"/>
      <c r="N183" s="48" t="n"/>
      <c r="O183" s="48" t="n"/>
      <c r="P183" s="51" t="inlineStr">
        <is>
          <t>Duplicate (see Jul 28 rejection) | Reconciled to Rejected per Greenhouse-based tracker cross-check (Sep 20, 2026); was: Applied.</t>
        </is>
      </c>
      <c r="Q183" s="48" t="n"/>
      <c r="R183" s="48" t="n"/>
      <c r="S183" s="51" t="n"/>
      <c r="T183" s="52">
        <f>IF(G183="","",G183)</f>
        <v/>
      </c>
      <c r="U183" s="52">
        <f>IF(C183="","",IF(OR(ISNUMBER(SEARCH("Director",C183)),ISNUMBER(SEARCH("Lead",C183)),ISNUMBER(SEARCH("Senior",C183)),ISNUMBER(SEARCH("Sr.",C183))),90,IF(OR(ISNUMBER(SEARCH("Manager",C183)),ISNUMBER(SEARCH("Program",C183)),ISNUMBER(SEARCH("Portfolio",C183))),80,60)))</f>
        <v/>
      </c>
      <c r="V183" s="52">
        <f>IF(C183="","",IF(OR(ISNUMBER(SEARCH("AI",C183)),ISNUMBER(SEARCH("Data",C183)),ISNUMBER(SEARCH("Technology",C183)),ISNUMBER(SEARCH("Technical",C183)),ISNUMBER(SEARCH("Engineering",C183)),ISNUMBER(SEARCH("Platform",C183)),ISNUMBER(SEARCH("Portfolio",C183))),85,65))</f>
        <v/>
      </c>
      <c r="W183" s="52">
        <f>IF(C183="","",MIN(100,50+IF(S183&lt;&gt;"",25,0)+IF(R183&lt;&gt;"",15,0)+IF(P183&lt;&gt;"",10,0)))</f>
        <v/>
      </c>
      <c r="X183" s="52">
        <f>IF(E183="","",IF(OR(E183="Canada",E183="CA"),100,IF(OR(E183="United States",E183="USA",E183="US"),IF(J183="Yes",45,75),65)))</f>
        <v/>
      </c>
      <c r="Y183" s="52">
        <f>IF(C183="","",IF(OR(ISNUMBER(SEARCH("Program",C183)),ISNUMBER(SEARCH("Portfolio",C183)),ISNUMBER(SEARCH("Operations",C183)),ISNUMBER(SEARCH("Transformation",C183))),85,IF(ISNUMBER(SEARCH("Product Manager",C183)),55,70)))</f>
        <v/>
      </c>
      <c r="Z183" s="52">
        <f>IF(C183="","",MIN(100,IF(I183&lt;&gt;"",60,10)+IF(AA183&gt;0,MIN(40,AA183*20),0)))</f>
        <v/>
      </c>
      <c r="AA183" s="52">
        <f>IF(T183="","",ROUND(T183*25%+U183*15%+V183*10%+W183*15%+X183*15%+Y183*10%+Z183*10%,0))</f>
        <v/>
      </c>
      <c r="AB183" s="52">
        <f>IF(AA183="","",IF(X183&lt;50,"Selective / Barrier",IF(AA183&gt;=80,"Tier 1 - Pursue",IF(AA183&gt;=70,"Tier 2 - Pursue",IF(AA183&gt;=60,"Tier 3 - Selective","Do Not Pursue")))))</f>
        <v/>
      </c>
      <c r="AC183" s="52">
        <f>IF(C183="","",IF(I183&lt;&gt;"","Named Contact",IF(AA183&gt;0,"Outreach Logged","Cold")))</f>
        <v/>
      </c>
      <c r="AD183" s="52">
        <f>IF(B183="","",COUNTIF('Outreach Log'!$C:$C,B183))</f>
        <v/>
      </c>
      <c r="AE183" s="52">
        <f>IF(A183="","",IF(OR(K183="Rejected",K183="Closed"),IF(L183&lt;&gt;"",L183-A183,TODAY()-A183),TODAY()-A183))</f>
        <v/>
      </c>
      <c r="AF183" s="52">
        <f>IF(C183="","",IF(AND(AA183&gt;=70,AC183="Cold"),"High-fit but cold",IF(AND(AA183&lt;60,K183="Applied"),"Low-fit application",IF(AND(AA183&gt;=70,OR(AC183="Named Contact",AC183="Outreach Logged")),"Targeted pursuit","Review"))))</f>
        <v/>
      </c>
    </row>
    <row r="184" ht="15" customHeight="1" s="44">
      <c r="A184" s="53" t="n">
        <v>46224</v>
      </c>
      <c r="B184" s="48" t="inlineStr">
        <is>
          <t>SI Systems (contract)</t>
        </is>
      </c>
      <c r="C184" s="48" t="inlineStr">
        <is>
          <t>Sr. PM (154049)</t>
        </is>
      </c>
      <c r="D184" s="48" t="n"/>
      <c r="E184" s="48" t="n"/>
      <c r="F184" s="48" t="n"/>
      <c r="G184" s="48" t="n"/>
      <c r="H184" s="48" t="n"/>
      <c r="I184" s="48" t="n"/>
      <c r="J184" s="48" t="n"/>
      <c r="K184" s="55" t="inlineStr">
        <is>
          <t>Applied</t>
        </is>
      </c>
      <c r="L184" s="48" t="n"/>
      <c r="M184" s="48" t="n"/>
      <c r="N184" s="48" t="n"/>
      <c r="O184" s="48" t="n"/>
      <c r="P184" s="51" t="n"/>
      <c r="Q184" s="48" t="n"/>
      <c r="R184" s="48" t="n"/>
      <c r="S184" s="51" t="n"/>
      <c r="T184" s="52">
        <f>IF(G184="","",G184)</f>
        <v/>
      </c>
      <c r="U184" s="52">
        <f>IF(C184="","",IF(OR(ISNUMBER(SEARCH("Director",C184)),ISNUMBER(SEARCH("Lead",C184)),ISNUMBER(SEARCH("Senior",C184)),ISNUMBER(SEARCH("Sr.",C184))),90,IF(OR(ISNUMBER(SEARCH("Manager",C184)),ISNUMBER(SEARCH("Program",C184)),ISNUMBER(SEARCH("Portfolio",C184))),80,60)))</f>
        <v/>
      </c>
      <c r="V184" s="52">
        <f>IF(C184="","",IF(OR(ISNUMBER(SEARCH("AI",C184)),ISNUMBER(SEARCH("Data",C184)),ISNUMBER(SEARCH("Technology",C184)),ISNUMBER(SEARCH("Technical",C184)),ISNUMBER(SEARCH("Engineering",C184)),ISNUMBER(SEARCH("Platform",C184)),ISNUMBER(SEARCH("Portfolio",C184))),85,65))</f>
        <v/>
      </c>
      <c r="W184" s="52">
        <f>IF(C184="","",MIN(100,50+IF(S184&lt;&gt;"",25,0)+IF(R184&lt;&gt;"",15,0)+IF(P184&lt;&gt;"",10,0)))</f>
        <v/>
      </c>
      <c r="X184" s="52">
        <f>IF(E184="","",IF(OR(E184="Canada",E184="CA"),100,IF(OR(E184="United States",E184="USA",E184="US"),IF(J184="Yes",45,75),65)))</f>
        <v/>
      </c>
      <c r="Y184" s="52">
        <f>IF(C184="","",IF(OR(ISNUMBER(SEARCH("Program",C184)),ISNUMBER(SEARCH("Portfolio",C184)),ISNUMBER(SEARCH("Operations",C184)),ISNUMBER(SEARCH("Transformation",C184))),85,IF(ISNUMBER(SEARCH("Product Manager",C184)),55,70)))</f>
        <v/>
      </c>
      <c r="Z184" s="52">
        <f>IF(C184="","",MIN(100,IF(I184&lt;&gt;"",60,10)+IF(AA184&gt;0,MIN(40,AA184*20),0)))</f>
        <v/>
      </c>
      <c r="AA184" s="52">
        <f>IF(T184="","",ROUND(T184*25%+U184*15%+V184*10%+W184*15%+X184*15%+Y184*10%+Z184*10%,0))</f>
        <v/>
      </c>
      <c r="AB184" s="52">
        <f>IF(AA184="","",IF(X184&lt;50,"Selective / Barrier",IF(AA184&gt;=80,"Tier 1 - Pursue",IF(AA184&gt;=70,"Tier 2 - Pursue",IF(AA184&gt;=60,"Tier 3 - Selective","Do Not Pursue")))))</f>
        <v/>
      </c>
      <c r="AC184" s="52">
        <f>IF(C184="","",IF(I184&lt;&gt;"","Named Contact",IF(AA184&gt;0,"Outreach Logged","Cold")))</f>
        <v/>
      </c>
      <c r="AD184" s="52">
        <f>IF(B184="","",COUNTIF('Outreach Log'!$C:$C,B184))</f>
        <v/>
      </c>
      <c r="AE184" s="52">
        <f>IF(A184="","",IF(OR(K184="Rejected",K184="Closed"),IF(L184&lt;&gt;"",L184-A184,TODAY()-A184),TODAY()-A184))</f>
        <v/>
      </c>
      <c r="AF184" s="52">
        <f>IF(C184="","",IF(AND(AA184&gt;=70,AC184="Cold"),"High-fit but cold",IF(AND(AA184&lt;60,K184="Applied"),"Low-fit application",IF(AND(AA184&gt;=70,OR(AC184="Named Contact",AC184="Outreach Logged")),"Targeted pursuit","Review"))))</f>
        <v/>
      </c>
    </row>
    <row r="185" ht="15" customHeight="1" s="44">
      <c r="A185" s="53" t="n">
        <v>46225</v>
      </c>
      <c r="B185" s="48" t="inlineStr">
        <is>
          <t>Affirm</t>
        </is>
      </c>
      <c r="C185" s="48" t="inlineStr">
        <is>
          <t>Staff Technical Program Manager</t>
        </is>
      </c>
      <c r="D185" s="48" t="inlineStr">
        <is>
          <t>Principal</t>
        </is>
      </c>
      <c r="E185" s="48" t="inlineStr">
        <is>
          <t>US</t>
        </is>
      </c>
      <c r="F185" s="48" t="inlineStr">
        <is>
          <t>Remote US</t>
        </is>
      </c>
      <c r="G185" s="48" t="n">
        <v>65</v>
      </c>
      <c r="H185" s="48" t="inlineStr">
        <is>
          <t>Cold Portal</t>
        </is>
      </c>
      <c r="I185" s="48" t="n"/>
      <c r="J185" s="48" t="inlineStr">
        <is>
          <t>Yes</t>
        </is>
      </c>
      <c r="K185" s="55" t="inlineStr">
        <is>
          <t>Applied</t>
        </is>
      </c>
      <c r="L185" s="48" t="n"/>
      <c r="M185" s="48">
        <f>IF(OR(L98="",A98=""),"",L98-A98)</f>
        <v/>
      </c>
      <c r="N185" s="48" t="n"/>
      <c r="O185" s="48" t="n"/>
      <c r="P185" s="51" t="n"/>
      <c r="Q185" s="48" t="n"/>
      <c r="R185" s="48" t="n"/>
      <c r="S185" s="51" t="n"/>
      <c r="T185" s="52">
        <f>IF(G185="","",G185)</f>
        <v/>
      </c>
      <c r="U185" s="52">
        <f>IF(C185="","",IF(OR(ISNUMBER(SEARCH("Director",C185)),ISNUMBER(SEARCH("Lead",C185)),ISNUMBER(SEARCH("Senior",C185)),ISNUMBER(SEARCH("Sr.",C185))),90,IF(OR(ISNUMBER(SEARCH("Manager",C185)),ISNUMBER(SEARCH("Program",C185)),ISNUMBER(SEARCH("Portfolio",C185))),80,60)))</f>
        <v/>
      </c>
      <c r="V185" s="52">
        <f>IF(C185="","",IF(OR(ISNUMBER(SEARCH("AI",C185)),ISNUMBER(SEARCH("Data",C185)),ISNUMBER(SEARCH("Technology",C185)),ISNUMBER(SEARCH("Technical",C185)),ISNUMBER(SEARCH("Engineering",C185)),ISNUMBER(SEARCH("Platform",C185)),ISNUMBER(SEARCH("Portfolio",C185))),85,65))</f>
        <v/>
      </c>
      <c r="W185" s="52">
        <f>IF(C185="","",MIN(100,50+IF(S185&lt;&gt;"",25,0)+IF(R185&lt;&gt;"",15,0)+IF(P185&lt;&gt;"",10,0)))</f>
        <v/>
      </c>
      <c r="X185" s="52">
        <f>IF(E185="","",IF(OR(E185="Canada",E185="CA"),100,IF(OR(E185="United States",E185="USA",E185="US"),IF(J185="Yes",45,75),65)))</f>
        <v/>
      </c>
      <c r="Y185" s="52">
        <f>IF(C185="","",IF(OR(ISNUMBER(SEARCH("Program",C185)),ISNUMBER(SEARCH("Portfolio",C185)),ISNUMBER(SEARCH("Operations",C185)),ISNUMBER(SEARCH("Transformation",C185))),85,IF(ISNUMBER(SEARCH("Product Manager",C185)),55,70)))</f>
        <v/>
      </c>
      <c r="Z185" s="52">
        <f>IF(C185="","",MIN(100,IF(I185&lt;&gt;"",60,10)+IF(AA185&gt;0,MIN(40,AA185*20),0)))</f>
        <v/>
      </c>
      <c r="AA185" s="52">
        <f>IF(T185="","",ROUND(T185*25%+U185*15%+V185*10%+W185*15%+X185*15%+Y185*10%+Z185*10%,0))</f>
        <v/>
      </c>
      <c r="AB185" s="52">
        <f>IF(AA185="","",IF(X185&lt;50,"Selective / Barrier",IF(AA185&gt;=80,"Tier 1 - Pursue",IF(AA185&gt;=70,"Tier 2 - Pursue",IF(AA185&gt;=60,"Tier 3 - Selective","Do Not Pursue")))))</f>
        <v/>
      </c>
      <c r="AC185" s="52">
        <f>IF(C185="","",IF(I185&lt;&gt;"","Named Contact",IF(AA185&gt;0,"Outreach Logged","Cold")))</f>
        <v/>
      </c>
      <c r="AD185" s="52">
        <f>IF(B185="","",COUNTIF('Outreach Log'!$C:$C,B185))</f>
        <v/>
      </c>
      <c r="AE185" s="52">
        <f>IF(A185="","",IF(OR(K185="Rejected",K185="Closed"),IF(L185&lt;&gt;"",L185-A185,TODAY()-A185),TODAY()-A185))</f>
        <v/>
      </c>
      <c r="AF185" s="52">
        <f>IF(C185="","",IF(AND(AA185&gt;=70,AC185="Cold"),"High-fit but cold",IF(AND(AA185&lt;60,K185="Applied"),"Low-fit application",IF(AND(AA185&gt;=70,OR(AC185="Named Contact",AC185="Outreach Logged")),"Targeted pursuit","Review"))))</f>
        <v/>
      </c>
    </row>
    <row r="186" ht="15" customHeight="1" s="44">
      <c r="A186" s="53" t="n">
        <v>46225</v>
      </c>
      <c r="B186" s="48" t="inlineStr">
        <is>
          <t>Slalom</t>
        </is>
      </c>
      <c r="C186" s="48" t="inlineStr">
        <is>
          <t>Data &amp; AI - Data Program Delivery Lead</t>
        </is>
      </c>
      <c r="D186" s="48" t="inlineStr">
        <is>
          <t>Sr Manager</t>
        </is>
      </c>
      <c r="E186" s="48" t="inlineStr">
        <is>
          <t>Canada</t>
        </is>
      </c>
      <c r="F186" s="48" t="inlineStr">
        <is>
          <t>Toronto</t>
        </is>
      </c>
      <c r="G186" s="48" t="n">
        <v>85</v>
      </c>
      <c r="H186" s="48" t="inlineStr">
        <is>
          <t>Cold Portal</t>
        </is>
      </c>
      <c r="I186" s="48" t="n"/>
      <c r="J186" s="48" t="inlineStr">
        <is>
          <t>No</t>
        </is>
      </c>
      <c r="K186" s="49" t="inlineStr">
        <is>
          <t>Rejected</t>
        </is>
      </c>
      <c r="L186" s="50" t="n">
        <v>46268</v>
      </c>
      <c r="M186" s="48">
        <f>IF(OR(L100="",A100=""),"",L100-A100)</f>
        <v/>
      </c>
      <c r="N186" s="48" t="n"/>
      <c r="O186" s="48" t="n"/>
      <c r="P186" s="51" t="inlineStr">
        <is>
          <t>Consulting - good fit profile | REJECTED 2026-09-03 via noreply_recruiting@recruiting.slalom.com ("Thank You for your Interest in Slalom"): "we have chosen to move forward with another candidate for the Data Program Delivery Lead - Data Solution Owner." 43 days from application (7/22) to response (9/3).</t>
        </is>
      </c>
      <c r="Q186" s="48" t="n"/>
      <c r="R186" s="48" t="n"/>
      <c r="S186" s="51" t="n"/>
      <c r="T186" s="52">
        <f>IF(G186="","",G186)</f>
        <v/>
      </c>
      <c r="U186" s="52">
        <f>IF(C186="","",IF(OR(ISNUMBER(SEARCH("Director",C186)),ISNUMBER(SEARCH("Lead",C186)),ISNUMBER(SEARCH("Senior",C186)),ISNUMBER(SEARCH("Sr.",C186))),90,IF(OR(ISNUMBER(SEARCH("Manager",C186)),ISNUMBER(SEARCH("Program",C186)),ISNUMBER(SEARCH("Portfolio",C186))),80,60)))</f>
        <v/>
      </c>
      <c r="V186" s="52">
        <f>IF(C186="","",IF(OR(ISNUMBER(SEARCH("AI",C186)),ISNUMBER(SEARCH("Data",C186)),ISNUMBER(SEARCH("Technology",C186)),ISNUMBER(SEARCH("Technical",C186)),ISNUMBER(SEARCH("Engineering",C186)),ISNUMBER(SEARCH("Platform",C186)),ISNUMBER(SEARCH("Portfolio",C186))),85,65))</f>
        <v/>
      </c>
      <c r="W186" s="52">
        <f>IF(C186="","",MIN(100,50+IF(S186&lt;&gt;"",25,0)+IF(R186&lt;&gt;"",15,0)+IF(P186&lt;&gt;"",10,0)))</f>
        <v/>
      </c>
      <c r="X186" s="52">
        <f>IF(E186="","",IF(OR(E186="Canada",E186="CA"),100,IF(OR(E186="United States",E186="USA",E186="US"),IF(J186="Yes",45,75),65)))</f>
        <v/>
      </c>
      <c r="Y186" s="52">
        <f>IF(C186="","",IF(OR(ISNUMBER(SEARCH("Program",C186)),ISNUMBER(SEARCH("Portfolio",C186)),ISNUMBER(SEARCH("Operations",C186)),ISNUMBER(SEARCH("Transformation",C186))),85,IF(ISNUMBER(SEARCH("Product Manager",C186)),55,70)))</f>
        <v/>
      </c>
      <c r="Z186" s="52">
        <f>IF(C186="","",MIN(100,IF(I186&lt;&gt;"",60,10)+IF(AA186&gt;0,MIN(40,AA186*20),0)))</f>
        <v/>
      </c>
      <c r="AA186" s="52">
        <f>IF(T186="","",ROUND(T186*25%+U186*15%+V186*10%+W186*15%+X186*15%+Y186*10%+Z186*10%,0))</f>
        <v/>
      </c>
      <c r="AB186" s="52">
        <f>IF(AA186="","",IF(X186&lt;50,"Selective / Barrier",IF(AA186&gt;=80,"Tier 1 - Pursue",IF(AA186&gt;=70,"Tier 2 - Pursue",IF(AA186&gt;=60,"Tier 3 - Selective","Do Not Pursue")))))</f>
        <v/>
      </c>
      <c r="AC186" s="52">
        <f>IF(C186="","",IF(I186&lt;&gt;"","Named Contact",IF(AA186&gt;0,"Outreach Logged","Cold")))</f>
        <v/>
      </c>
      <c r="AD186" s="52">
        <f>IF(B186="","",COUNTIF('Outreach Log'!$C:$C,B186))</f>
        <v/>
      </c>
      <c r="AE186" s="52">
        <f>IF(A186="","",IF(OR(K186="Rejected",K186="Closed"),IF(L186&lt;&gt;"",L186-A186,TODAY()-A186),TODAY()-A186))</f>
        <v/>
      </c>
      <c r="AF186" s="52">
        <f>IF(C186="","",IF(AND(AA186&gt;=70,AC186="Cold"),"High-fit but cold",IF(AND(AA186&lt;60,K186="Applied"),"Low-fit application",IF(AND(AA186&gt;=70,OR(AC186="Named Contact",AC186="Outreach Logged")),"Targeted pursuit","Review"))))</f>
        <v/>
      </c>
    </row>
    <row r="187" ht="15" customHeight="1" s="44">
      <c r="A187" s="53" t="n">
        <v>46225</v>
      </c>
      <c r="B187" s="48" t="inlineStr">
        <is>
          <t>Serena &amp; Lily</t>
        </is>
      </c>
      <c r="C187" s="48" t="inlineStr">
        <is>
          <t>Director, Enterprise Project Delivery &amp; Product Management</t>
        </is>
      </c>
      <c r="D187" s="48" t="inlineStr">
        <is>
          <t>Director</t>
        </is>
      </c>
      <c r="E187" s="48" t="inlineStr">
        <is>
          <t>US</t>
        </is>
      </c>
      <c r="F187" s="48" t="inlineStr">
        <is>
          <t>Remote</t>
        </is>
      </c>
      <c r="G187" s="48" t="n">
        <v>70</v>
      </c>
      <c r="H187" s="48" t="inlineStr">
        <is>
          <t>LinkedIn</t>
        </is>
      </c>
      <c r="I187" s="48" t="n"/>
      <c r="J187" s="48" t="inlineStr">
        <is>
          <t>Yes</t>
        </is>
      </c>
      <c r="K187" s="56" t="inlineStr">
        <is>
          <t>Ghosted (30d+)</t>
        </is>
      </c>
      <c r="L187" s="48" t="n"/>
      <c r="M187" s="48">
        <f>IF(OR(L101="",A101=""),"",L101-A101)</f>
        <v/>
      </c>
      <c r="N187" s="48" t="n"/>
      <c r="O187" s="48" t="n"/>
      <c r="P187" s="51" t="inlineStr">
        <is>
          <t>Remote. LinkedIn shows no longer accepting applications.</t>
        </is>
      </c>
      <c r="Q187" s="48" t="n"/>
      <c r="R187" s="48" t="n"/>
      <c r="S187" s="51" t="n"/>
      <c r="T187" s="52">
        <f>IF(G187="","",G187)</f>
        <v/>
      </c>
      <c r="U187" s="52">
        <f>IF(C187="","",IF(OR(ISNUMBER(SEARCH("Director",C187)),ISNUMBER(SEARCH("Lead",C187)),ISNUMBER(SEARCH("Senior",C187)),ISNUMBER(SEARCH("Sr.",C187))),90,IF(OR(ISNUMBER(SEARCH("Manager",C187)),ISNUMBER(SEARCH("Program",C187)),ISNUMBER(SEARCH("Portfolio",C187))),80,60)))</f>
        <v/>
      </c>
      <c r="V187" s="52">
        <f>IF(C187="","",IF(OR(ISNUMBER(SEARCH("AI",C187)),ISNUMBER(SEARCH("Data",C187)),ISNUMBER(SEARCH("Technology",C187)),ISNUMBER(SEARCH("Technical",C187)),ISNUMBER(SEARCH("Engineering",C187)),ISNUMBER(SEARCH("Platform",C187)),ISNUMBER(SEARCH("Portfolio",C187))),85,65))</f>
        <v/>
      </c>
      <c r="W187" s="52">
        <f>IF(C187="","",MIN(100,50+IF(S187&lt;&gt;"",25,0)+IF(R187&lt;&gt;"",15,0)+IF(P187&lt;&gt;"",10,0)))</f>
        <v/>
      </c>
      <c r="X187" s="52">
        <f>IF(E187="","",IF(OR(E187="Canada",E187="CA"),100,IF(OR(E187="United States",E187="USA",E187="US"),IF(J187="Yes",45,75),65)))</f>
        <v/>
      </c>
      <c r="Y187" s="52">
        <f>IF(C187="","",IF(OR(ISNUMBER(SEARCH("Program",C187)),ISNUMBER(SEARCH("Portfolio",C187)),ISNUMBER(SEARCH("Operations",C187)),ISNUMBER(SEARCH("Transformation",C187))),85,IF(ISNUMBER(SEARCH("Product Manager",C187)),55,70)))</f>
        <v/>
      </c>
      <c r="Z187" s="52">
        <f>IF(C187="","",MIN(100,IF(I187&lt;&gt;"",60,10)+IF(AA187&gt;0,MIN(40,AA187*20),0)))</f>
        <v/>
      </c>
      <c r="AA187" s="52">
        <f>IF(T187="","",ROUND(T187*25%+U187*15%+V187*10%+W187*15%+X187*15%+Y187*10%+Z187*10%,0))</f>
        <v/>
      </c>
      <c r="AB187" s="52">
        <f>IF(AA187="","",IF(X187&lt;50,"Selective / Barrier",IF(AA187&gt;=80,"Tier 1 - Pursue",IF(AA187&gt;=70,"Tier 2 - Pursue",IF(AA187&gt;=60,"Tier 3 - Selective","Do Not Pursue")))))</f>
        <v/>
      </c>
      <c r="AC187" s="52">
        <f>IF(C187="","",IF(I187&lt;&gt;"","Named Contact",IF(AA187&gt;0,"Outreach Logged","Cold")))</f>
        <v/>
      </c>
      <c r="AD187" s="52">
        <f>IF(B187="","",COUNTIF('Outreach Log'!$C:$C,B187))</f>
        <v/>
      </c>
      <c r="AE187" s="52">
        <f>IF(A187="","",IF(OR(K187="Rejected",K187="Closed"),IF(L187&lt;&gt;"",L187-A187,TODAY()-A187),TODAY()-A187))</f>
        <v/>
      </c>
      <c r="AF187" s="52">
        <f>IF(C187="","",IF(AND(AA187&gt;=70,AC187="Cold"),"High-fit but cold",IF(AND(AA187&lt;60,K187="Applied"),"Low-fit application",IF(AND(AA187&gt;=70,OR(AC187="Named Contact",AC187="Outreach Logged")),"Targeted pursuit","Review"))))</f>
        <v/>
      </c>
    </row>
    <row r="188" ht="15" customHeight="1" s="44">
      <c r="A188" s="53" t="n">
        <v>46225</v>
      </c>
      <c r="B188" s="48" t="inlineStr">
        <is>
          <t>Walmart</t>
        </is>
      </c>
      <c r="C188" s="48" t="inlineStr">
        <is>
          <t>Director, Technical Program Management</t>
        </is>
      </c>
      <c r="D188" s="48" t="inlineStr">
        <is>
          <t>Director</t>
        </is>
      </c>
      <c r="E188" s="48" t="inlineStr">
        <is>
          <t>US</t>
        </is>
      </c>
      <c r="F188" s="48" t="inlineStr">
        <is>
          <t>Sunnyvale, CA</t>
        </is>
      </c>
      <c r="G188" s="48" t="n">
        <v>74</v>
      </c>
      <c r="H188" s="48" t="inlineStr">
        <is>
          <t>LinkedIn</t>
        </is>
      </c>
      <c r="I188" s="48" t="n"/>
      <c r="J188" s="48" t="inlineStr">
        <is>
          <t>Yes</t>
        </is>
      </c>
      <c r="K188" s="56" t="inlineStr">
        <is>
          <t>Ghosted (30d+)</t>
        </is>
      </c>
      <c r="L188" s="48" t="n"/>
      <c r="M188" s="48">
        <f>IF(OR(L102="",A102=""),"",L102-A102)</f>
        <v/>
      </c>
      <c r="N188" s="48" t="n"/>
      <c r="O188" s="48" t="n"/>
      <c r="P188" s="51" t="inlineStr">
        <is>
          <t>On-site. Distinct from Walmart TPM role (US) already logged. LinkedIn shows no longer accepting applications.</t>
        </is>
      </c>
      <c r="Q188" s="48" t="n"/>
      <c r="R188" s="48" t="n"/>
      <c r="S188" s="51" t="n"/>
      <c r="T188" s="52">
        <f>IF(G188="","",G188)</f>
        <v/>
      </c>
      <c r="U188" s="52">
        <f>IF(C188="","",IF(OR(ISNUMBER(SEARCH("Director",C188)),ISNUMBER(SEARCH("Lead",C188)),ISNUMBER(SEARCH("Senior",C188)),ISNUMBER(SEARCH("Sr.",C188))),90,IF(OR(ISNUMBER(SEARCH("Manager",C188)),ISNUMBER(SEARCH("Program",C188)),ISNUMBER(SEARCH("Portfolio",C188))),80,60)))</f>
        <v/>
      </c>
      <c r="V188" s="52">
        <f>IF(C188="","",IF(OR(ISNUMBER(SEARCH("AI",C188)),ISNUMBER(SEARCH("Data",C188)),ISNUMBER(SEARCH("Technology",C188)),ISNUMBER(SEARCH("Technical",C188)),ISNUMBER(SEARCH("Engineering",C188)),ISNUMBER(SEARCH("Platform",C188)),ISNUMBER(SEARCH("Portfolio",C188))),85,65))</f>
        <v/>
      </c>
      <c r="W188" s="52">
        <f>IF(C188="","",MIN(100,50+IF(S188&lt;&gt;"",25,0)+IF(R188&lt;&gt;"",15,0)+IF(P188&lt;&gt;"",10,0)))</f>
        <v/>
      </c>
      <c r="X188" s="52">
        <f>IF(E188="","",IF(OR(E188="Canada",E188="CA"),100,IF(OR(E188="United States",E188="USA",E188="US"),IF(J188="Yes",45,75),65)))</f>
        <v/>
      </c>
      <c r="Y188" s="52">
        <f>IF(C188="","",IF(OR(ISNUMBER(SEARCH("Program",C188)),ISNUMBER(SEARCH("Portfolio",C188)),ISNUMBER(SEARCH("Operations",C188)),ISNUMBER(SEARCH("Transformation",C188))),85,IF(ISNUMBER(SEARCH("Product Manager",C188)),55,70)))</f>
        <v/>
      </c>
      <c r="Z188" s="52">
        <f>IF(C188="","",MIN(100,IF(I188&lt;&gt;"",60,10)+IF(AA188&gt;0,MIN(40,AA188*20),0)))</f>
        <v/>
      </c>
      <c r="AA188" s="52">
        <f>IF(T188="","",ROUND(T188*25%+U188*15%+V188*10%+W188*15%+X188*15%+Y188*10%+Z188*10%,0))</f>
        <v/>
      </c>
      <c r="AB188" s="52">
        <f>IF(AA188="","",IF(X188&lt;50,"Selective / Barrier",IF(AA188&gt;=80,"Tier 1 - Pursue",IF(AA188&gt;=70,"Tier 2 - Pursue",IF(AA188&gt;=60,"Tier 3 - Selective","Do Not Pursue")))))</f>
        <v/>
      </c>
      <c r="AC188" s="52">
        <f>IF(C188="","",IF(I188&lt;&gt;"","Named Contact",IF(AA188&gt;0,"Outreach Logged","Cold")))</f>
        <v/>
      </c>
      <c r="AD188" s="52">
        <f>IF(B188="","",COUNTIF('Outreach Log'!$C:$C,B188))</f>
        <v/>
      </c>
      <c r="AE188" s="52">
        <f>IF(A188="","",IF(OR(K188="Rejected",K188="Closed"),IF(L188&lt;&gt;"",L188-A188,TODAY()-A188),TODAY()-A188))</f>
        <v/>
      </c>
      <c r="AF188" s="52">
        <f>IF(C188="","",IF(AND(AA188&gt;=70,AC188="Cold"),"High-fit but cold",IF(AND(AA188&lt;60,K188="Applied"),"Low-fit application",IF(AND(AA188&gt;=70,OR(AC188="Named Contact",AC188="Outreach Logged")),"Targeted pursuit","Review"))))</f>
        <v/>
      </c>
    </row>
    <row r="189" ht="15" customHeight="1" s="44">
      <c r="A189" s="53" t="n">
        <v>46225</v>
      </c>
      <c r="B189" s="48" t="inlineStr">
        <is>
          <t>Life360</t>
        </is>
      </c>
      <c r="C189" s="48" t="inlineStr">
        <is>
          <t>Staff Technical Program Manager, AI Native</t>
        </is>
      </c>
      <c r="D189" s="48" t="n"/>
      <c r="E189" s="48" t="inlineStr">
        <is>
          <t>US / Canada</t>
        </is>
      </c>
      <c r="F189" s="48" t="inlineStr">
        <is>
          <t>Remote, USA; Remote, Canada</t>
        </is>
      </c>
      <c r="G189" s="48" t="n"/>
      <c r="H189" s="48" t="n"/>
      <c r="I189" s="48" t="n"/>
      <c r="J189" s="48" t="n"/>
      <c r="K189" s="49" t="inlineStr">
        <is>
          <t>Rejected</t>
        </is>
      </c>
      <c r="L189" s="48" t="n"/>
      <c r="M189" s="48" t="n"/>
      <c r="N189" s="48" t="n"/>
      <c r="O189" s="48" t="n"/>
      <c r="P189" s="51" t="inlineStr">
        <is>
          <t xml:space="preserve"> | Confirmed via Greenhouse screenshot: title is 'Staff Technical Program Manager, AI Native', Remote USA/Canada. Only 2 total Life360 applications exist, Sep 20 2026. | User confirmed this was submitted as 2 duplicate application cards for the same role, consolidated to one row, Sep 20 2026.</t>
        </is>
      </c>
      <c r="Q189" s="48" t="n"/>
      <c r="R189" s="48" t="n"/>
      <c r="S189" s="51" t="n"/>
      <c r="T189" s="52">
        <f>IF(G189="","",G189)</f>
        <v/>
      </c>
      <c r="U189" s="52">
        <f>IF(C189="","",IF(OR(ISNUMBER(SEARCH("Director",C189)),ISNUMBER(SEARCH("Lead",C189)),ISNUMBER(SEARCH("Senior",C189)),ISNUMBER(SEARCH("Sr.",C189))),90,IF(OR(ISNUMBER(SEARCH("Manager",C189)),ISNUMBER(SEARCH("Program",C189)),ISNUMBER(SEARCH("Portfolio",C189))),80,60)))</f>
        <v/>
      </c>
      <c r="V189" s="52">
        <f>IF(C189="","",IF(OR(ISNUMBER(SEARCH("AI",C189)),ISNUMBER(SEARCH("Data",C189)),ISNUMBER(SEARCH("Technology",C189)),ISNUMBER(SEARCH("Technical",C189)),ISNUMBER(SEARCH("Engineering",C189)),ISNUMBER(SEARCH("Platform",C189)),ISNUMBER(SEARCH("Portfolio",C189))),85,65))</f>
        <v/>
      </c>
      <c r="W189" s="52">
        <f>IF(C189="","",MIN(100,50+IF(S189&lt;&gt;"",25,0)+IF(R189&lt;&gt;"",15,0)+IF(P189&lt;&gt;"",10,0)))</f>
        <v/>
      </c>
      <c r="X189" s="52">
        <f>IF(E189="","",IF(OR(E189="Canada",E189="CA"),100,IF(OR(E189="United States",E189="USA",E189="US"),IF(J189="Yes",45,75),65)))</f>
        <v/>
      </c>
      <c r="Y189" s="52">
        <f>IF(C189="","",IF(OR(ISNUMBER(SEARCH("Program",C189)),ISNUMBER(SEARCH("Portfolio",C189)),ISNUMBER(SEARCH("Operations",C189)),ISNUMBER(SEARCH("Transformation",C189))),85,IF(ISNUMBER(SEARCH("Product Manager",C189)),55,70)))</f>
        <v/>
      </c>
      <c r="Z189" s="52">
        <f>IF(C189="","",MIN(100,IF(I189&lt;&gt;"",60,10)+IF(AA189&gt;0,MIN(40,AA189*20),0)))</f>
        <v/>
      </c>
      <c r="AA189" s="52">
        <f>IF(T189="","",ROUND(T189*25%+U189*15%+V189*10%+W189*15%+X189*15%+Y189*10%+Z189*10%,0))</f>
        <v/>
      </c>
      <c r="AB189" s="52">
        <f>IF(AA189="","",IF(X189&lt;50,"Selective / Barrier",IF(AA189&gt;=80,"Tier 1 - Pursue",IF(AA189&gt;=70,"Tier 2 - Pursue",IF(AA189&gt;=60,"Tier 3 - Selective","Do Not Pursue")))))</f>
        <v/>
      </c>
      <c r="AC189" s="52">
        <f>IF(C189="","",IF(I189&lt;&gt;"","Named Contact",IF(AA189&gt;0,"Outreach Logged","Cold")))</f>
        <v/>
      </c>
      <c r="AD189" s="52">
        <f>IF(B189="","",COUNTIF('Outreach Log'!$C:$C,B189))</f>
        <v/>
      </c>
      <c r="AE189" s="52">
        <f>IF(A189="","",IF(OR(K189="Rejected",K189="Closed"),IF(L189&lt;&gt;"",L189-A189,TODAY()-A189),TODAY()-A189))</f>
        <v/>
      </c>
      <c r="AF189" s="52">
        <f>IF(C189="","",IF(AND(AA189&gt;=70,AC189="Cold"),"High-fit but cold",IF(AND(AA189&lt;60,K189="Applied"),"Low-fit application",IF(AND(AA189&gt;=70,OR(AC189="Named Contact",AC189="Outreach Logged")),"Targeted pursuit","Review"))))</f>
        <v/>
      </c>
    </row>
    <row r="190" ht="15" customHeight="1" s="44">
      <c r="A190" s="53" t="n">
        <v>46225</v>
      </c>
      <c r="B190" s="48" t="inlineStr">
        <is>
          <t>Affirm</t>
        </is>
      </c>
      <c r="C190" s="48" t="inlineStr">
        <is>
          <t>Staff Technical Program Manager</t>
        </is>
      </c>
      <c r="D190" s="48" t="n"/>
      <c r="E190" s="48" t="inlineStr">
        <is>
          <t>Canada</t>
        </is>
      </c>
      <c r="F190" s="48" t="inlineStr">
        <is>
          <t>Remote Canada</t>
        </is>
      </c>
      <c r="G190" s="48" t="n"/>
      <c r="H190" s="48" t="n"/>
      <c r="I190" s="48" t="n"/>
      <c r="J190" s="48" t="n"/>
      <c r="K190" s="55" t="inlineStr">
        <is>
          <t>Applied</t>
        </is>
      </c>
      <c r="L190" s="48" t="n"/>
      <c r="M190" s="48" t="n"/>
      <c r="N190" s="48" t="n"/>
      <c r="O190" s="48" t="n"/>
      <c r="P190" s="51" t="inlineStr">
        <is>
          <t>Duplicate application to same posting as existing Affirm Staff TPM entry (identical title, location, job description). User confirmed via Greenhouse screenshot showing two separate application cards for the same role, Sep 20 2026.</t>
        </is>
      </c>
      <c r="Q190" s="48" t="n"/>
      <c r="R190" s="48" t="n"/>
      <c r="S190" s="51" t="n"/>
      <c r="T190" s="52">
        <f>IF(G190="","",G190)</f>
        <v/>
      </c>
      <c r="U190" s="52">
        <f>IF(C190="","",IF(OR(ISNUMBER(SEARCH("Director",C190)),ISNUMBER(SEARCH("Lead",C190)),ISNUMBER(SEARCH("Senior",C190)),ISNUMBER(SEARCH("Sr.",C190))),90,IF(OR(ISNUMBER(SEARCH("Manager",C190)),ISNUMBER(SEARCH("Program",C190)),ISNUMBER(SEARCH("Portfolio",C190))),80,60)))</f>
        <v/>
      </c>
      <c r="V190" s="52">
        <f>IF(C190="","",IF(OR(ISNUMBER(SEARCH("AI",C190)),ISNUMBER(SEARCH("Data",C190)),ISNUMBER(SEARCH("Technology",C190)),ISNUMBER(SEARCH("Technical",C190)),ISNUMBER(SEARCH("Engineering",C190)),ISNUMBER(SEARCH("Platform",C190)),ISNUMBER(SEARCH("Portfolio",C190))),85,65))</f>
        <v/>
      </c>
      <c r="W190" s="52">
        <f>IF(C190="","",MIN(100,50+IF(S190&lt;&gt;"",25,0)+IF(R190&lt;&gt;"",15,0)+IF(P190&lt;&gt;"",10,0)))</f>
        <v/>
      </c>
      <c r="X190" s="52">
        <f>IF(E190="","",IF(OR(E190="Canada",E190="CA"),100,IF(OR(E190="United States",E190="USA",E190="US"),IF(J190="Yes",45,75),65)))</f>
        <v/>
      </c>
      <c r="Y190" s="52">
        <f>IF(C190="","",IF(OR(ISNUMBER(SEARCH("Program",C190)),ISNUMBER(SEARCH("Portfolio",C190)),ISNUMBER(SEARCH("Operations",C190)),ISNUMBER(SEARCH("Transformation",C190))),85,IF(ISNUMBER(SEARCH("Product Manager",C190)),55,70)))</f>
        <v/>
      </c>
      <c r="Z190" s="52">
        <f>IF(C190="","",MIN(100,IF(I190&lt;&gt;"",60,10)+IF(AA190&gt;0,MIN(40,AA190*20),0)))</f>
        <v/>
      </c>
      <c r="AA190" s="52">
        <f>IF(T190="","",ROUND(T190*25%+U190*15%+V190*10%+W190*15%+X190*15%+Y190*10%+Z190*10%,0))</f>
        <v/>
      </c>
      <c r="AB190" s="52">
        <f>IF(AA190="","",IF(X190&lt;50,"Selective / Barrier",IF(AA190&gt;=80,"Tier 1 - Pursue",IF(AA190&gt;=70,"Tier 2 - Pursue",IF(AA190&gt;=60,"Tier 3 - Selective","Do Not Pursue")))))</f>
        <v/>
      </c>
      <c r="AC190" s="52">
        <f>IF(C190="","",IF(I190&lt;&gt;"","Named Contact",IF(AA190&gt;0,"Outreach Logged","Cold")))</f>
        <v/>
      </c>
      <c r="AD190" s="52">
        <f>IF(B190="","",COUNTIF('Outreach Log'!$C:$C,B190))</f>
        <v/>
      </c>
      <c r="AE190" s="52">
        <f>IF(A190="","",IF(OR(K190="Rejected",K190="Closed"),IF(L190&lt;&gt;"",L190-A190,TODAY()-A190),TODAY()-A190))</f>
        <v/>
      </c>
      <c r="AF190" s="52">
        <f>IF(C190="","",IF(AND(AA190&gt;=70,AC190="Cold"),"High-fit but cold",IF(AND(AA190&lt;60,K190="Applied"),"Low-fit application",IF(AND(AA190&gt;=70,OR(AC190="Named Contact",AC190="Outreach Logged")),"Targeted pursuit","Review"))))</f>
        <v/>
      </c>
    </row>
    <row r="191" ht="15" customHeight="1" s="44">
      <c r="A191" s="53" t="n">
        <v>46226</v>
      </c>
      <c r="B191" s="48" t="inlineStr">
        <is>
          <t>Whatnot</t>
        </is>
      </c>
      <c r="C191" s="48" t="inlineStr">
        <is>
          <t>Technical Program Manager</t>
        </is>
      </c>
      <c r="D191" s="48" t="inlineStr">
        <is>
          <t>Sr TPM</t>
        </is>
      </c>
      <c r="E191" s="48" t="inlineStr">
        <is>
          <t>US</t>
        </is>
      </c>
      <c r="F191" s="48" t="inlineStr">
        <is>
          <t>Remote US</t>
        </is>
      </c>
      <c r="G191" s="48" t="n">
        <v>65</v>
      </c>
      <c r="H191" s="48" t="inlineStr">
        <is>
          <t>Cold Portal</t>
        </is>
      </c>
      <c r="I191" s="48" t="n"/>
      <c r="J191" s="48" t="inlineStr">
        <is>
          <t>Yes</t>
        </is>
      </c>
      <c r="K191" s="49" t="inlineStr">
        <is>
          <t>Rejected</t>
        </is>
      </c>
      <c r="L191" s="50" t="n">
        <v>46230</v>
      </c>
      <c r="M191" s="48">
        <f>IF(OR(L103="",A103=""),"",L103-A103)</f>
        <v/>
      </c>
      <c r="N191" s="48" t="n"/>
      <c r="O191" s="48" t="n"/>
      <c r="P191" s="51" t="inlineStr">
        <is>
          <t>Rejected in 4 days</t>
        </is>
      </c>
      <c r="Q191" s="48" t="n"/>
      <c r="R191" s="48" t="n"/>
      <c r="S191" s="51" t="n"/>
      <c r="T191" s="52">
        <f>IF(G191="","",G191)</f>
        <v/>
      </c>
      <c r="U191" s="52">
        <f>IF(C191="","",IF(OR(ISNUMBER(SEARCH("Director",C191)),ISNUMBER(SEARCH("Lead",C191)),ISNUMBER(SEARCH("Senior",C191)),ISNUMBER(SEARCH("Sr.",C191))),90,IF(OR(ISNUMBER(SEARCH("Manager",C191)),ISNUMBER(SEARCH("Program",C191)),ISNUMBER(SEARCH("Portfolio",C191))),80,60)))</f>
        <v/>
      </c>
      <c r="V191" s="52">
        <f>IF(C191="","",IF(OR(ISNUMBER(SEARCH("AI",C191)),ISNUMBER(SEARCH("Data",C191)),ISNUMBER(SEARCH("Technology",C191)),ISNUMBER(SEARCH("Technical",C191)),ISNUMBER(SEARCH("Engineering",C191)),ISNUMBER(SEARCH("Platform",C191)),ISNUMBER(SEARCH("Portfolio",C191))),85,65))</f>
        <v/>
      </c>
      <c r="W191" s="52">
        <f>IF(C191="","",MIN(100,50+IF(S191&lt;&gt;"",25,0)+IF(R191&lt;&gt;"",15,0)+IF(P191&lt;&gt;"",10,0)))</f>
        <v/>
      </c>
      <c r="X191" s="52">
        <f>IF(E191="","",IF(OR(E191="Canada",E191="CA"),100,IF(OR(E191="United States",E191="USA",E191="US"),IF(J191="Yes",45,75),65)))</f>
        <v/>
      </c>
      <c r="Y191" s="52">
        <f>IF(C191="","",IF(OR(ISNUMBER(SEARCH("Program",C191)),ISNUMBER(SEARCH("Portfolio",C191)),ISNUMBER(SEARCH("Operations",C191)),ISNUMBER(SEARCH("Transformation",C191))),85,IF(ISNUMBER(SEARCH("Product Manager",C191)),55,70)))</f>
        <v/>
      </c>
      <c r="Z191" s="52">
        <f>IF(C191="","",MIN(100,IF(I191&lt;&gt;"",60,10)+IF(AA191&gt;0,MIN(40,AA191*20),0)))</f>
        <v/>
      </c>
      <c r="AA191" s="52">
        <f>IF(T191="","",ROUND(T191*25%+U191*15%+V191*10%+W191*15%+X191*15%+Y191*10%+Z191*10%,0))</f>
        <v/>
      </c>
      <c r="AB191" s="52">
        <f>IF(AA191="","",IF(X191&lt;50,"Selective / Barrier",IF(AA191&gt;=80,"Tier 1 - Pursue",IF(AA191&gt;=70,"Tier 2 - Pursue",IF(AA191&gt;=60,"Tier 3 - Selective","Do Not Pursue")))))</f>
        <v/>
      </c>
      <c r="AC191" s="52">
        <f>IF(C191="","",IF(I191&lt;&gt;"","Named Contact",IF(AA191&gt;0,"Outreach Logged","Cold")))</f>
        <v/>
      </c>
      <c r="AD191" s="52">
        <f>IF(B191="","",COUNTIF('Outreach Log'!$C:$C,B191))</f>
        <v/>
      </c>
      <c r="AE191" s="52">
        <f>IF(A191="","",IF(OR(K191="Rejected",K191="Closed"),IF(L191&lt;&gt;"",L191-A191,TODAY()-A191),TODAY()-A191))</f>
        <v/>
      </c>
      <c r="AF191" s="52">
        <f>IF(C191="","",IF(AND(AA191&gt;=70,AC191="Cold"),"High-fit but cold",IF(AND(AA191&lt;60,K191="Applied"),"Low-fit application",IF(AND(AA191&gt;=70,OR(AC191="Named Contact",AC191="Outreach Logged")),"Targeted pursuit","Review"))))</f>
        <v/>
      </c>
    </row>
    <row r="192" ht="15" customHeight="1" s="44">
      <c r="A192" s="53" t="n">
        <v>46226</v>
      </c>
      <c r="B192" s="48" t="inlineStr">
        <is>
          <t>Bain &amp; Company</t>
        </is>
      </c>
      <c r="C192" s="48" t="inlineStr">
        <is>
          <t>Product Owner</t>
        </is>
      </c>
      <c r="D192" s="48" t="inlineStr">
        <is>
          <t>Sr Manager</t>
        </is>
      </c>
      <c r="E192" s="48" t="inlineStr">
        <is>
          <t>Canada</t>
        </is>
      </c>
      <c r="F192" s="48" t="inlineStr">
        <is>
          <t>Toronto</t>
        </is>
      </c>
      <c r="G192" s="48" t="n">
        <v>55</v>
      </c>
      <c r="H192" s="48" t="inlineStr">
        <is>
          <t>Cold Portal</t>
        </is>
      </c>
      <c r="I192" s="48" t="n"/>
      <c r="J192" s="48" t="inlineStr">
        <is>
          <t>No</t>
        </is>
      </c>
      <c r="K192" s="55" t="inlineStr">
        <is>
          <t>Applied</t>
        </is>
      </c>
      <c r="L192" s="48" t="n"/>
      <c r="M192" s="48">
        <f>IF(OR(L104="",A104=""),"",L104-A104)</f>
        <v/>
      </c>
      <c r="N192" s="48" t="n"/>
      <c r="O192" s="48" t="n"/>
      <c r="P192" s="51" t="n"/>
      <c r="Q192" s="48" t="n"/>
      <c r="R192" s="48" t="n"/>
      <c r="S192" s="51" t="n"/>
      <c r="T192" s="52">
        <f>IF(G192="","",G192)</f>
        <v/>
      </c>
      <c r="U192" s="52">
        <f>IF(C192="","",IF(OR(ISNUMBER(SEARCH("Director",C192)),ISNUMBER(SEARCH("Lead",C192)),ISNUMBER(SEARCH("Senior",C192)),ISNUMBER(SEARCH("Sr.",C192))),90,IF(OR(ISNUMBER(SEARCH("Manager",C192)),ISNUMBER(SEARCH("Program",C192)),ISNUMBER(SEARCH("Portfolio",C192))),80,60)))</f>
        <v/>
      </c>
      <c r="V192" s="52">
        <f>IF(C192="","",IF(OR(ISNUMBER(SEARCH("AI",C192)),ISNUMBER(SEARCH("Data",C192)),ISNUMBER(SEARCH("Technology",C192)),ISNUMBER(SEARCH("Technical",C192)),ISNUMBER(SEARCH("Engineering",C192)),ISNUMBER(SEARCH("Platform",C192)),ISNUMBER(SEARCH("Portfolio",C192))),85,65))</f>
        <v/>
      </c>
      <c r="W192" s="52">
        <f>IF(C192="","",MIN(100,50+IF(S192&lt;&gt;"",25,0)+IF(R192&lt;&gt;"",15,0)+IF(P192&lt;&gt;"",10,0)))</f>
        <v/>
      </c>
      <c r="X192" s="52">
        <f>IF(E192="","",IF(OR(E192="Canada",E192="CA"),100,IF(OR(E192="United States",E192="USA",E192="US"),IF(J192="Yes",45,75),65)))</f>
        <v/>
      </c>
      <c r="Y192" s="52">
        <f>IF(C192="","",IF(OR(ISNUMBER(SEARCH("Program",C192)),ISNUMBER(SEARCH("Portfolio",C192)),ISNUMBER(SEARCH("Operations",C192)),ISNUMBER(SEARCH("Transformation",C192))),85,IF(ISNUMBER(SEARCH("Product Manager",C192)),55,70)))</f>
        <v/>
      </c>
      <c r="Z192" s="52">
        <f>IF(C192="","",MIN(100,IF(I192&lt;&gt;"",60,10)+IF(AA192&gt;0,MIN(40,AA192*20),0)))</f>
        <v/>
      </c>
      <c r="AA192" s="52">
        <f>IF(T192="","",ROUND(T192*25%+U192*15%+V192*10%+W192*15%+X192*15%+Y192*10%+Z192*10%,0))</f>
        <v/>
      </c>
      <c r="AB192" s="52">
        <f>IF(AA192="","",IF(X192&lt;50,"Selective / Barrier",IF(AA192&gt;=80,"Tier 1 - Pursue",IF(AA192&gt;=70,"Tier 2 - Pursue",IF(AA192&gt;=60,"Tier 3 - Selective","Do Not Pursue")))))</f>
        <v/>
      </c>
      <c r="AC192" s="52">
        <f>IF(C192="","",IF(I192&lt;&gt;"","Named Contact",IF(AA192&gt;0,"Outreach Logged","Cold")))</f>
        <v/>
      </c>
      <c r="AD192" s="52">
        <f>IF(B192="","",COUNTIF('Outreach Log'!$C:$C,B192))</f>
        <v/>
      </c>
      <c r="AE192" s="52">
        <f>IF(A192="","",IF(OR(K192="Rejected",K192="Closed"),IF(L192&lt;&gt;"",L192-A192,TODAY()-A192),TODAY()-A192))</f>
        <v/>
      </c>
      <c r="AF192" s="52">
        <f>IF(C192="","",IF(AND(AA192&gt;=70,AC192="Cold"),"High-fit but cold",IF(AND(AA192&lt;60,K192="Applied"),"Low-fit application",IF(AND(AA192&gt;=70,OR(AC192="Named Contact",AC192="Outreach Logged")),"Targeted pursuit","Review"))))</f>
        <v/>
      </c>
    </row>
    <row r="193" ht="15" customHeight="1" s="44">
      <c r="A193" s="53" t="n">
        <v>46226</v>
      </c>
      <c r="B193" s="48" t="inlineStr">
        <is>
          <t>PepsiCo</t>
        </is>
      </c>
      <c r="C193" s="48" t="inlineStr">
        <is>
          <t>Data &amp; AI Platforms Program role</t>
        </is>
      </c>
      <c r="D193" s="48" t="inlineStr">
        <is>
          <t>Sr Manager</t>
        </is>
      </c>
      <c r="E193" s="48" t="inlineStr">
        <is>
          <t>Canada</t>
        </is>
      </c>
      <c r="F193" s="48" t="inlineStr">
        <is>
          <t>Toronto</t>
        </is>
      </c>
      <c r="G193" s="48" t="n">
        <v>75</v>
      </c>
      <c r="H193" s="48" t="inlineStr">
        <is>
          <t>Cold Portal</t>
        </is>
      </c>
      <c r="I193" s="48" t="n"/>
      <c r="J193" s="48" t="inlineStr">
        <is>
          <t>No</t>
        </is>
      </c>
      <c r="K193" s="55" t="inlineStr">
        <is>
          <t>Applied</t>
        </is>
      </c>
      <c r="L193" s="48" t="n"/>
      <c r="M193" s="48">
        <f>IF(OR(L105="",A105=""),"",L105-A105)</f>
        <v/>
      </c>
      <c r="N193" s="48" t="n"/>
      <c r="O193" s="48" t="n"/>
      <c r="P193" s="51" t="n"/>
      <c r="Q193" s="48" t="n"/>
      <c r="R193" s="48" t="n"/>
      <c r="S193" s="51" t="n"/>
      <c r="T193" s="52">
        <f>IF(G193="","",G193)</f>
        <v/>
      </c>
      <c r="U193" s="52">
        <f>IF(C193="","",IF(OR(ISNUMBER(SEARCH("Director",C193)),ISNUMBER(SEARCH("Lead",C193)),ISNUMBER(SEARCH("Senior",C193)),ISNUMBER(SEARCH("Sr.",C193))),90,IF(OR(ISNUMBER(SEARCH("Manager",C193)),ISNUMBER(SEARCH("Program",C193)),ISNUMBER(SEARCH("Portfolio",C193))),80,60)))</f>
        <v/>
      </c>
      <c r="V193" s="52">
        <f>IF(C193="","",IF(OR(ISNUMBER(SEARCH("AI",C193)),ISNUMBER(SEARCH("Data",C193)),ISNUMBER(SEARCH("Technology",C193)),ISNUMBER(SEARCH("Technical",C193)),ISNUMBER(SEARCH("Engineering",C193)),ISNUMBER(SEARCH("Platform",C193)),ISNUMBER(SEARCH("Portfolio",C193))),85,65))</f>
        <v/>
      </c>
      <c r="W193" s="52">
        <f>IF(C193="","",MIN(100,50+IF(S193&lt;&gt;"",25,0)+IF(R193&lt;&gt;"",15,0)+IF(P193&lt;&gt;"",10,0)))</f>
        <v/>
      </c>
      <c r="X193" s="52">
        <f>IF(E193="","",IF(OR(E193="Canada",E193="CA"),100,IF(OR(E193="United States",E193="USA",E193="US"),IF(J193="Yes",45,75),65)))</f>
        <v/>
      </c>
      <c r="Y193" s="52">
        <f>IF(C193="","",IF(OR(ISNUMBER(SEARCH("Program",C193)),ISNUMBER(SEARCH("Portfolio",C193)),ISNUMBER(SEARCH("Operations",C193)),ISNUMBER(SEARCH("Transformation",C193))),85,IF(ISNUMBER(SEARCH("Product Manager",C193)),55,70)))</f>
        <v/>
      </c>
      <c r="Z193" s="52">
        <f>IF(C193="","",MIN(100,IF(I193&lt;&gt;"",60,10)+IF(AA193&gt;0,MIN(40,AA193*20),0)))</f>
        <v/>
      </c>
      <c r="AA193" s="52">
        <f>IF(T193="","",ROUND(T193*25%+U193*15%+V193*10%+W193*15%+X193*15%+Y193*10%+Z193*10%,0))</f>
        <v/>
      </c>
      <c r="AB193" s="52">
        <f>IF(AA193="","",IF(X193&lt;50,"Selective / Barrier",IF(AA193&gt;=80,"Tier 1 - Pursue",IF(AA193&gt;=70,"Tier 2 - Pursue",IF(AA193&gt;=60,"Tier 3 - Selective","Do Not Pursue")))))</f>
        <v/>
      </c>
      <c r="AC193" s="52">
        <f>IF(C193="","",IF(I193&lt;&gt;"","Named Contact",IF(AA193&gt;0,"Outreach Logged","Cold")))</f>
        <v/>
      </c>
      <c r="AD193" s="52">
        <f>IF(B193="","",COUNTIF('Outreach Log'!$C:$C,B193))</f>
        <v/>
      </c>
      <c r="AE193" s="52">
        <f>IF(A193="","",IF(OR(K193="Rejected",K193="Closed"),IF(L193&lt;&gt;"",L193-A193,TODAY()-A193),TODAY()-A193))</f>
        <v/>
      </c>
      <c r="AF193" s="52">
        <f>IF(C193="","",IF(AND(AA193&gt;=70,AC193="Cold"),"High-fit but cold",IF(AND(AA193&lt;60,K193="Applied"),"Low-fit application",IF(AND(AA193&gt;=70,OR(AC193="Named Contact",AC193="Outreach Logged")),"Targeted pursuit","Review"))))</f>
        <v/>
      </c>
    </row>
    <row r="194" ht="15" customHeight="1" s="44">
      <c r="A194" s="53" t="n">
        <v>46226</v>
      </c>
      <c r="B194" s="48" t="inlineStr">
        <is>
          <t>Romet Limited</t>
        </is>
      </c>
      <c r="C194" s="48" t="inlineStr">
        <is>
          <t>Product Manager - Enterprise Analytics Platform</t>
        </is>
      </c>
      <c r="D194" s="48" t="inlineStr">
        <is>
          <t>Sr Manager</t>
        </is>
      </c>
      <c r="E194" s="48" t="inlineStr">
        <is>
          <t>Canada</t>
        </is>
      </c>
      <c r="F194" s="48" t="inlineStr">
        <is>
          <t>Toronto</t>
        </is>
      </c>
      <c r="G194" s="48" t="n">
        <v>50</v>
      </c>
      <c r="H194" s="48" t="inlineStr">
        <is>
          <t>Cold Portal</t>
        </is>
      </c>
      <c r="I194" s="48" t="n"/>
      <c r="J194" s="48" t="inlineStr">
        <is>
          <t>No</t>
        </is>
      </c>
      <c r="K194" s="49" t="inlineStr">
        <is>
          <t>Rejected</t>
        </is>
      </c>
      <c r="L194" s="50" t="n">
        <v>46245</v>
      </c>
      <c r="M194" s="48">
        <f>IF(OR(L106="",A106=""),"",L106-A106)</f>
        <v/>
      </c>
      <c r="N194" s="48" t="n"/>
      <c r="O194" s="48" t="n"/>
      <c r="P194" s="51" t="inlineStr">
        <is>
          <t>Position closed 08/11 (HR@rometlimited.com) - req withdrawn, not a candidate-specific rejection. Role title confirmed from closure notice.</t>
        </is>
      </c>
      <c r="Q194" s="48" t="n"/>
      <c r="R194" s="48" t="n"/>
      <c r="S194" s="51" t="n"/>
      <c r="T194" s="52">
        <f>IF(G194="","",G194)</f>
        <v/>
      </c>
      <c r="U194" s="52">
        <f>IF(C194="","",IF(OR(ISNUMBER(SEARCH("Director",C194)),ISNUMBER(SEARCH("Lead",C194)),ISNUMBER(SEARCH("Senior",C194)),ISNUMBER(SEARCH("Sr.",C194))),90,IF(OR(ISNUMBER(SEARCH("Manager",C194)),ISNUMBER(SEARCH("Program",C194)),ISNUMBER(SEARCH("Portfolio",C194))),80,60)))</f>
        <v/>
      </c>
      <c r="V194" s="52">
        <f>IF(C194="","",IF(OR(ISNUMBER(SEARCH("AI",C194)),ISNUMBER(SEARCH("Data",C194)),ISNUMBER(SEARCH("Technology",C194)),ISNUMBER(SEARCH("Technical",C194)),ISNUMBER(SEARCH("Engineering",C194)),ISNUMBER(SEARCH("Platform",C194)),ISNUMBER(SEARCH("Portfolio",C194))),85,65))</f>
        <v/>
      </c>
      <c r="W194" s="52">
        <f>IF(C194="","",MIN(100,50+IF(S194&lt;&gt;"",25,0)+IF(R194&lt;&gt;"",15,0)+IF(P194&lt;&gt;"",10,0)))</f>
        <v/>
      </c>
      <c r="X194" s="52">
        <f>IF(E194="","",IF(OR(E194="Canada",E194="CA"),100,IF(OR(E194="United States",E194="USA",E194="US"),IF(J194="Yes",45,75),65)))</f>
        <v/>
      </c>
      <c r="Y194" s="52">
        <f>IF(C194="","",IF(OR(ISNUMBER(SEARCH("Program",C194)),ISNUMBER(SEARCH("Portfolio",C194)),ISNUMBER(SEARCH("Operations",C194)),ISNUMBER(SEARCH("Transformation",C194))),85,IF(ISNUMBER(SEARCH("Product Manager",C194)),55,70)))</f>
        <v/>
      </c>
      <c r="Z194" s="52">
        <f>IF(C194="","",MIN(100,IF(I194&lt;&gt;"",60,10)+IF(AA194&gt;0,MIN(40,AA194*20),0)))</f>
        <v/>
      </c>
      <c r="AA194" s="52">
        <f>IF(T194="","",ROUND(T194*25%+U194*15%+V194*10%+W194*15%+X194*15%+Y194*10%+Z194*10%,0))</f>
        <v/>
      </c>
      <c r="AB194" s="52">
        <f>IF(AA194="","",IF(X194&lt;50,"Selective / Barrier",IF(AA194&gt;=80,"Tier 1 - Pursue",IF(AA194&gt;=70,"Tier 2 - Pursue",IF(AA194&gt;=60,"Tier 3 - Selective","Do Not Pursue")))))</f>
        <v/>
      </c>
      <c r="AC194" s="52">
        <f>IF(C194="","",IF(I194&lt;&gt;"","Named Contact",IF(AA194&gt;0,"Outreach Logged","Cold")))</f>
        <v/>
      </c>
      <c r="AD194" s="52">
        <f>IF(B194="","",COUNTIF('Outreach Log'!$C:$C,B194))</f>
        <v/>
      </c>
      <c r="AE194" s="52">
        <f>IF(A194="","",IF(OR(K194="Rejected",K194="Closed"),IF(L194&lt;&gt;"",L194-A194,TODAY()-A194),TODAY()-A194))</f>
        <v/>
      </c>
      <c r="AF194" s="52">
        <f>IF(C194="","",IF(AND(AA194&gt;=70,AC194="Cold"),"High-fit but cold",IF(AND(AA194&lt;60,K194="Applied"),"Low-fit application",IF(AND(AA194&gt;=70,OR(AC194="Named Contact",AC194="Outreach Logged")),"Targeted pursuit","Review"))))</f>
        <v/>
      </c>
    </row>
    <row r="195" ht="15" customHeight="1" s="44">
      <c r="A195" s="53" t="n">
        <v>46226</v>
      </c>
      <c r="B195" s="48" t="inlineStr">
        <is>
          <t>NVIDIA</t>
        </is>
      </c>
      <c r="C195" s="48" t="inlineStr">
        <is>
          <t>Senior Technical Program Manager</t>
        </is>
      </c>
      <c r="D195" s="48" t="inlineStr">
        <is>
          <t>Sr TPM</t>
        </is>
      </c>
      <c r="E195" s="48" t="inlineStr">
        <is>
          <t>US</t>
        </is>
      </c>
      <c r="F195" s="48" t="inlineStr">
        <is>
          <t>Santa Clara/Remote</t>
        </is>
      </c>
      <c r="G195" s="48" t="n">
        <v>65</v>
      </c>
      <c r="H195" s="48" t="inlineStr">
        <is>
          <t>Cold Portal</t>
        </is>
      </c>
      <c r="I195" s="48" t="n"/>
      <c r="J195" s="48" t="inlineStr">
        <is>
          <t>Yes</t>
        </is>
      </c>
      <c r="K195" s="49" t="inlineStr">
        <is>
          <t>Rejected</t>
        </is>
      </c>
      <c r="L195" s="50" t="n">
        <v>46244</v>
      </c>
      <c r="M195" s="48">
        <f>IF(OR(L107="",A107=""),"",L107-A107)</f>
        <v/>
      </c>
      <c r="N195" s="48" t="n"/>
      <c r="O195" s="48" t="n"/>
      <c r="P195" s="51" t="inlineStr">
        <is>
          <t>Rejected via NVIDIA Workday 08/10 (req JR2021406). Standard no-move-forward notice.</t>
        </is>
      </c>
      <c r="Q195" s="48" t="n"/>
      <c r="R195" s="48" t="n"/>
      <c r="S195" s="51" t="n"/>
      <c r="T195" s="52">
        <f>IF(G195="","",G195)</f>
        <v/>
      </c>
      <c r="U195" s="52">
        <f>IF(C195="","",IF(OR(ISNUMBER(SEARCH("Director",C195)),ISNUMBER(SEARCH("Lead",C195)),ISNUMBER(SEARCH("Senior",C195)),ISNUMBER(SEARCH("Sr.",C195))),90,IF(OR(ISNUMBER(SEARCH("Manager",C195)),ISNUMBER(SEARCH("Program",C195)),ISNUMBER(SEARCH("Portfolio",C195))),80,60)))</f>
        <v/>
      </c>
      <c r="V195" s="52">
        <f>IF(C195="","",IF(OR(ISNUMBER(SEARCH("AI",C195)),ISNUMBER(SEARCH("Data",C195)),ISNUMBER(SEARCH("Technology",C195)),ISNUMBER(SEARCH("Technical",C195)),ISNUMBER(SEARCH("Engineering",C195)),ISNUMBER(SEARCH("Platform",C195)),ISNUMBER(SEARCH("Portfolio",C195))),85,65))</f>
        <v/>
      </c>
      <c r="W195" s="52">
        <f>IF(C195="","",MIN(100,50+IF(S195&lt;&gt;"",25,0)+IF(R195&lt;&gt;"",15,0)+IF(P195&lt;&gt;"",10,0)))</f>
        <v/>
      </c>
      <c r="X195" s="52">
        <f>IF(E195="","",IF(OR(E195="Canada",E195="CA"),100,IF(OR(E195="United States",E195="USA",E195="US"),IF(J195="Yes",45,75),65)))</f>
        <v/>
      </c>
      <c r="Y195" s="52">
        <f>IF(C195="","",IF(OR(ISNUMBER(SEARCH("Program",C195)),ISNUMBER(SEARCH("Portfolio",C195)),ISNUMBER(SEARCH("Operations",C195)),ISNUMBER(SEARCH("Transformation",C195))),85,IF(ISNUMBER(SEARCH("Product Manager",C195)),55,70)))</f>
        <v/>
      </c>
      <c r="Z195" s="52">
        <f>IF(C195="","",MIN(100,IF(I195&lt;&gt;"",60,10)+IF(AA195&gt;0,MIN(40,AA195*20),0)))</f>
        <v/>
      </c>
      <c r="AA195" s="52">
        <f>IF(T195="","",ROUND(T195*25%+U195*15%+V195*10%+W195*15%+X195*15%+Y195*10%+Z195*10%,0))</f>
        <v/>
      </c>
      <c r="AB195" s="52">
        <f>IF(AA195="","",IF(X195&lt;50,"Selective / Barrier",IF(AA195&gt;=80,"Tier 1 - Pursue",IF(AA195&gt;=70,"Tier 2 - Pursue",IF(AA195&gt;=60,"Tier 3 - Selective","Do Not Pursue")))))</f>
        <v/>
      </c>
      <c r="AC195" s="52">
        <f>IF(C195="","",IF(I195&lt;&gt;"","Named Contact",IF(AA195&gt;0,"Outreach Logged","Cold")))</f>
        <v/>
      </c>
      <c r="AD195" s="52">
        <f>IF(B195="","",COUNTIF('Outreach Log'!$C:$C,B195))</f>
        <v/>
      </c>
      <c r="AE195" s="52">
        <f>IF(A195="","",IF(OR(K195="Rejected",K195="Closed"),IF(L195&lt;&gt;"",L195-A195,TODAY()-A195),TODAY()-A195))</f>
        <v/>
      </c>
      <c r="AF195" s="52">
        <f>IF(C195="","",IF(AND(AA195&gt;=70,AC195="Cold"),"High-fit but cold",IF(AND(AA195&lt;60,K195="Applied"),"Low-fit application",IF(AND(AA195&gt;=70,OR(AC195="Named Contact",AC195="Outreach Logged")),"Targeted pursuit","Review"))))</f>
        <v/>
      </c>
    </row>
    <row r="196" ht="15" customHeight="1" s="44">
      <c r="A196" s="53" t="n">
        <v>46226</v>
      </c>
      <c r="B196" s="48" t="inlineStr">
        <is>
          <t>OLG (Ontario Lottery and Gaming Corporation)</t>
        </is>
      </c>
      <c r="C196" s="48" t="inlineStr">
        <is>
          <t>Enterprise IT Transformation &amp; Organizational Readiness Director (18-month contract, Req R26_00512)</t>
        </is>
      </c>
      <c r="D196" s="48" t="inlineStr">
        <is>
          <t>Director</t>
        </is>
      </c>
      <c r="E196" s="48" t="inlineStr">
        <is>
          <t>Canada</t>
        </is>
      </c>
      <c r="F196" s="48" t="inlineStr">
        <is>
          <t>Toronto</t>
        </is>
      </c>
      <c r="G196" s="48" t="n">
        <v>80</v>
      </c>
      <c r="H196" s="48" t="inlineStr">
        <is>
          <t>Cold Portal</t>
        </is>
      </c>
      <c r="I196" s="48" t="n"/>
      <c r="J196" s="48" t="inlineStr">
        <is>
          <t>No</t>
        </is>
      </c>
      <c r="K196" s="49" t="inlineStr">
        <is>
          <t>Rejected</t>
        </is>
      </c>
      <c r="L196" s="48" t="n"/>
      <c r="M196" s="48">
        <f>IF(OR(L108="",A108=""),"",L108-A108)</f>
        <v/>
      </c>
      <c r="N196" s="48" t="n"/>
      <c r="O196" s="48" t="n"/>
      <c r="P196" s="51" t="inlineStr">
        <is>
          <t>Applied 2026-07-23 (confirmed via OLG Workday candidate portal). Status: "No Longer Under Consideration" — exact decision date not shown, only submission date. Distinct from row 279 (Senior IT Portfolio Operations Manager, Req R26_00102, applied via IT-IQ agency, interviewed and rejected 3/20) — separate role, same company. Est. fit score: 80 — Director-level Enterprise IT Transformation role is a strong match to her Bell enterprise transformation and portfolio leadership work.</t>
        </is>
      </c>
      <c r="Q196" s="48" t="n"/>
      <c r="R196" s="48" t="n"/>
      <c r="S196" s="51" t="n"/>
      <c r="T196" s="52">
        <f>IF(G196="","",G196)</f>
        <v/>
      </c>
      <c r="U196" s="52">
        <f>IF(C196="","",IF(OR(ISNUMBER(SEARCH("Director",C196)),ISNUMBER(SEARCH("Lead",C196)),ISNUMBER(SEARCH("Senior",C196)),ISNUMBER(SEARCH("Sr.",C196))),90,IF(OR(ISNUMBER(SEARCH("Manager",C196)),ISNUMBER(SEARCH("Program",C196)),ISNUMBER(SEARCH("Portfolio",C196))),80,60)))</f>
        <v/>
      </c>
      <c r="V196" s="52">
        <f>IF(C196="","",IF(OR(ISNUMBER(SEARCH("AI",C196)),ISNUMBER(SEARCH("Data",C196)),ISNUMBER(SEARCH("Technology",C196)),ISNUMBER(SEARCH("Technical",C196)),ISNUMBER(SEARCH("Engineering",C196)),ISNUMBER(SEARCH("Platform",C196)),ISNUMBER(SEARCH("Portfolio",C196))),85,65))</f>
        <v/>
      </c>
      <c r="W196" s="52">
        <f>IF(C196="","",MIN(100,50+IF(S196&lt;&gt;"",25,0)+IF(R196&lt;&gt;"",15,0)+IF(P196&lt;&gt;"",10,0)))</f>
        <v/>
      </c>
      <c r="X196" s="52">
        <f>IF(E196="","",IF(OR(E196="Canada",E196="CA"),100,IF(OR(E196="United States",E196="USA",E196="US"),IF(J196="Yes",45,75),65)))</f>
        <v/>
      </c>
      <c r="Y196" s="52">
        <f>IF(C196="","",IF(OR(ISNUMBER(SEARCH("Program",C196)),ISNUMBER(SEARCH("Portfolio",C196)),ISNUMBER(SEARCH("Operations",C196)),ISNUMBER(SEARCH("Transformation",C196))),85,IF(ISNUMBER(SEARCH("Product Manager",C196)),55,70)))</f>
        <v/>
      </c>
      <c r="Z196" s="52">
        <f>IF(C196="","",MIN(100,IF(I196&lt;&gt;"",60,10)+IF(AA196&gt;0,MIN(40,AA196*20),0)))</f>
        <v/>
      </c>
      <c r="AA196" s="52">
        <f>IF(T196="","",ROUND(T196*25%+U196*15%+V196*10%+W196*15%+X196*15%+Y196*10%+Z196*10%,0))</f>
        <v/>
      </c>
      <c r="AB196" s="52">
        <f>IF(AA196="","",IF(X196&lt;50,"Selective / Barrier",IF(AA196&gt;=80,"Tier 1 - Pursue",IF(AA196&gt;=70,"Tier 2 - Pursue",IF(AA196&gt;=60,"Tier 3 - Selective","Do Not Pursue")))))</f>
        <v/>
      </c>
      <c r="AC196" s="52">
        <f>IF(C196="","",IF(I196&lt;&gt;"","Named Contact",IF(AA196&gt;0,"Outreach Logged","Cold")))</f>
        <v/>
      </c>
      <c r="AD196" s="52">
        <f>IF(B196="","",COUNTIF('Outreach Log'!$C:$C,B196))</f>
        <v/>
      </c>
      <c r="AE196" s="52">
        <f>IF(A196="","",IF(OR(K196="Rejected",K196="Closed"),IF(L196&lt;&gt;"",L196-A196,TODAY()-A196),TODAY()-A196))</f>
        <v/>
      </c>
      <c r="AF196" s="52">
        <f>IF(C196="","",IF(AND(AA196&gt;=70,AC196="Cold"),"High-fit but cold",IF(AND(AA196&lt;60,K196="Applied"),"Low-fit application",IF(AND(AA196&gt;=70,OR(AC196="Named Contact",AC196="Outreach Logged")),"Targeted pursuit","Review"))))</f>
        <v/>
      </c>
    </row>
    <row r="197" ht="15" customHeight="1" s="44">
      <c r="A197" s="53" t="n">
        <v>46226</v>
      </c>
      <c r="B197" s="48" t="inlineStr">
        <is>
          <t>PepsiCo</t>
        </is>
      </c>
      <c r="C197" s="48" t="inlineStr">
        <is>
          <t>Data &amp; AI Platforms Program (2026-455911)</t>
        </is>
      </c>
      <c r="D197" s="48" t="n"/>
      <c r="E197" s="48" t="n"/>
      <c r="F197" s="48" t="n"/>
      <c r="G197" s="48" t="n"/>
      <c r="H197" s="48" t="n"/>
      <c r="I197" s="48" t="n"/>
      <c r="J197" s="48" t="n"/>
      <c r="K197" s="55" t="inlineStr">
        <is>
          <t>Applied</t>
        </is>
      </c>
      <c r="L197" s="48" t="n"/>
      <c r="M197" s="48" t="n"/>
      <c r="N197" s="48" t="n"/>
      <c r="O197" s="48" t="n"/>
      <c r="P197" s="51" t="n"/>
      <c r="Q197" s="48" t="n"/>
      <c r="R197" s="48" t="n"/>
      <c r="S197" s="51" t="n"/>
      <c r="T197" s="52">
        <f>IF(G197="","",G197)</f>
        <v/>
      </c>
      <c r="U197" s="52">
        <f>IF(C197="","",IF(OR(ISNUMBER(SEARCH("Director",C197)),ISNUMBER(SEARCH("Lead",C197)),ISNUMBER(SEARCH("Senior",C197)),ISNUMBER(SEARCH("Sr.",C197))),90,IF(OR(ISNUMBER(SEARCH("Manager",C197)),ISNUMBER(SEARCH("Program",C197)),ISNUMBER(SEARCH("Portfolio",C197))),80,60)))</f>
        <v/>
      </c>
      <c r="V197" s="52">
        <f>IF(C197="","",IF(OR(ISNUMBER(SEARCH("AI",C197)),ISNUMBER(SEARCH("Data",C197)),ISNUMBER(SEARCH("Technology",C197)),ISNUMBER(SEARCH("Technical",C197)),ISNUMBER(SEARCH("Engineering",C197)),ISNUMBER(SEARCH("Platform",C197)),ISNUMBER(SEARCH("Portfolio",C197))),85,65))</f>
        <v/>
      </c>
      <c r="W197" s="52">
        <f>IF(C197="","",MIN(100,50+IF(S197&lt;&gt;"",25,0)+IF(R197&lt;&gt;"",15,0)+IF(P197&lt;&gt;"",10,0)))</f>
        <v/>
      </c>
      <c r="X197" s="52">
        <f>IF(E197="","",IF(OR(E197="Canada",E197="CA"),100,IF(OR(E197="United States",E197="USA",E197="US"),IF(J197="Yes",45,75),65)))</f>
        <v/>
      </c>
      <c r="Y197" s="52">
        <f>IF(C197="","",IF(OR(ISNUMBER(SEARCH("Program",C197)),ISNUMBER(SEARCH("Portfolio",C197)),ISNUMBER(SEARCH("Operations",C197)),ISNUMBER(SEARCH("Transformation",C197))),85,IF(ISNUMBER(SEARCH("Product Manager",C197)),55,70)))</f>
        <v/>
      </c>
      <c r="Z197" s="52">
        <f>IF(C197="","",MIN(100,IF(I197&lt;&gt;"",60,10)+IF(AA197&gt;0,MIN(40,AA197*20),0)))</f>
        <v/>
      </c>
      <c r="AA197" s="52">
        <f>IF(T197="","",ROUND(T197*25%+U197*15%+V197*10%+W197*15%+X197*15%+Y197*10%+Z197*10%,0))</f>
        <v/>
      </c>
      <c r="AB197" s="52">
        <f>IF(AA197="","",IF(X197&lt;50,"Selective / Barrier",IF(AA197&gt;=80,"Tier 1 - Pursue",IF(AA197&gt;=70,"Tier 2 - Pursue",IF(AA197&gt;=60,"Tier 3 - Selective","Do Not Pursue")))))</f>
        <v/>
      </c>
      <c r="AC197" s="52">
        <f>IF(C197="","",IF(I197&lt;&gt;"","Named Contact",IF(AA197&gt;0,"Outreach Logged","Cold")))</f>
        <v/>
      </c>
      <c r="AD197" s="52">
        <f>IF(B197="","",COUNTIF('Outreach Log'!$C:$C,B197))</f>
        <v/>
      </c>
      <c r="AE197" s="52">
        <f>IF(A197="","",IF(OR(K197="Rejected",K197="Closed"),IF(L197&lt;&gt;"",L197-A197,TODAY()-A197),TODAY()-A197))</f>
        <v/>
      </c>
      <c r="AF197" s="52">
        <f>IF(C197="","",IF(AND(AA197&gt;=70,AC197="Cold"),"High-fit but cold",IF(AND(AA197&lt;60,K197="Applied"),"Low-fit application",IF(AND(AA197&gt;=70,OR(AC197="Named Contact",AC197="Outreach Logged")),"Targeted pursuit","Review"))))</f>
        <v/>
      </c>
    </row>
    <row r="198" ht="15" customHeight="1" s="44">
      <c r="A198" s="53" t="n">
        <v>46226</v>
      </c>
      <c r="B198" s="48" t="inlineStr">
        <is>
          <t>Romet Limited</t>
        </is>
      </c>
      <c r="C198" s="48" t="inlineStr">
        <is>
          <t>(role unspecified)</t>
        </is>
      </c>
      <c r="D198" s="48" t="n"/>
      <c r="E198" s="48" t="n"/>
      <c r="F198" s="48" t="n"/>
      <c r="G198" s="48" t="n"/>
      <c r="H198" s="48" t="n"/>
      <c r="I198" s="48" t="n"/>
      <c r="J198" s="48" t="n"/>
      <c r="K198" s="55" t="inlineStr">
        <is>
          <t>Applied</t>
        </is>
      </c>
      <c r="L198" s="48" t="n"/>
      <c r="M198" s="48" t="n"/>
      <c r="N198" s="48" t="n"/>
      <c r="O198" s="48" t="n"/>
      <c r="P198" s="51" t="n"/>
      <c r="Q198" s="48" t="n"/>
      <c r="R198" s="48" t="n"/>
      <c r="S198" s="51" t="n"/>
      <c r="T198" s="52">
        <f>IF(G198="","",G198)</f>
        <v/>
      </c>
      <c r="U198" s="52">
        <f>IF(C198="","",IF(OR(ISNUMBER(SEARCH("Director",C198)),ISNUMBER(SEARCH("Lead",C198)),ISNUMBER(SEARCH("Senior",C198)),ISNUMBER(SEARCH("Sr.",C198))),90,IF(OR(ISNUMBER(SEARCH("Manager",C198)),ISNUMBER(SEARCH("Program",C198)),ISNUMBER(SEARCH("Portfolio",C198))),80,60)))</f>
        <v/>
      </c>
      <c r="V198" s="52">
        <f>IF(C198="","",IF(OR(ISNUMBER(SEARCH("AI",C198)),ISNUMBER(SEARCH("Data",C198)),ISNUMBER(SEARCH("Technology",C198)),ISNUMBER(SEARCH("Technical",C198)),ISNUMBER(SEARCH("Engineering",C198)),ISNUMBER(SEARCH("Platform",C198)),ISNUMBER(SEARCH("Portfolio",C198))),85,65))</f>
        <v/>
      </c>
      <c r="W198" s="52">
        <f>IF(C198="","",MIN(100,50+IF(S198&lt;&gt;"",25,0)+IF(R198&lt;&gt;"",15,0)+IF(P198&lt;&gt;"",10,0)))</f>
        <v/>
      </c>
      <c r="X198" s="52">
        <f>IF(E198="","",IF(OR(E198="Canada",E198="CA"),100,IF(OR(E198="United States",E198="USA",E198="US"),IF(J198="Yes",45,75),65)))</f>
        <v/>
      </c>
      <c r="Y198" s="52">
        <f>IF(C198="","",IF(OR(ISNUMBER(SEARCH("Program",C198)),ISNUMBER(SEARCH("Portfolio",C198)),ISNUMBER(SEARCH("Operations",C198)),ISNUMBER(SEARCH("Transformation",C198))),85,IF(ISNUMBER(SEARCH("Product Manager",C198)),55,70)))</f>
        <v/>
      </c>
      <c r="Z198" s="52">
        <f>IF(C198="","",MIN(100,IF(I198&lt;&gt;"",60,10)+IF(AA198&gt;0,MIN(40,AA198*20),0)))</f>
        <v/>
      </c>
      <c r="AA198" s="52">
        <f>IF(T198="","",ROUND(T198*25%+U198*15%+V198*10%+W198*15%+X198*15%+Y198*10%+Z198*10%,0))</f>
        <v/>
      </c>
      <c r="AB198" s="52">
        <f>IF(AA198="","",IF(X198&lt;50,"Selective / Barrier",IF(AA198&gt;=80,"Tier 1 - Pursue",IF(AA198&gt;=70,"Tier 2 - Pursue",IF(AA198&gt;=60,"Tier 3 - Selective","Do Not Pursue")))))</f>
        <v/>
      </c>
      <c r="AC198" s="52">
        <f>IF(C198="","",IF(I198&lt;&gt;"","Named Contact",IF(AA198&gt;0,"Outreach Logged","Cold")))</f>
        <v/>
      </c>
      <c r="AD198" s="52">
        <f>IF(B198="","",COUNTIF('Outreach Log'!$C:$C,B198))</f>
        <v/>
      </c>
      <c r="AE198" s="52">
        <f>IF(A198="","",IF(OR(K198="Rejected",K198="Closed"),IF(L198&lt;&gt;"",L198-A198,TODAY()-A198),TODAY()-A198))</f>
        <v/>
      </c>
      <c r="AF198" s="52">
        <f>IF(C198="","",IF(AND(AA198&gt;=70,AC198="Cold"),"High-fit but cold",IF(AND(AA198&lt;60,K198="Applied"),"Low-fit application",IF(AND(AA198&gt;=70,OR(AC198="Named Contact",AC198="Outreach Logged")),"Targeted pursuit","Review"))))</f>
        <v/>
      </c>
    </row>
    <row r="199" ht="15" customHeight="1" s="44">
      <c r="A199" s="53" t="n">
        <v>46226</v>
      </c>
      <c r="B199" s="48" t="inlineStr">
        <is>
          <t>Google</t>
        </is>
      </c>
      <c r="C199" s="48" t="inlineStr">
        <is>
          <t>(role unspecified)</t>
        </is>
      </c>
      <c r="D199" s="48" t="n"/>
      <c r="E199" s="48" t="n"/>
      <c r="F199" s="48" t="n"/>
      <c r="G199" s="48" t="n"/>
      <c r="H199" s="48" t="n"/>
      <c r="I199" s="48" t="n"/>
      <c r="J199" s="48" t="n"/>
      <c r="K199" s="57" t="inlineStr">
        <is>
          <t>Interviewing</t>
        </is>
      </c>
      <c r="L199" s="48" t="n"/>
      <c r="M199" s="48" t="n"/>
      <c r="N199" s="48" t="n"/>
      <c r="O199" s="48" t="n"/>
      <c r="P199" s="51" t="inlineStr">
        <is>
          <t>Passed hiring assessment, under review for next steps</t>
        </is>
      </c>
      <c r="Q199" s="48" t="n"/>
      <c r="R199" s="48" t="n"/>
      <c r="S199" s="51" t="n"/>
      <c r="T199" s="52">
        <f>IF(G199="","",G199)</f>
        <v/>
      </c>
      <c r="U199" s="52">
        <f>IF(C199="","",IF(OR(ISNUMBER(SEARCH("Director",C199)),ISNUMBER(SEARCH("Lead",C199)),ISNUMBER(SEARCH("Senior",C199)),ISNUMBER(SEARCH("Sr.",C199))),90,IF(OR(ISNUMBER(SEARCH("Manager",C199)),ISNUMBER(SEARCH("Program",C199)),ISNUMBER(SEARCH("Portfolio",C199))),80,60)))</f>
        <v/>
      </c>
      <c r="V199" s="52">
        <f>IF(C199="","",IF(OR(ISNUMBER(SEARCH("AI",C199)),ISNUMBER(SEARCH("Data",C199)),ISNUMBER(SEARCH("Technology",C199)),ISNUMBER(SEARCH("Technical",C199)),ISNUMBER(SEARCH("Engineering",C199)),ISNUMBER(SEARCH("Platform",C199)),ISNUMBER(SEARCH("Portfolio",C199))),85,65))</f>
        <v/>
      </c>
      <c r="W199" s="52">
        <f>IF(C199="","",MIN(100,50+IF(S199&lt;&gt;"",25,0)+IF(R199&lt;&gt;"",15,0)+IF(P199&lt;&gt;"",10,0)))</f>
        <v/>
      </c>
      <c r="X199" s="52">
        <f>IF(E199="","",IF(OR(E199="Canada",E199="CA"),100,IF(OR(E199="United States",E199="USA",E199="US"),IF(J199="Yes",45,75),65)))</f>
        <v/>
      </c>
      <c r="Y199" s="52">
        <f>IF(C199="","",IF(OR(ISNUMBER(SEARCH("Program",C199)),ISNUMBER(SEARCH("Portfolio",C199)),ISNUMBER(SEARCH("Operations",C199)),ISNUMBER(SEARCH("Transformation",C199))),85,IF(ISNUMBER(SEARCH("Product Manager",C199)),55,70)))</f>
        <v/>
      </c>
      <c r="Z199" s="52">
        <f>IF(C199="","",MIN(100,IF(I199&lt;&gt;"",60,10)+IF(AA199&gt;0,MIN(40,AA199*20),0)))</f>
        <v/>
      </c>
      <c r="AA199" s="52">
        <f>IF(T199="","",ROUND(T199*25%+U199*15%+V199*10%+W199*15%+X199*15%+Y199*10%+Z199*10%,0))</f>
        <v/>
      </c>
      <c r="AB199" s="52">
        <f>IF(AA199="","",IF(X199&lt;50,"Selective / Barrier",IF(AA199&gt;=80,"Tier 1 - Pursue",IF(AA199&gt;=70,"Tier 2 - Pursue",IF(AA199&gt;=60,"Tier 3 - Selective","Do Not Pursue")))))</f>
        <v/>
      </c>
      <c r="AC199" s="52">
        <f>IF(C199="","",IF(I199&lt;&gt;"","Named Contact",IF(AA199&gt;0,"Outreach Logged","Cold")))</f>
        <v/>
      </c>
      <c r="AD199" s="52">
        <f>IF(B199="","",COUNTIF('Outreach Log'!$C:$C,B199))</f>
        <v/>
      </c>
      <c r="AE199" s="52">
        <f>IF(A199="","",IF(OR(K199="Rejected",K199="Closed"),IF(L199&lt;&gt;"",L199-A199,TODAY()-A199),TODAY()-A199))</f>
        <v/>
      </c>
      <c r="AF199" s="52">
        <f>IF(C199="","",IF(AND(AA199&gt;=70,AC199="Cold"),"High-fit but cold",IF(AND(AA199&lt;60,K199="Applied"),"Low-fit application",IF(AND(AA199&gt;=70,OR(AC199="Named Contact",AC199="Outreach Logged")),"Targeted pursuit","Review"))))</f>
        <v/>
      </c>
    </row>
    <row r="200" ht="15" customHeight="1" s="44">
      <c r="A200" s="53" t="n">
        <v>46226</v>
      </c>
      <c r="B200" s="48" t="inlineStr">
        <is>
          <t>Walmart</t>
        </is>
      </c>
      <c r="C200" s="48" t="inlineStr">
        <is>
          <t>(role unspecified)</t>
        </is>
      </c>
      <c r="D200" s="48" t="n"/>
      <c r="E200" s="48" t="n"/>
      <c r="F200" s="48" t="n"/>
      <c r="G200" s="48" t="n"/>
      <c r="H200" s="48" t="n"/>
      <c r="I200" s="48" t="n"/>
      <c r="J200" s="48" t="n"/>
      <c r="K200" s="55" t="inlineStr">
        <is>
          <t>Applied</t>
        </is>
      </c>
      <c r="L200" s="48" t="n"/>
      <c r="M200" s="48" t="n"/>
      <c r="N200" s="48" t="n"/>
      <c r="O200" s="48" t="n"/>
      <c r="P200" s="51" t="n"/>
      <c r="Q200" s="48" t="n"/>
      <c r="R200" s="48" t="n"/>
      <c r="S200" s="51" t="n"/>
      <c r="T200" s="52">
        <f>IF(G200="","",G200)</f>
        <v/>
      </c>
      <c r="U200" s="52">
        <f>IF(C200="","",IF(OR(ISNUMBER(SEARCH("Director",C200)),ISNUMBER(SEARCH("Lead",C200)),ISNUMBER(SEARCH("Senior",C200)),ISNUMBER(SEARCH("Sr.",C200))),90,IF(OR(ISNUMBER(SEARCH("Manager",C200)),ISNUMBER(SEARCH("Program",C200)),ISNUMBER(SEARCH("Portfolio",C200))),80,60)))</f>
        <v/>
      </c>
      <c r="V200" s="52">
        <f>IF(C200="","",IF(OR(ISNUMBER(SEARCH("AI",C200)),ISNUMBER(SEARCH("Data",C200)),ISNUMBER(SEARCH("Technology",C200)),ISNUMBER(SEARCH("Technical",C200)),ISNUMBER(SEARCH("Engineering",C200)),ISNUMBER(SEARCH("Platform",C200)),ISNUMBER(SEARCH("Portfolio",C200))),85,65))</f>
        <v/>
      </c>
      <c r="W200" s="52">
        <f>IF(C200="","",MIN(100,50+IF(S200&lt;&gt;"",25,0)+IF(R200&lt;&gt;"",15,0)+IF(P200&lt;&gt;"",10,0)))</f>
        <v/>
      </c>
      <c r="X200" s="52">
        <f>IF(E200="","",IF(OR(E200="Canada",E200="CA"),100,IF(OR(E200="United States",E200="USA",E200="US"),IF(J200="Yes",45,75),65)))</f>
        <v/>
      </c>
      <c r="Y200" s="52">
        <f>IF(C200="","",IF(OR(ISNUMBER(SEARCH("Program",C200)),ISNUMBER(SEARCH("Portfolio",C200)),ISNUMBER(SEARCH("Operations",C200)),ISNUMBER(SEARCH("Transformation",C200))),85,IF(ISNUMBER(SEARCH("Product Manager",C200)),55,70)))</f>
        <v/>
      </c>
      <c r="Z200" s="52">
        <f>IF(C200="","",MIN(100,IF(I200&lt;&gt;"",60,10)+IF(AA200&gt;0,MIN(40,AA200*20),0)))</f>
        <v/>
      </c>
      <c r="AA200" s="52">
        <f>IF(T200="","",ROUND(T200*25%+U200*15%+V200*10%+W200*15%+X200*15%+Y200*10%+Z200*10%,0))</f>
        <v/>
      </c>
      <c r="AB200" s="52">
        <f>IF(AA200="","",IF(X200&lt;50,"Selective / Barrier",IF(AA200&gt;=80,"Tier 1 - Pursue",IF(AA200&gt;=70,"Tier 2 - Pursue",IF(AA200&gt;=60,"Tier 3 - Selective","Do Not Pursue")))))</f>
        <v/>
      </c>
      <c r="AC200" s="52">
        <f>IF(C200="","",IF(I200&lt;&gt;"","Named Contact",IF(AA200&gt;0,"Outreach Logged","Cold")))</f>
        <v/>
      </c>
      <c r="AD200" s="52">
        <f>IF(B200="","",COUNTIF('Outreach Log'!$C:$C,B200))</f>
        <v/>
      </c>
      <c r="AE200" s="52">
        <f>IF(A200="","",IF(OR(K200="Rejected",K200="Closed"),IF(L200&lt;&gt;"",L200-A200,TODAY()-A200),TODAY()-A200))</f>
        <v/>
      </c>
      <c r="AF200" s="52">
        <f>IF(C200="","",IF(AND(AA200&gt;=70,AC200="Cold"),"High-fit but cold",IF(AND(AA200&lt;60,K200="Applied"),"Low-fit application",IF(AND(AA200&gt;=70,OR(AC200="Named Contact",AC200="Outreach Logged")),"Targeted pursuit","Review"))))</f>
        <v/>
      </c>
    </row>
    <row r="201" ht="15" customHeight="1" s="44">
      <c r="A201" s="53" t="n">
        <v>46226</v>
      </c>
      <c r="B201" s="48" t="inlineStr">
        <is>
          <t>Slalom</t>
        </is>
      </c>
      <c r="C201" s="48" t="inlineStr">
        <is>
          <t>Data &amp; AI - Data Program Delivery Lead - Data Solution Owner</t>
        </is>
      </c>
      <c r="D201" s="48" t="n"/>
      <c r="E201" s="48" t="n"/>
      <c r="F201" s="48" t="n"/>
      <c r="G201" s="48" t="n"/>
      <c r="H201" s="48" t="n"/>
      <c r="I201" s="48" t="n"/>
      <c r="J201" s="48" t="n"/>
      <c r="K201" s="55" t="inlineStr">
        <is>
          <t>Applied</t>
        </is>
      </c>
      <c r="L201" s="48" t="n"/>
      <c r="M201" s="48" t="n"/>
      <c r="N201" s="48" t="n"/>
      <c r="O201" s="48" t="n"/>
      <c r="P201" s="51" t="n"/>
      <c r="Q201" s="48" t="n"/>
      <c r="R201" s="48" t="n"/>
      <c r="S201" s="51" t="n"/>
      <c r="T201" s="52">
        <f>IF(G201="","",G201)</f>
        <v/>
      </c>
      <c r="U201" s="52">
        <f>IF(C201="","",IF(OR(ISNUMBER(SEARCH("Director",C201)),ISNUMBER(SEARCH("Lead",C201)),ISNUMBER(SEARCH("Senior",C201)),ISNUMBER(SEARCH("Sr.",C201))),90,IF(OR(ISNUMBER(SEARCH("Manager",C201)),ISNUMBER(SEARCH("Program",C201)),ISNUMBER(SEARCH("Portfolio",C201))),80,60)))</f>
        <v/>
      </c>
      <c r="V201" s="52">
        <f>IF(C201="","",IF(OR(ISNUMBER(SEARCH("AI",C201)),ISNUMBER(SEARCH("Data",C201)),ISNUMBER(SEARCH("Technology",C201)),ISNUMBER(SEARCH("Technical",C201)),ISNUMBER(SEARCH("Engineering",C201)),ISNUMBER(SEARCH("Platform",C201)),ISNUMBER(SEARCH("Portfolio",C201))),85,65))</f>
        <v/>
      </c>
      <c r="W201" s="52">
        <f>IF(C201="","",MIN(100,50+IF(S201&lt;&gt;"",25,0)+IF(R201&lt;&gt;"",15,0)+IF(P201&lt;&gt;"",10,0)))</f>
        <v/>
      </c>
      <c r="X201" s="52">
        <f>IF(E201="","",IF(OR(E201="Canada",E201="CA"),100,IF(OR(E201="United States",E201="USA",E201="US"),IF(J201="Yes",45,75),65)))</f>
        <v/>
      </c>
      <c r="Y201" s="52">
        <f>IF(C201="","",IF(OR(ISNUMBER(SEARCH("Program",C201)),ISNUMBER(SEARCH("Portfolio",C201)),ISNUMBER(SEARCH("Operations",C201)),ISNUMBER(SEARCH("Transformation",C201))),85,IF(ISNUMBER(SEARCH("Product Manager",C201)),55,70)))</f>
        <v/>
      </c>
      <c r="Z201" s="52">
        <f>IF(C201="","",MIN(100,IF(I201&lt;&gt;"",60,10)+IF(AA201&gt;0,MIN(40,AA201*20),0)))</f>
        <v/>
      </c>
      <c r="AA201" s="52">
        <f>IF(T201="","",ROUND(T201*25%+U201*15%+V201*10%+W201*15%+X201*15%+Y201*10%+Z201*10%,0))</f>
        <v/>
      </c>
      <c r="AB201" s="52">
        <f>IF(AA201="","",IF(X201&lt;50,"Selective / Barrier",IF(AA201&gt;=80,"Tier 1 - Pursue",IF(AA201&gt;=70,"Tier 2 - Pursue",IF(AA201&gt;=60,"Tier 3 - Selective","Do Not Pursue")))))</f>
        <v/>
      </c>
      <c r="AC201" s="52">
        <f>IF(C201="","",IF(I201&lt;&gt;"","Named Contact",IF(AA201&gt;0,"Outreach Logged","Cold")))</f>
        <v/>
      </c>
      <c r="AD201" s="52">
        <f>IF(B201="","",COUNTIF('Outreach Log'!$C:$C,B201))</f>
        <v/>
      </c>
      <c r="AE201" s="52">
        <f>IF(A201="","",IF(OR(K201="Rejected",K201="Closed"),IF(L201&lt;&gt;"",L201-A201,TODAY()-A201),TODAY()-A201))</f>
        <v/>
      </c>
      <c r="AF201" s="52">
        <f>IF(C201="","",IF(AND(AA201&gt;=70,AC201="Cold"),"High-fit but cold",IF(AND(AA201&lt;60,K201="Applied"),"Low-fit application",IF(AND(AA201&gt;=70,OR(AC201="Named Contact",AC201="Outreach Logged")),"Targeted pursuit","Review"))))</f>
        <v/>
      </c>
    </row>
    <row r="202" ht="15" customHeight="1" s="44">
      <c r="A202" s="53" t="n">
        <v>46228</v>
      </c>
      <c r="B202" s="48" t="inlineStr">
        <is>
          <t>Domaine</t>
        </is>
      </c>
      <c r="C202" s="48" t="inlineStr">
        <is>
          <t>CRM Strategy &amp; Operations Lead</t>
        </is>
      </c>
      <c r="D202" s="48" t="inlineStr">
        <is>
          <t>Other</t>
        </is>
      </c>
      <c r="E202" s="48" t="inlineStr">
        <is>
          <t>Canada</t>
        </is>
      </c>
      <c r="F202" s="48" t="inlineStr">
        <is>
          <t>Toronto</t>
        </is>
      </c>
      <c r="G202" s="48" t="n">
        <v>35</v>
      </c>
      <c r="H202" s="48" t="inlineStr">
        <is>
          <t>Cold Portal</t>
        </is>
      </c>
      <c r="I202" s="48" t="n"/>
      <c r="J202" s="48" t="inlineStr">
        <is>
          <t>No</t>
        </is>
      </c>
      <c r="K202" s="49" t="inlineStr">
        <is>
          <t>Rejected</t>
        </is>
      </c>
      <c r="L202" s="50" t="n">
        <v>46230</v>
      </c>
      <c r="M202" s="48">
        <f>IF(OR(L109="",A109=""),"",L109-A109)</f>
        <v/>
      </c>
      <c r="N202" s="48" t="n"/>
      <c r="O202" s="48" t="n"/>
      <c r="P202" s="51" t="inlineStr">
        <is>
          <t>Role title corrected to "CRM Strategy &amp; Operations Lead" per rejection email. Rejection email received 07/27/2026 via Rippling ATS: "we won't be proceeding with your application at this time." Domain mismatch (non-core profile).</t>
        </is>
      </c>
      <c r="Q202" s="48" t="n"/>
      <c r="R202" s="48" t="n"/>
      <c r="S202" s="51" t="n"/>
      <c r="T202" s="52">
        <f>IF(G202="","",G202)</f>
        <v/>
      </c>
      <c r="U202" s="52">
        <f>IF(C202="","",IF(OR(ISNUMBER(SEARCH("Director",C202)),ISNUMBER(SEARCH("Lead",C202)),ISNUMBER(SEARCH("Senior",C202)),ISNUMBER(SEARCH("Sr.",C202))),90,IF(OR(ISNUMBER(SEARCH("Manager",C202)),ISNUMBER(SEARCH("Program",C202)),ISNUMBER(SEARCH("Portfolio",C202))),80,60)))</f>
        <v/>
      </c>
      <c r="V202" s="52">
        <f>IF(C202="","",IF(OR(ISNUMBER(SEARCH("AI",C202)),ISNUMBER(SEARCH("Data",C202)),ISNUMBER(SEARCH("Technology",C202)),ISNUMBER(SEARCH("Technical",C202)),ISNUMBER(SEARCH("Engineering",C202)),ISNUMBER(SEARCH("Platform",C202)),ISNUMBER(SEARCH("Portfolio",C202))),85,65))</f>
        <v/>
      </c>
      <c r="W202" s="52">
        <f>IF(C202="","",MIN(100,50+IF(S202&lt;&gt;"",25,0)+IF(R202&lt;&gt;"",15,0)+IF(P202&lt;&gt;"",10,0)))</f>
        <v/>
      </c>
      <c r="X202" s="52">
        <f>IF(E202="","",IF(OR(E202="Canada",E202="CA"),100,IF(OR(E202="United States",E202="USA",E202="US"),IF(J202="Yes",45,75),65)))</f>
        <v/>
      </c>
      <c r="Y202" s="52">
        <f>IF(C202="","",IF(OR(ISNUMBER(SEARCH("Program",C202)),ISNUMBER(SEARCH("Portfolio",C202)),ISNUMBER(SEARCH("Operations",C202)),ISNUMBER(SEARCH("Transformation",C202))),85,IF(ISNUMBER(SEARCH("Product Manager",C202)),55,70)))</f>
        <v/>
      </c>
      <c r="Z202" s="52">
        <f>IF(C202="","",MIN(100,IF(I202&lt;&gt;"",60,10)+IF(AA202&gt;0,MIN(40,AA202*20),0)))</f>
        <v/>
      </c>
      <c r="AA202" s="52">
        <f>IF(T202="","",ROUND(T202*25%+U202*15%+V202*10%+W202*15%+X202*15%+Y202*10%+Z202*10%,0))</f>
        <v/>
      </c>
      <c r="AB202" s="52">
        <f>IF(AA202="","",IF(X202&lt;50,"Selective / Barrier",IF(AA202&gt;=80,"Tier 1 - Pursue",IF(AA202&gt;=70,"Tier 2 - Pursue",IF(AA202&gt;=60,"Tier 3 - Selective","Do Not Pursue")))))</f>
        <v/>
      </c>
      <c r="AC202" s="52">
        <f>IF(C202="","",IF(I202&lt;&gt;"","Named Contact",IF(AA202&gt;0,"Outreach Logged","Cold")))</f>
        <v/>
      </c>
      <c r="AD202" s="52">
        <f>IF(B202="","",COUNTIF('Outreach Log'!$C:$C,B202))</f>
        <v/>
      </c>
      <c r="AE202" s="52">
        <f>IF(A202="","",IF(OR(K202="Rejected",K202="Closed"),IF(L202&lt;&gt;"",L202-A202,TODAY()-A202),TODAY()-A202))</f>
        <v/>
      </c>
      <c r="AF202" s="52">
        <f>IF(C202="","",IF(AND(AA202&gt;=70,AC202="Cold"),"High-fit but cold",IF(AND(AA202&lt;60,K202="Applied"),"Low-fit application",IF(AND(AA202&gt;=70,OR(AC202="Named Contact",AC202="Outreach Logged")),"Targeted pursuit","Review"))))</f>
        <v/>
      </c>
    </row>
    <row r="203" ht="15" customHeight="1" s="44">
      <c r="A203" s="53" t="n">
        <v>46229</v>
      </c>
      <c r="B203" s="48" t="inlineStr">
        <is>
          <t>Domaine</t>
        </is>
      </c>
      <c r="C203" s="48" t="inlineStr">
        <is>
          <t>CRM (role variant)</t>
        </is>
      </c>
      <c r="D203" s="48" t="n"/>
      <c r="E203" s="48" t="n"/>
      <c r="F203" s="48" t="n"/>
      <c r="G203" s="48" t="n"/>
      <c r="H203" s="48" t="n"/>
      <c r="I203" s="48" t="n"/>
      <c r="J203" s="48" t="n"/>
      <c r="K203" s="55" t="inlineStr">
        <is>
          <t>Applied</t>
        </is>
      </c>
      <c r="L203" s="48" t="n"/>
      <c r="M203" s="48" t="n"/>
      <c r="N203" s="48" t="n"/>
      <c r="O203" s="48" t="n"/>
      <c r="P203" s="51" t="inlineStr">
        <is>
          <t>Duplicate application</t>
        </is>
      </c>
      <c r="Q203" s="48" t="n"/>
      <c r="R203" s="48" t="n"/>
      <c r="S203" s="51" t="n"/>
      <c r="T203" s="52">
        <f>IF(G203="","",G203)</f>
        <v/>
      </c>
      <c r="U203" s="52">
        <f>IF(C203="","",IF(OR(ISNUMBER(SEARCH("Director",C203)),ISNUMBER(SEARCH("Lead",C203)),ISNUMBER(SEARCH("Senior",C203)),ISNUMBER(SEARCH("Sr.",C203))),90,IF(OR(ISNUMBER(SEARCH("Manager",C203)),ISNUMBER(SEARCH("Program",C203)),ISNUMBER(SEARCH("Portfolio",C203))),80,60)))</f>
        <v/>
      </c>
      <c r="V203" s="52">
        <f>IF(C203="","",IF(OR(ISNUMBER(SEARCH("AI",C203)),ISNUMBER(SEARCH("Data",C203)),ISNUMBER(SEARCH("Technology",C203)),ISNUMBER(SEARCH("Technical",C203)),ISNUMBER(SEARCH("Engineering",C203)),ISNUMBER(SEARCH("Platform",C203)),ISNUMBER(SEARCH("Portfolio",C203))),85,65))</f>
        <v/>
      </c>
      <c r="W203" s="52">
        <f>IF(C203="","",MIN(100,50+IF(S203&lt;&gt;"",25,0)+IF(R203&lt;&gt;"",15,0)+IF(P203&lt;&gt;"",10,0)))</f>
        <v/>
      </c>
      <c r="X203" s="52">
        <f>IF(E203="","",IF(OR(E203="Canada",E203="CA"),100,IF(OR(E203="United States",E203="USA",E203="US"),IF(J203="Yes",45,75),65)))</f>
        <v/>
      </c>
      <c r="Y203" s="52">
        <f>IF(C203="","",IF(OR(ISNUMBER(SEARCH("Program",C203)),ISNUMBER(SEARCH("Portfolio",C203)),ISNUMBER(SEARCH("Operations",C203)),ISNUMBER(SEARCH("Transformation",C203))),85,IF(ISNUMBER(SEARCH("Product Manager",C203)),55,70)))</f>
        <v/>
      </c>
      <c r="Z203" s="52">
        <f>IF(C203="","",MIN(100,IF(I203&lt;&gt;"",60,10)+IF(AA203&gt;0,MIN(40,AA203*20),0)))</f>
        <v/>
      </c>
      <c r="AA203" s="52">
        <f>IF(T203="","",ROUND(T203*25%+U203*15%+V203*10%+W203*15%+X203*15%+Y203*10%+Z203*10%,0))</f>
        <v/>
      </c>
      <c r="AB203" s="52">
        <f>IF(AA203="","",IF(X203&lt;50,"Selective / Barrier",IF(AA203&gt;=80,"Tier 1 - Pursue",IF(AA203&gt;=70,"Tier 2 - Pursue",IF(AA203&gt;=60,"Tier 3 - Selective","Do Not Pursue")))))</f>
        <v/>
      </c>
      <c r="AC203" s="52">
        <f>IF(C203="","",IF(I203&lt;&gt;"","Named Contact",IF(AA203&gt;0,"Outreach Logged","Cold")))</f>
        <v/>
      </c>
      <c r="AD203" s="52">
        <f>IF(B203="","",COUNTIF('Outreach Log'!$C:$C,B203))</f>
        <v/>
      </c>
      <c r="AE203" s="52">
        <f>IF(A203="","",IF(OR(K203="Rejected",K203="Closed"),IF(L203&lt;&gt;"",L203-A203,TODAY()-A203),TODAY()-A203))</f>
        <v/>
      </c>
      <c r="AF203" s="52">
        <f>IF(C203="","",IF(AND(AA203&gt;=70,AC203="Cold"),"High-fit but cold",IF(AND(AA203&lt;60,K203="Applied"),"Low-fit application",IF(AND(AA203&gt;=70,OR(AC203="Named Contact",AC203="Outreach Logged")),"Targeted pursuit","Review"))))</f>
        <v/>
      </c>
    </row>
    <row r="204" ht="15" customHeight="1" s="44">
      <c r="A204" s="53" t="n">
        <v>46230</v>
      </c>
      <c r="B204" s="48" t="inlineStr">
        <is>
          <t>Walmart Canada</t>
        </is>
      </c>
      <c r="C204" s="48" t="inlineStr">
        <is>
          <t>(CAN) Senior Manager, TPM</t>
        </is>
      </c>
      <c r="D204" s="48" t="inlineStr">
        <is>
          <t>Sr Manager</t>
        </is>
      </c>
      <c r="E204" s="48" t="inlineStr">
        <is>
          <t>Canada</t>
        </is>
      </c>
      <c r="F204" s="48" t="inlineStr">
        <is>
          <t>Toronto</t>
        </is>
      </c>
      <c r="G204" s="48" t="n">
        <v>75</v>
      </c>
      <c r="H204" s="48" t="inlineStr">
        <is>
          <t>Cold Portal</t>
        </is>
      </c>
      <c r="I204" s="48" t="n"/>
      <c r="J204" s="48" t="inlineStr">
        <is>
          <t>No</t>
        </is>
      </c>
      <c r="K204" s="49" t="inlineStr">
        <is>
          <t>Rejected</t>
        </is>
      </c>
      <c r="L204" s="50" t="n">
        <v>46232</v>
      </c>
      <c r="M204" s="48">
        <f>IF(OR(L110="",A110=""),"",L110-A110)</f>
        <v/>
      </c>
      <c r="N204" s="48" t="n"/>
      <c r="O204" s="48" t="n"/>
      <c r="P204" s="51" t="inlineStr">
        <is>
          <t>Strong Canadian fit; Rejection email received 07/29</t>
        </is>
      </c>
      <c r="Q204" s="48" t="n"/>
      <c r="R204" s="48" t="n"/>
      <c r="S204" s="51" t="n"/>
      <c r="T204" s="52">
        <f>IF(G204="","",G204)</f>
        <v/>
      </c>
      <c r="U204" s="52">
        <f>IF(C204="","",IF(OR(ISNUMBER(SEARCH("Director",C204)),ISNUMBER(SEARCH("Lead",C204)),ISNUMBER(SEARCH("Senior",C204)),ISNUMBER(SEARCH("Sr.",C204))),90,IF(OR(ISNUMBER(SEARCH("Manager",C204)),ISNUMBER(SEARCH("Program",C204)),ISNUMBER(SEARCH("Portfolio",C204))),80,60)))</f>
        <v/>
      </c>
      <c r="V204" s="52">
        <f>IF(C204="","",IF(OR(ISNUMBER(SEARCH("AI",C204)),ISNUMBER(SEARCH("Data",C204)),ISNUMBER(SEARCH("Technology",C204)),ISNUMBER(SEARCH("Technical",C204)),ISNUMBER(SEARCH("Engineering",C204)),ISNUMBER(SEARCH("Platform",C204)),ISNUMBER(SEARCH("Portfolio",C204))),85,65))</f>
        <v/>
      </c>
      <c r="W204" s="52">
        <f>IF(C204="","",MIN(100,50+IF(S204&lt;&gt;"",25,0)+IF(R204&lt;&gt;"",15,0)+IF(P204&lt;&gt;"",10,0)))</f>
        <v/>
      </c>
      <c r="X204" s="52">
        <f>IF(E204="","",IF(OR(E204="Canada",E204="CA"),100,IF(OR(E204="United States",E204="USA",E204="US"),IF(J204="Yes",45,75),65)))</f>
        <v/>
      </c>
      <c r="Y204" s="52">
        <f>IF(C204="","",IF(OR(ISNUMBER(SEARCH("Program",C204)),ISNUMBER(SEARCH("Portfolio",C204)),ISNUMBER(SEARCH("Operations",C204)),ISNUMBER(SEARCH("Transformation",C204))),85,IF(ISNUMBER(SEARCH("Product Manager",C204)),55,70)))</f>
        <v/>
      </c>
      <c r="Z204" s="52">
        <f>IF(C204="","",MIN(100,IF(I204&lt;&gt;"",60,10)+IF(AA204&gt;0,MIN(40,AA204*20),0)))</f>
        <v/>
      </c>
      <c r="AA204" s="52">
        <f>IF(T204="","",ROUND(T204*25%+U204*15%+V204*10%+W204*15%+X204*15%+Y204*10%+Z204*10%,0))</f>
        <v/>
      </c>
      <c r="AB204" s="52">
        <f>IF(AA204="","",IF(X204&lt;50,"Selective / Barrier",IF(AA204&gt;=80,"Tier 1 - Pursue",IF(AA204&gt;=70,"Tier 2 - Pursue",IF(AA204&gt;=60,"Tier 3 - Selective","Do Not Pursue")))))</f>
        <v/>
      </c>
      <c r="AC204" s="52">
        <f>IF(C204="","",IF(I204&lt;&gt;"","Named Contact",IF(AA204&gt;0,"Outreach Logged","Cold")))</f>
        <v/>
      </c>
      <c r="AD204" s="52">
        <f>IF(B204="","",COUNTIF('Outreach Log'!$C:$C,B204))</f>
        <v/>
      </c>
      <c r="AE204" s="52">
        <f>IF(A204="","",IF(OR(K204="Rejected",K204="Closed"),IF(L204&lt;&gt;"",L204-A204,TODAY()-A204),TODAY()-A204))</f>
        <v/>
      </c>
      <c r="AF204" s="52">
        <f>IF(C204="","",IF(AND(AA204&gt;=70,AC204="Cold"),"High-fit but cold",IF(AND(AA204&lt;60,K204="Applied"),"Low-fit application",IF(AND(AA204&gt;=70,OR(AC204="Named Contact",AC204="Outreach Logged")),"Targeted pursuit","Review"))))</f>
        <v/>
      </c>
    </row>
    <row r="205" ht="15" customHeight="1" s="44">
      <c r="A205" s="53" t="n">
        <v>46230</v>
      </c>
      <c r="B205" s="48" t="inlineStr">
        <is>
          <t>NVIDIA</t>
        </is>
      </c>
      <c r="C205" s="48" t="inlineStr">
        <is>
          <t>Senior Program Manager, Enterprise AI Software</t>
        </is>
      </c>
      <c r="D205" s="48" t="inlineStr">
        <is>
          <t>Sr Manager</t>
        </is>
      </c>
      <c r="E205" s="48" t="inlineStr">
        <is>
          <t>US</t>
        </is>
      </c>
      <c r="F205" s="48" t="inlineStr">
        <is>
          <t>Santa Clara/Remote</t>
        </is>
      </c>
      <c r="G205" s="48" t="n">
        <v>70</v>
      </c>
      <c r="H205" s="48" t="inlineStr">
        <is>
          <t>Cold Portal</t>
        </is>
      </c>
      <c r="I205" s="48" t="n"/>
      <c r="J205" s="48" t="inlineStr">
        <is>
          <t>Yes</t>
        </is>
      </c>
      <c r="K205" s="55" t="inlineStr">
        <is>
          <t>Applied</t>
        </is>
      </c>
      <c r="L205" s="48" t="n"/>
      <c r="M205" s="48">
        <f>IF(OR(L111="",A111=""),"",L111-A111)</f>
        <v/>
      </c>
      <c r="N205" s="48" t="n"/>
      <c r="O205" s="48" t="n"/>
      <c r="P205" s="51" t="n"/>
      <c r="Q205" s="48" t="n"/>
      <c r="R205" s="48" t="n"/>
      <c r="S205" s="51" t="n"/>
      <c r="T205" s="52">
        <f>IF(G205="","",G205)</f>
        <v/>
      </c>
      <c r="U205" s="52">
        <f>IF(C205="","",IF(OR(ISNUMBER(SEARCH("Director",C205)),ISNUMBER(SEARCH("Lead",C205)),ISNUMBER(SEARCH("Senior",C205)),ISNUMBER(SEARCH("Sr.",C205))),90,IF(OR(ISNUMBER(SEARCH("Manager",C205)),ISNUMBER(SEARCH("Program",C205)),ISNUMBER(SEARCH("Portfolio",C205))),80,60)))</f>
        <v/>
      </c>
      <c r="V205" s="52">
        <f>IF(C205="","",IF(OR(ISNUMBER(SEARCH("AI",C205)),ISNUMBER(SEARCH("Data",C205)),ISNUMBER(SEARCH("Technology",C205)),ISNUMBER(SEARCH("Technical",C205)),ISNUMBER(SEARCH("Engineering",C205)),ISNUMBER(SEARCH("Platform",C205)),ISNUMBER(SEARCH("Portfolio",C205))),85,65))</f>
        <v/>
      </c>
      <c r="W205" s="52">
        <f>IF(C205="","",MIN(100,50+IF(S205&lt;&gt;"",25,0)+IF(R205&lt;&gt;"",15,0)+IF(P205&lt;&gt;"",10,0)))</f>
        <v/>
      </c>
      <c r="X205" s="52">
        <f>IF(E205="","",IF(OR(E205="Canada",E205="CA"),100,IF(OR(E205="United States",E205="USA",E205="US"),IF(J205="Yes",45,75),65)))</f>
        <v/>
      </c>
      <c r="Y205" s="52">
        <f>IF(C205="","",IF(OR(ISNUMBER(SEARCH("Program",C205)),ISNUMBER(SEARCH("Portfolio",C205)),ISNUMBER(SEARCH("Operations",C205)),ISNUMBER(SEARCH("Transformation",C205))),85,IF(ISNUMBER(SEARCH("Product Manager",C205)),55,70)))</f>
        <v/>
      </c>
      <c r="Z205" s="52">
        <f>IF(C205="","",MIN(100,IF(I205&lt;&gt;"",60,10)+IF(AA205&gt;0,MIN(40,AA205*20),0)))</f>
        <v/>
      </c>
      <c r="AA205" s="52">
        <f>IF(T205="","",ROUND(T205*25%+U205*15%+V205*10%+W205*15%+X205*15%+Y205*10%+Z205*10%,0))</f>
        <v/>
      </c>
      <c r="AB205" s="52">
        <f>IF(AA205="","",IF(X205&lt;50,"Selective / Barrier",IF(AA205&gt;=80,"Tier 1 - Pursue",IF(AA205&gt;=70,"Tier 2 - Pursue",IF(AA205&gt;=60,"Tier 3 - Selective","Do Not Pursue")))))</f>
        <v/>
      </c>
      <c r="AC205" s="52">
        <f>IF(C205="","",IF(I205&lt;&gt;"","Named Contact",IF(AA205&gt;0,"Outreach Logged","Cold")))</f>
        <v/>
      </c>
      <c r="AD205" s="52">
        <f>IF(B205="","",COUNTIF('Outreach Log'!$C:$C,B205))</f>
        <v/>
      </c>
      <c r="AE205" s="52">
        <f>IF(A205="","",IF(OR(K205="Rejected",K205="Closed"),IF(L205&lt;&gt;"",L205-A205,TODAY()-A205),TODAY()-A205))</f>
        <v/>
      </c>
      <c r="AF205" s="52">
        <f>IF(C205="","",IF(AND(AA205&gt;=70,AC205="Cold"),"High-fit but cold",IF(AND(AA205&lt;60,K205="Applied"),"Low-fit application",IF(AND(AA205&gt;=70,OR(AC205="Named Contact",AC205="Outreach Logged")),"Targeted pursuit","Review"))))</f>
        <v/>
      </c>
    </row>
    <row r="206" ht="15" customHeight="1" s="44">
      <c r="A206" s="53" t="n">
        <v>46230</v>
      </c>
      <c r="B206" s="48" t="inlineStr">
        <is>
          <t>Capital One</t>
        </is>
      </c>
      <c r="C206" s="48" t="inlineStr">
        <is>
          <t>Director, Project Management (R246161)</t>
        </is>
      </c>
      <c r="D206" s="48" t="inlineStr">
        <is>
          <t>Director</t>
        </is>
      </c>
      <c r="E206" s="48" t="inlineStr">
        <is>
          <t>Canada</t>
        </is>
      </c>
      <c r="F206" s="48" t="inlineStr">
        <is>
          <t>Toronto</t>
        </is>
      </c>
      <c r="G206" s="48" t="n">
        <v>65</v>
      </c>
      <c r="H206" s="48" t="inlineStr">
        <is>
          <t>Cold Portal</t>
        </is>
      </c>
      <c r="I206" s="48" t="n"/>
      <c r="J206" s="48" t="inlineStr">
        <is>
          <t>No</t>
        </is>
      </c>
      <c r="K206" s="49" t="inlineStr">
        <is>
          <t>Rejected</t>
        </is>
      </c>
      <c r="L206" s="50" t="n">
        <v>46255</v>
      </c>
      <c r="M206" s="48">
        <f>IF(OR(L112="",A112=""),"",L112-A112)</f>
        <v/>
      </c>
      <c r="N206" s="48" t="n"/>
      <c r="O206" s="48" t="n"/>
      <c r="P206" s="51" t="inlineStr">
        <is>
          <t>REJECTED via Capital One Recruiting: "moving forward with other applicants who are further along in the process." Confirmed via Workday posting: req R246161, Capital One Canada, 161 Bay Street, Toronto — hybrid, 3 days/week in office, no sponsorship required. FIT SCORE 65%: strong match on strategic project management, cross-functional stakeholder influence, executive communication, structure-building in ambiguity (Bell/Amazon/IBM all direct evidence); 7+ years requirement cleared several times over. GAP: posting explicitly calls out "Team Development &amp; Coaching — passionate about coaching and developing associates through an empowering leadership style," implying real people-management scope beyond Elena's largest direct team (6 people, IBM CIO org, no formal coaching/development mandate at that scale). Same pattern as GitHub Director and Toronto Public Library roles — people-leadership/coaching bundled with program delivery. Original application date not confirmed with Elena — was not previously reviewed or logged prior to this rejection. Date Applied confirmed as 2026-07-27 via Capital One Workday candidate portal (Elena screenshot, 2026-09-03).</t>
        </is>
      </c>
      <c r="Q206" s="48" t="n"/>
      <c r="R206" s="48" t="n"/>
      <c r="S206" s="51" t="n"/>
      <c r="T206" s="52">
        <f>IF(G206="","",G206)</f>
        <v/>
      </c>
      <c r="U206" s="52">
        <f>IF(C206="","",IF(OR(ISNUMBER(SEARCH("Director",C206)),ISNUMBER(SEARCH("Lead",C206)),ISNUMBER(SEARCH("Senior",C206)),ISNUMBER(SEARCH("Sr.",C206))),90,IF(OR(ISNUMBER(SEARCH("Manager",C206)),ISNUMBER(SEARCH("Program",C206)),ISNUMBER(SEARCH("Portfolio",C206))),80,60)))</f>
        <v/>
      </c>
      <c r="V206" s="52">
        <f>IF(C206="","",IF(OR(ISNUMBER(SEARCH("AI",C206)),ISNUMBER(SEARCH("Data",C206)),ISNUMBER(SEARCH("Technology",C206)),ISNUMBER(SEARCH("Technical",C206)),ISNUMBER(SEARCH("Engineering",C206)),ISNUMBER(SEARCH("Platform",C206)),ISNUMBER(SEARCH("Portfolio",C206))),85,65))</f>
        <v/>
      </c>
      <c r="W206" s="52">
        <f>IF(C206="","",MIN(100,50+IF(S206&lt;&gt;"",25,0)+IF(R206&lt;&gt;"",15,0)+IF(P206&lt;&gt;"",10,0)))</f>
        <v/>
      </c>
      <c r="X206" s="52">
        <f>IF(E206="","",IF(OR(E206="Canada",E206="CA"),100,IF(OR(E206="United States",E206="USA",E206="US"),IF(J206="Yes",45,75),65)))</f>
        <v/>
      </c>
      <c r="Y206" s="52">
        <f>IF(C206="","",IF(OR(ISNUMBER(SEARCH("Program",C206)),ISNUMBER(SEARCH("Portfolio",C206)),ISNUMBER(SEARCH("Operations",C206)),ISNUMBER(SEARCH("Transformation",C206))),85,IF(ISNUMBER(SEARCH("Product Manager",C206)),55,70)))</f>
        <v/>
      </c>
      <c r="Z206" s="52">
        <f>IF(C206="","",MIN(100,IF(I206&lt;&gt;"",60,10)+IF(AA206&gt;0,MIN(40,AA206*20),0)))</f>
        <v/>
      </c>
      <c r="AA206" s="52">
        <f>IF(T206="","",ROUND(T206*25%+U206*15%+V206*10%+W206*15%+X206*15%+Y206*10%+Z206*10%,0))</f>
        <v/>
      </c>
      <c r="AB206" s="52">
        <f>IF(AA206="","",IF(X206&lt;50,"Selective / Barrier",IF(AA206&gt;=80,"Tier 1 - Pursue",IF(AA206&gt;=70,"Tier 2 - Pursue",IF(AA206&gt;=60,"Tier 3 - Selective","Do Not Pursue")))))</f>
        <v/>
      </c>
      <c r="AC206" s="52">
        <f>IF(C206="","",IF(I206&lt;&gt;"","Named Contact",IF(AA206&gt;0,"Outreach Logged","Cold")))</f>
        <v/>
      </c>
      <c r="AD206" s="52">
        <f>IF(B206="","",COUNTIF('Outreach Log'!$C:$C,B206))</f>
        <v/>
      </c>
      <c r="AE206" s="52">
        <f>IF(A206="","",IF(OR(K206="Rejected",K206="Closed"),IF(L206&lt;&gt;"",L206-A206,TODAY()-A206),TODAY()-A206))</f>
        <v/>
      </c>
      <c r="AF206" s="52">
        <f>IF(C206="","",IF(AND(AA206&gt;=70,AC206="Cold"),"High-fit but cold",IF(AND(AA206&lt;60,K206="Applied"),"Low-fit application",IF(AND(AA206&gt;=70,OR(AC206="Named Contact",AC206="Outreach Logged")),"Targeted pursuit","Review"))))</f>
        <v/>
      </c>
    </row>
    <row r="207" ht="15" customHeight="1" s="44">
      <c r="A207" s="53" t="n">
        <v>46230</v>
      </c>
      <c r="B207" s="48" t="inlineStr">
        <is>
          <t>Wayfair</t>
        </is>
      </c>
      <c r="C207" s="48" t="inlineStr">
        <is>
          <t>Associate Director, Technical Program Management</t>
        </is>
      </c>
      <c r="D207" s="48" t="n"/>
      <c r="E207" s="48" t="n"/>
      <c r="F207" s="48" t="n"/>
      <c r="G207" s="48" t="n"/>
      <c r="H207" s="48" t="n"/>
      <c r="I207" s="48" t="n"/>
      <c r="J207" s="48" t="n"/>
      <c r="K207" s="55" t="inlineStr">
        <is>
          <t>Applied</t>
        </is>
      </c>
      <c r="L207" s="48" t="n"/>
      <c r="M207" s="48" t="n"/>
      <c r="N207" s="48" t="n"/>
      <c r="O207" s="48" t="n"/>
      <c r="P207" s="51" t="inlineStr">
        <is>
          <t>Duplicate</t>
        </is>
      </c>
      <c r="Q207" s="48" t="n"/>
      <c r="R207" s="48" t="n"/>
      <c r="S207" s="51" t="n"/>
      <c r="T207" s="52">
        <f>IF(G207="","",G207)</f>
        <v/>
      </c>
      <c r="U207" s="52">
        <f>IF(C207="","",IF(OR(ISNUMBER(SEARCH("Director",C207)),ISNUMBER(SEARCH("Lead",C207)),ISNUMBER(SEARCH("Senior",C207)),ISNUMBER(SEARCH("Sr.",C207))),90,IF(OR(ISNUMBER(SEARCH("Manager",C207)),ISNUMBER(SEARCH("Program",C207)),ISNUMBER(SEARCH("Portfolio",C207))),80,60)))</f>
        <v/>
      </c>
      <c r="V207" s="52">
        <f>IF(C207="","",IF(OR(ISNUMBER(SEARCH("AI",C207)),ISNUMBER(SEARCH("Data",C207)),ISNUMBER(SEARCH("Technology",C207)),ISNUMBER(SEARCH("Technical",C207)),ISNUMBER(SEARCH("Engineering",C207)),ISNUMBER(SEARCH("Platform",C207)),ISNUMBER(SEARCH("Portfolio",C207))),85,65))</f>
        <v/>
      </c>
      <c r="W207" s="52">
        <f>IF(C207="","",MIN(100,50+IF(S207&lt;&gt;"",25,0)+IF(R207&lt;&gt;"",15,0)+IF(P207&lt;&gt;"",10,0)))</f>
        <v/>
      </c>
      <c r="X207" s="52">
        <f>IF(E207="","",IF(OR(E207="Canada",E207="CA"),100,IF(OR(E207="United States",E207="USA",E207="US"),IF(J207="Yes",45,75),65)))</f>
        <v/>
      </c>
      <c r="Y207" s="52">
        <f>IF(C207="","",IF(OR(ISNUMBER(SEARCH("Program",C207)),ISNUMBER(SEARCH("Portfolio",C207)),ISNUMBER(SEARCH("Operations",C207)),ISNUMBER(SEARCH("Transformation",C207))),85,IF(ISNUMBER(SEARCH("Product Manager",C207)),55,70)))</f>
        <v/>
      </c>
      <c r="Z207" s="52">
        <f>IF(C207="","",MIN(100,IF(I207&lt;&gt;"",60,10)+IF(AA207&gt;0,MIN(40,AA207*20),0)))</f>
        <v/>
      </c>
      <c r="AA207" s="52">
        <f>IF(T207="","",ROUND(T207*25%+U207*15%+V207*10%+W207*15%+X207*15%+Y207*10%+Z207*10%,0))</f>
        <v/>
      </c>
      <c r="AB207" s="52">
        <f>IF(AA207="","",IF(X207&lt;50,"Selective / Barrier",IF(AA207&gt;=80,"Tier 1 - Pursue",IF(AA207&gt;=70,"Tier 2 - Pursue",IF(AA207&gt;=60,"Tier 3 - Selective","Do Not Pursue")))))</f>
        <v/>
      </c>
      <c r="AC207" s="52">
        <f>IF(C207="","",IF(I207&lt;&gt;"","Named Contact",IF(AA207&gt;0,"Outreach Logged","Cold")))</f>
        <v/>
      </c>
      <c r="AD207" s="52">
        <f>IF(B207="","",COUNTIF('Outreach Log'!$C:$C,B207))</f>
        <v/>
      </c>
      <c r="AE207" s="52">
        <f>IF(A207="","",IF(OR(K207="Rejected",K207="Closed"),IF(L207&lt;&gt;"",L207-A207,TODAY()-A207),TODAY()-A207))</f>
        <v/>
      </c>
      <c r="AF207" s="52">
        <f>IF(C207="","",IF(AND(AA207&gt;=70,AC207="Cold"),"High-fit but cold",IF(AND(AA207&lt;60,K207="Applied"),"Low-fit application",IF(AND(AA207&gt;=70,OR(AC207="Named Contact",AC207="Outreach Logged")),"Targeted pursuit","Review"))))</f>
        <v/>
      </c>
    </row>
    <row r="208" ht="15" customHeight="1" s="44">
      <c r="A208" s="53" t="n">
        <v>46230</v>
      </c>
      <c r="B208" s="48" t="inlineStr">
        <is>
          <t>Walmart</t>
        </is>
      </c>
      <c r="C208" s="48" t="inlineStr">
        <is>
          <t>(CAN) Senior Manager, Technical Program Management</t>
        </is>
      </c>
      <c r="D208" s="48" t="n"/>
      <c r="E208" s="48" t="n"/>
      <c r="F208" s="48" t="n"/>
      <c r="G208" s="48" t="n"/>
      <c r="H208" s="48" t="n"/>
      <c r="I208" s="48" t="n"/>
      <c r="J208" s="48" t="n"/>
      <c r="K208" s="55" t="inlineStr">
        <is>
          <t>Applied</t>
        </is>
      </c>
      <c r="L208" s="48" t="n"/>
      <c r="M208" s="48" t="n"/>
      <c r="N208" s="48" t="n"/>
      <c r="O208" s="48" t="n"/>
      <c r="P208" s="51" t="n"/>
      <c r="Q208" s="48" t="n"/>
      <c r="R208" s="48" t="n"/>
      <c r="S208" s="51" t="n"/>
      <c r="T208" s="52">
        <f>IF(G208="","",G208)</f>
        <v/>
      </c>
      <c r="U208" s="52">
        <f>IF(C208="","",IF(OR(ISNUMBER(SEARCH("Director",C208)),ISNUMBER(SEARCH("Lead",C208)),ISNUMBER(SEARCH("Senior",C208)),ISNUMBER(SEARCH("Sr.",C208))),90,IF(OR(ISNUMBER(SEARCH("Manager",C208)),ISNUMBER(SEARCH("Program",C208)),ISNUMBER(SEARCH("Portfolio",C208))),80,60)))</f>
        <v/>
      </c>
      <c r="V208" s="52">
        <f>IF(C208="","",IF(OR(ISNUMBER(SEARCH("AI",C208)),ISNUMBER(SEARCH("Data",C208)),ISNUMBER(SEARCH("Technology",C208)),ISNUMBER(SEARCH("Technical",C208)),ISNUMBER(SEARCH("Engineering",C208)),ISNUMBER(SEARCH("Platform",C208)),ISNUMBER(SEARCH("Portfolio",C208))),85,65))</f>
        <v/>
      </c>
      <c r="W208" s="52">
        <f>IF(C208="","",MIN(100,50+IF(S208&lt;&gt;"",25,0)+IF(R208&lt;&gt;"",15,0)+IF(P208&lt;&gt;"",10,0)))</f>
        <v/>
      </c>
      <c r="X208" s="52">
        <f>IF(E208="","",IF(OR(E208="Canada",E208="CA"),100,IF(OR(E208="United States",E208="USA",E208="US"),IF(J208="Yes",45,75),65)))</f>
        <v/>
      </c>
      <c r="Y208" s="52">
        <f>IF(C208="","",IF(OR(ISNUMBER(SEARCH("Program",C208)),ISNUMBER(SEARCH("Portfolio",C208)),ISNUMBER(SEARCH("Operations",C208)),ISNUMBER(SEARCH("Transformation",C208))),85,IF(ISNUMBER(SEARCH("Product Manager",C208)),55,70)))</f>
        <v/>
      </c>
      <c r="Z208" s="52">
        <f>IF(C208="","",MIN(100,IF(I208&lt;&gt;"",60,10)+IF(AA208&gt;0,MIN(40,AA208*20),0)))</f>
        <v/>
      </c>
      <c r="AA208" s="52">
        <f>IF(T208="","",ROUND(T208*25%+U208*15%+V208*10%+W208*15%+X208*15%+Y208*10%+Z208*10%,0))</f>
        <v/>
      </c>
      <c r="AB208" s="52">
        <f>IF(AA208="","",IF(X208&lt;50,"Selective / Barrier",IF(AA208&gt;=80,"Tier 1 - Pursue",IF(AA208&gt;=70,"Tier 2 - Pursue",IF(AA208&gt;=60,"Tier 3 - Selective","Do Not Pursue")))))</f>
        <v/>
      </c>
      <c r="AC208" s="52">
        <f>IF(C208="","",IF(I208&lt;&gt;"","Named Contact",IF(AA208&gt;0,"Outreach Logged","Cold")))</f>
        <v/>
      </c>
      <c r="AD208" s="52">
        <f>IF(B208="","",COUNTIF('Outreach Log'!$C:$C,B208))</f>
        <v/>
      </c>
      <c r="AE208" s="52">
        <f>IF(A208="","",IF(OR(K208="Rejected",K208="Closed"),IF(L208&lt;&gt;"",L208-A208,TODAY()-A208),TODAY()-A208))</f>
        <v/>
      </c>
      <c r="AF208" s="52">
        <f>IF(C208="","",IF(AND(AA208&gt;=70,AC208="Cold"),"High-fit but cold",IF(AND(AA208&lt;60,K208="Applied"),"Low-fit application",IF(AND(AA208&gt;=70,OR(AC208="Named Contact",AC208="Outreach Logged")),"Targeted pursuit","Review"))))</f>
        <v/>
      </c>
    </row>
    <row r="209" ht="15" customHeight="1" s="44">
      <c r="A209" s="53" t="n">
        <v>46231</v>
      </c>
      <c r="B209" s="48" t="inlineStr">
        <is>
          <t>Scale AI</t>
        </is>
      </c>
      <c r="C209" s="48" t="inlineStr">
        <is>
          <t>Technical Program Manager, Enterprise</t>
        </is>
      </c>
      <c r="D209" s="48" t="inlineStr">
        <is>
          <t>Sr TPM</t>
        </is>
      </c>
      <c r="E209" s="48" t="inlineStr">
        <is>
          <t>US</t>
        </is>
      </c>
      <c r="F209" s="48" t="inlineStr">
        <is>
          <t>NY/SF</t>
        </is>
      </c>
      <c r="G209" s="48" t="n">
        <v>78</v>
      </c>
      <c r="H209" s="48" t="inlineStr">
        <is>
          <t>Cold Portal</t>
        </is>
      </c>
      <c r="I209" s="48" t="n"/>
      <c r="J209" s="48" t="inlineStr">
        <is>
          <t>Yes</t>
        </is>
      </c>
      <c r="K209" s="49" t="inlineStr">
        <is>
          <t>Rejected</t>
        </is>
      </c>
      <c r="L209" s="50" t="n">
        <v>46233</v>
      </c>
      <c r="M209" s="48">
        <f>IF(OR(L113="",A113=""),"",L113-A113)</f>
        <v/>
      </c>
      <c r="N209" s="48" t="n"/>
      <c r="O209" s="48" t="n"/>
      <c r="P209" s="51" t="inlineStr">
        <is>
          <t>Rejection email received 07/30</t>
        </is>
      </c>
      <c r="Q209" s="48" t="n"/>
      <c r="R209" s="48" t="n"/>
      <c r="S209" s="51" t="n"/>
      <c r="T209" s="52">
        <f>IF(G209="","",G209)</f>
        <v/>
      </c>
      <c r="U209" s="52">
        <f>IF(C209="","",IF(OR(ISNUMBER(SEARCH("Director",C209)),ISNUMBER(SEARCH("Lead",C209)),ISNUMBER(SEARCH("Senior",C209)),ISNUMBER(SEARCH("Sr.",C209))),90,IF(OR(ISNUMBER(SEARCH("Manager",C209)),ISNUMBER(SEARCH("Program",C209)),ISNUMBER(SEARCH("Portfolio",C209))),80,60)))</f>
        <v/>
      </c>
      <c r="V209" s="52">
        <f>IF(C209="","",IF(OR(ISNUMBER(SEARCH("AI",C209)),ISNUMBER(SEARCH("Data",C209)),ISNUMBER(SEARCH("Technology",C209)),ISNUMBER(SEARCH("Technical",C209)),ISNUMBER(SEARCH("Engineering",C209)),ISNUMBER(SEARCH("Platform",C209)),ISNUMBER(SEARCH("Portfolio",C209))),85,65))</f>
        <v/>
      </c>
      <c r="W209" s="52">
        <f>IF(C209="","",MIN(100,50+IF(S209&lt;&gt;"",25,0)+IF(R209&lt;&gt;"",15,0)+IF(P209&lt;&gt;"",10,0)))</f>
        <v/>
      </c>
      <c r="X209" s="52">
        <f>IF(E209="","",IF(OR(E209="Canada",E209="CA"),100,IF(OR(E209="United States",E209="USA",E209="US"),IF(J209="Yes",45,75),65)))</f>
        <v/>
      </c>
      <c r="Y209" s="52">
        <f>IF(C209="","",IF(OR(ISNUMBER(SEARCH("Program",C209)),ISNUMBER(SEARCH("Portfolio",C209)),ISNUMBER(SEARCH("Operations",C209)),ISNUMBER(SEARCH("Transformation",C209))),85,IF(ISNUMBER(SEARCH("Product Manager",C209)),55,70)))</f>
        <v/>
      </c>
      <c r="Z209" s="52">
        <f>IF(C209="","",MIN(100,IF(I209&lt;&gt;"",60,10)+IF(AA209&gt;0,MIN(40,AA209*20),0)))</f>
        <v/>
      </c>
      <c r="AA209" s="52">
        <f>IF(T209="","",ROUND(T209*25%+U209*15%+V209*10%+W209*15%+X209*15%+Y209*10%+Z209*10%,0))</f>
        <v/>
      </c>
      <c r="AB209" s="52">
        <f>IF(AA209="","",IF(X209&lt;50,"Selective / Barrier",IF(AA209&gt;=80,"Tier 1 - Pursue",IF(AA209&gt;=70,"Tier 2 - Pursue",IF(AA209&gt;=60,"Tier 3 - Selective","Do Not Pursue")))))</f>
        <v/>
      </c>
      <c r="AC209" s="52">
        <f>IF(C209="","",IF(I209&lt;&gt;"","Named Contact",IF(AA209&gt;0,"Outreach Logged","Cold")))</f>
        <v/>
      </c>
      <c r="AD209" s="52">
        <f>IF(B209="","",COUNTIF('Outreach Log'!$C:$C,B209))</f>
        <v/>
      </c>
      <c r="AE209" s="52">
        <f>IF(A209="","",IF(OR(K209="Rejected",K209="Closed"),IF(L209&lt;&gt;"",L209-A209,TODAY()-A209),TODAY()-A209))</f>
        <v/>
      </c>
      <c r="AF209" s="52">
        <f>IF(C209="","",IF(AND(AA209&gt;=70,AC209="Cold"),"High-fit but cold",IF(AND(AA209&lt;60,K209="Applied"),"Low-fit application",IF(AND(AA209&gt;=70,OR(AC209="Named Contact",AC209="Outreach Logged")),"Targeted pursuit","Review"))))</f>
        <v/>
      </c>
    </row>
    <row r="210" ht="15" customHeight="1" s="44">
      <c r="A210" s="53" t="n">
        <v>46231</v>
      </c>
      <c r="B210" s="48" t="inlineStr">
        <is>
          <t>Wayfair</t>
        </is>
      </c>
      <c r="C210" s="48" t="inlineStr">
        <is>
          <t>Associate Director, TPM (2nd)</t>
        </is>
      </c>
      <c r="D210" s="48" t="inlineStr">
        <is>
          <t>Assoc Director</t>
        </is>
      </c>
      <c r="E210" s="48" t="inlineStr">
        <is>
          <t>US</t>
        </is>
      </c>
      <c r="F210" s="48" t="inlineStr">
        <is>
          <t>Boston</t>
        </is>
      </c>
      <c r="G210" s="48" t="n">
        <v>80</v>
      </c>
      <c r="H210" s="48" t="inlineStr">
        <is>
          <t>Cold Portal</t>
        </is>
      </c>
      <c r="I210" s="48" t="n"/>
      <c r="J210" s="48" t="inlineStr">
        <is>
          <t>Yes</t>
        </is>
      </c>
      <c r="K210" s="55" t="inlineStr">
        <is>
          <t>Applied</t>
        </is>
      </c>
      <c r="L210" s="48" t="n"/>
      <c r="M210" s="48">
        <f>IF(OR(L114="",A114=""),"",L114-A114)</f>
        <v/>
      </c>
      <c r="N210" s="48" t="n"/>
      <c r="O210" s="48" t="n"/>
      <c r="P210" s="51" t="inlineStr">
        <is>
          <t>Duplicate application</t>
        </is>
      </c>
      <c r="Q210" s="48" t="n"/>
      <c r="R210" s="48" t="n"/>
      <c r="S210" s="51" t="n"/>
      <c r="T210" s="52">
        <f>IF(G210="","",G210)</f>
        <v/>
      </c>
      <c r="U210" s="52">
        <f>IF(C210="","",IF(OR(ISNUMBER(SEARCH("Director",C210)),ISNUMBER(SEARCH("Lead",C210)),ISNUMBER(SEARCH("Senior",C210)),ISNUMBER(SEARCH("Sr.",C210))),90,IF(OR(ISNUMBER(SEARCH("Manager",C210)),ISNUMBER(SEARCH("Program",C210)),ISNUMBER(SEARCH("Portfolio",C210))),80,60)))</f>
        <v/>
      </c>
      <c r="V210" s="52">
        <f>IF(C210="","",IF(OR(ISNUMBER(SEARCH("AI",C210)),ISNUMBER(SEARCH("Data",C210)),ISNUMBER(SEARCH("Technology",C210)),ISNUMBER(SEARCH("Technical",C210)),ISNUMBER(SEARCH("Engineering",C210)),ISNUMBER(SEARCH("Platform",C210)),ISNUMBER(SEARCH("Portfolio",C210))),85,65))</f>
        <v/>
      </c>
      <c r="W210" s="52">
        <f>IF(C210="","",MIN(100,50+IF(S210&lt;&gt;"",25,0)+IF(R210&lt;&gt;"",15,0)+IF(P210&lt;&gt;"",10,0)))</f>
        <v/>
      </c>
      <c r="X210" s="52">
        <f>IF(E210="","",IF(OR(E210="Canada",E210="CA"),100,IF(OR(E210="United States",E210="USA",E210="US"),IF(J210="Yes",45,75),65)))</f>
        <v/>
      </c>
      <c r="Y210" s="52">
        <f>IF(C210="","",IF(OR(ISNUMBER(SEARCH("Program",C210)),ISNUMBER(SEARCH("Portfolio",C210)),ISNUMBER(SEARCH("Operations",C210)),ISNUMBER(SEARCH("Transformation",C210))),85,IF(ISNUMBER(SEARCH("Product Manager",C210)),55,70)))</f>
        <v/>
      </c>
      <c r="Z210" s="52">
        <f>IF(C210="","",MIN(100,IF(I210&lt;&gt;"",60,10)+IF(AA210&gt;0,MIN(40,AA210*20),0)))</f>
        <v/>
      </c>
      <c r="AA210" s="52">
        <f>IF(T210="","",ROUND(T210*25%+U210*15%+V210*10%+W210*15%+X210*15%+Y210*10%+Z210*10%,0))</f>
        <v/>
      </c>
      <c r="AB210" s="52">
        <f>IF(AA210="","",IF(X210&lt;50,"Selective / Barrier",IF(AA210&gt;=80,"Tier 1 - Pursue",IF(AA210&gt;=70,"Tier 2 - Pursue",IF(AA210&gt;=60,"Tier 3 - Selective","Do Not Pursue")))))</f>
        <v/>
      </c>
      <c r="AC210" s="52">
        <f>IF(C210="","",IF(I210&lt;&gt;"","Named Contact",IF(AA210&gt;0,"Outreach Logged","Cold")))</f>
        <v/>
      </c>
      <c r="AD210" s="52">
        <f>IF(B210="","",COUNTIF('Outreach Log'!$C:$C,B210))</f>
        <v/>
      </c>
      <c r="AE210" s="52">
        <f>IF(A210="","",IF(OR(K210="Rejected",K210="Closed"),IF(L210&lt;&gt;"",L210-A210,TODAY()-A210),TODAY()-A210))</f>
        <v/>
      </c>
      <c r="AF210" s="52">
        <f>IF(C210="","",IF(AND(AA210&gt;=70,AC210="Cold"),"High-fit but cold",IF(AND(AA210&lt;60,K210="Applied"),"Low-fit application",IF(AND(AA210&gt;=70,OR(AC210="Named Contact",AC210="Outreach Logged")),"Targeted pursuit","Review"))))</f>
        <v/>
      </c>
    </row>
    <row r="211" ht="15" customHeight="1" s="44">
      <c r="A211" s="53" t="n">
        <v>46231</v>
      </c>
      <c r="B211" s="48" t="inlineStr">
        <is>
          <t>Scale AI</t>
        </is>
      </c>
      <c r="C211" s="48" t="inlineStr">
        <is>
          <t>(role unspecified)</t>
        </is>
      </c>
      <c r="D211" s="48" t="n"/>
      <c r="E211" s="48" t="n"/>
      <c r="F211" s="48" t="n"/>
      <c r="G211" s="48" t="n"/>
      <c r="H211" s="48" t="n"/>
      <c r="I211" s="48" t="n"/>
      <c r="J211" s="48" t="n"/>
      <c r="K211" s="55" t="inlineStr">
        <is>
          <t>Applied</t>
        </is>
      </c>
      <c r="L211" s="48" t="n"/>
      <c r="M211" s="48" t="n"/>
      <c r="N211" s="48" t="n"/>
      <c r="O211" s="48" t="n"/>
      <c r="P211" s="51" t="inlineStr">
        <is>
          <t>Duplicate confirmation</t>
        </is>
      </c>
      <c r="Q211" s="48" t="n"/>
      <c r="R211" s="48" t="n"/>
      <c r="S211" s="51" t="n"/>
      <c r="T211" s="52">
        <f>IF(G211="","",G211)</f>
        <v/>
      </c>
      <c r="U211" s="52">
        <f>IF(C211="","",IF(OR(ISNUMBER(SEARCH("Director",C211)),ISNUMBER(SEARCH("Lead",C211)),ISNUMBER(SEARCH("Senior",C211)),ISNUMBER(SEARCH("Sr.",C211))),90,IF(OR(ISNUMBER(SEARCH("Manager",C211)),ISNUMBER(SEARCH("Program",C211)),ISNUMBER(SEARCH("Portfolio",C211))),80,60)))</f>
        <v/>
      </c>
      <c r="V211" s="52">
        <f>IF(C211="","",IF(OR(ISNUMBER(SEARCH("AI",C211)),ISNUMBER(SEARCH("Data",C211)),ISNUMBER(SEARCH("Technology",C211)),ISNUMBER(SEARCH("Technical",C211)),ISNUMBER(SEARCH("Engineering",C211)),ISNUMBER(SEARCH("Platform",C211)),ISNUMBER(SEARCH("Portfolio",C211))),85,65))</f>
        <v/>
      </c>
      <c r="W211" s="52">
        <f>IF(C211="","",MIN(100,50+IF(S211&lt;&gt;"",25,0)+IF(R211&lt;&gt;"",15,0)+IF(P211&lt;&gt;"",10,0)))</f>
        <v/>
      </c>
      <c r="X211" s="52">
        <f>IF(E211="","",IF(OR(E211="Canada",E211="CA"),100,IF(OR(E211="United States",E211="USA",E211="US"),IF(J211="Yes",45,75),65)))</f>
        <v/>
      </c>
      <c r="Y211" s="52">
        <f>IF(C211="","",IF(OR(ISNUMBER(SEARCH("Program",C211)),ISNUMBER(SEARCH("Portfolio",C211)),ISNUMBER(SEARCH("Operations",C211)),ISNUMBER(SEARCH("Transformation",C211))),85,IF(ISNUMBER(SEARCH("Product Manager",C211)),55,70)))</f>
        <v/>
      </c>
      <c r="Z211" s="52">
        <f>IF(C211="","",MIN(100,IF(I211&lt;&gt;"",60,10)+IF(AA211&gt;0,MIN(40,AA211*20),0)))</f>
        <v/>
      </c>
      <c r="AA211" s="52">
        <f>IF(T211="","",ROUND(T211*25%+U211*15%+V211*10%+W211*15%+X211*15%+Y211*10%+Z211*10%,0))</f>
        <v/>
      </c>
      <c r="AB211" s="52">
        <f>IF(AA211="","",IF(X211&lt;50,"Selective / Barrier",IF(AA211&gt;=80,"Tier 1 - Pursue",IF(AA211&gt;=70,"Tier 2 - Pursue",IF(AA211&gt;=60,"Tier 3 - Selective","Do Not Pursue")))))</f>
        <v/>
      </c>
      <c r="AC211" s="52">
        <f>IF(C211="","",IF(I211&lt;&gt;"","Named Contact",IF(AA211&gt;0,"Outreach Logged","Cold")))</f>
        <v/>
      </c>
      <c r="AD211" s="52">
        <f>IF(B211="","",COUNTIF('Outreach Log'!$C:$C,B211))</f>
        <v/>
      </c>
      <c r="AE211" s="52">
        <f>IF(A211="","",IF(OR(K211="Rejected",K211="Closed"),IF(L211&lt;&gt;"",L211-A211,TODAY()-A211),TODAY()-A211))</f>
        <v/>
      </c>
      <c r="AF211" s="52">
        <f>IF(C211="","",IF(AND(AA211&gt;=70,AC211="Cold"),"High-fit but cold",IF(AND(AA211&lt;60,K211="Applied"),"Low-fit application",IF(AND(AA211&gt;=70,OR(AC211="Named Contact",AC211="Outreach Logged")),"Targeted pursuit","Review"))))</f>
        <v/>
      </c>
    </row>
    <row r="212" ht="15" customHeight="1" s="44">
      <c r="A212" s="53" t="n">
        <v>46231</v>
      </c>
      <c r="B212" s="48" t="inlineStr">
        <is>
          <t>Wayfair</t>
        </is>
      </c>
      <c r="C212" s="48" t="inlineStr">
        <is>
          <t>Associate Director, Technical Program Management</t>
        </is>
      </c>
      <c r="D212" s="48" t="n"/>
      <c r="E212" s="48" t="n"/>
      <c r="F212" s="48" t="n"/>
      <c r="G212" s="48" t="n"/>
      <c r="H212" s="48" t="n"/>
      <c r="I212" s="48" t="n"/>
      <c r="J212" s="48" t="n"/>
      <c r="K212" s="55" t="inlineStr">
        <is>
          <t>Applied</t>
        </is>
      </c>
      <c r="L212" s="48" t="n"/>
      <c r="M212" s="48" t="n"/>
      <c r="N212" s="48" t="n"/>
      <c r="O212" s="48" t="n"/>
      <c r="P212" s="51" t="inlineStr">
        <is>
          <t>Duplicate (see Jul 20/27)</t>
        </is>
      </c>
      <c r="Q212" s="48" t="n"/>
      <c r="R212" s="48" t="n"/>
      <c r="S212" s="51" t="n"/>
      <c r="T212" s="52">
        <f>IF(G212="","",G212)</f>
        <v/>
      </c>
      <c r="U212" s="52">
        <f>IF(C212="","",IF(OR(ISNUMBER(SEARCH("Director",C212)),ISNUMBER(SEARCH("Lead",C212)),ISNUMBER(SEARCH("Senior",C212)),ISNUMBER(SEARCH("Sr.",C212))),90,IF(OR(ISNUMBER(SEARCH("Manager",C212)),ISNUMBER(SEARCH("Program",C212)),ISNUMBER(SEARCH("Portfolio",C212))),80,60)))</f>
        <v/>
      </c>
      <c r="V212" s="52">
        <f>IF(C212="","",IF(OR(ISNUMBER(SEARCH("AI",C212)),ISNUMBER(SEARCH("Data",C212)),ISNUMBER(SEARCH("Technology",C212)),ISNUMBER(SEARCH("Technical",C212)),ISNUMBER(SEARCH("Engineering",C212)),ISNUMBER(SEARCH("Platform",C212)),ISNUMBER(SEARCH("Portfolio",C212))),85,65))</f>
        <v/>
      </c>
      <c r="W212" s="52">
        <f>IF(C212="","",MIN(100,50+IF(S212&lt;&gt;"",25,0)+IF(R212&lt;&gt;"",15,0)+IF(P212&lt;&gt;"",10,0)))</f>
        <v/>
      </c>
      <c r="X212" s="52">
        <f>IF(E212="","",IF(OR(E212="Canada",E212="CA"),100,IF(OR(E212="United States",E212="USA",E212="US"),IF(J212="Yes",45,75),65)))</f>
        <v/>
      </c>
      <c r="Y212" s="52">
        <f>IF(C212="","",IF(OR(ISNUMBER(SEARCH("Program",C212)),ISNUMBER(SEARCH("Portfolio",C212)),ISNUMBER(SEARCH("Operations",C212)),ISNUMBER(SEARCH("Transformation",C212))),85,IF(ISNUMBER(SEARCH("Product Manager",C212)),55,70)))</f>
        <v/>
      </c>
      <c r="Z212" s="52">
        <f>IF(C212="","",MIN(100,IF(I212&lt;&gt;"",60,10)+IF(AA212&gt;0,MIN(40,AA212*20),0)))</f>
        <v/>
      </c>
      <c r="AA212" s="52">
        <f>IF(T212="","",ROUND(T212*25%+U212*15%+V212*10%+W212*15%+X212*15%+Y212*10%+Z212*10%,0))</f>
        <v/>
      </c>
      <c r="AB212" s="52">
        <f>IF(AA212="","",IF(X212&lt;50,"Selective / Barrier",IF(AA212&gt;=80,"Tier 1 - Pursue",IF(AA212&gt;=70,"Tier 2 - Pursue",IF(AA212&gt;=60,"Tier 3 - Selective","Do Not Pursue")))))</f>
        <v/>
      </c>
      <c r="AC212" s="52">
        <f>IF(C212="","",IF(I212&lt;&gt;"","Named Contact",IF(AA212&gt;0,"Outreach Logged","Cold")))</f>
        <v/>
      </c>
      <c r="AD212" s="52">
        <f>IF(B212="","",COUNTIF('Outreach Log'!$C:$C,B212))</f>
        <v/>
      </c>
      <c r="AE212" s="52">
        <f>IF(A212="","",IF(OR(K212="Rejected",K212="Closed"),IF(L212&lt;&gt;"",L212-A212,TODAY()-A212),TODAY()-A212))</f>
        <v/>
      </c>
      <c r="AF212" s="52">
        <f>IF(C212="","",IF(AND(AA212&gt;=70,AC212="Cold"),"High-fit but cold",IF(AND(AA212&lt;60,K212="Applied"),"Low-fit application",IF(AND(AA212&gt;=70,OR(AC212="Named Contact",AC212="Outreach Logged")),"Targeted pursuit","Review"))))</f>
        <v/>
      </c>
    </row>
    <row r="213" ht="15" customHeight="1" s="44">
      <c r="A213" s="53" t="n">
        <v>46231</v>
      </c>
      <c r="B213" s="48" t="inlineStr">
        <is>
          <t>SI Systems (contract)</t>
        </is>
      </c>
      <c r="C213" s="48" t="inlineStr">
        <is>
          <t>Project Manager (Elections Specialist)</t>
        </is>
      </c>
      <c r="D213" s="48" t="n"/>
      <c r="E213" s="48" t="n"/>
      <c r="F213" s="48" t="n"/>
      <c r="G213" s="48" t="n"/>
      <c r="H213" s="48" t="n"/>
      <c r="I213" s="48" t="n"/>
      <c r="J213" s="48" t="n"/>
      <c r="K213" s="49" t="inlineStr">
        <is>
          <t>Rejected</t>
        </is>
      </c>
      <c r="L213" s="48" t="n"/>
      <c r="M213" s="48" t="n"/>
      <c r="N213" s="48" t="n"/>
      <c r="O213" s="48" t="n"/>
      <c r="P213" s="51" t="inlineStr">
        <is>
          <t>Rejected (per Greenhouse portal review, Sep 20 2026). Another candidate selected</t>
        </is>
      </c>
      <c r="Q213" s="48" t="n"/>
      <c r="R213" s="48" t="n"/>
      <c r="S213" s="51" t="n"/>
      <c r="T213" s="52">
        <f>IF(G213="","",G213)</f>
        <v/>
      </c>
      <c r="U213" s="52">
        <f>IF(C213="","",IF(OR(ISNUMBER(SEARCH("Director",C213)),ISNUMBER(SEARCH("Lead",C213)),ISNUMBER(SEARCH("Senior",C213)),ISNUMBER(SEARCH("Sr.",C213))),90,IF(OR(ISNUMBER(SEARCH("Manager",C213)),ISNUMBER(SEARCH("Program",C213)),ISNUMBER(SEARCH("Portfolio",C213))),80,60)))</f>
        <v/>
      </c>
      <c r="V213" s="52">
        <f>IF(C213="","",IF(OR(ISNUMBER(SEARCH("AI",C213)),ISNUMBER(SEARCH("Data",C213)),ISNUMBER(SEARCH("Technology",C213)),ISNUMBER(SEARCH("Technical",C213)),ISNUMBER(SEARCH("Engineering",C213)),ISNUMBER(SEARCH("Platform",C213)),ISNUMBER(SEARCH("Portfolio",C213))),85,65))</f>
        <v/>
      </c>
      <c r="W213" s="52">
        <f>IF(C213="","",MIN(100,50+IF(S213&lt;&gt;"",25,0)+IF(R213&lt;&gt;"",15,0)+IF(P213&lt;&gt;"",10,0)))</f>
        <v/>
      </c>
      <c r="X213" s="52">
        <f>IF(E213="","",IF(OR(E213="Canada",E213="CA"),100,IF(OR(E213="United States",E213="USA",E213="US"),IF(J213="Yes",45,75),65)))</f>
        <v/>
      </c>
      <c r="Y213" s="52">
        <f>IF(C213="","",IF(OR(ISNUMBER(SEARCH("Program",C213)),ISNUMBER(SEARCH("Portfolio",C213)),ISNUMBER(SEARCH("Operations",C213)),ISNUMBER(SEARCH("Transformation",C213))),85,IF(ISNUMBER(SEARCH("Product Manager",C213)),55,70)))</f>
        <v/>
      </c>
      <c r="Z213" s="52">
        <f>IF(C213="","",MIN(100,IF(I213&lt;&gt;"",60,10)+IF(AA213&gt;0,MIN(40,AA213*20),0)))</f>
        <v/>
      </c>
      <c r="AA213" s="52">
        <f>IF(T213="","",ROUND(T213*25%+U213*15%+V213*10%+W213*15%+X213*15%+Y213*10%+Z213*10%,0))</f>
        <v/>
      </c>
      <c r="AB213" s="52">
        <f>IF(AA213="","",IF(X213&lt;50,"Selective / Barrier",IF(AA213&gt;=80,"Tier 1 - Pursue",IF(AA213&gt;=70,"Tier 2 - Pursue",IF(AA213&gt;=60,"Tier 3 - Selective","Do Not Pursue")))))</f>
        <v/>
      </c>
      <c r="AC213" s="52">
        <f>IF(C213="","",IF(I213&lt;&gt;"","Named Contact",IF(AA213&gt;0,"Outreach Logged","Cold")))</f>
        <v/>
      </c>
      <c r="AD213" s="52">
        <f>IF(B213="","",COUNTIF('Outreach Log'!$C:$C,B213))</f>
        <v/>
      </c>
      <c r="AE213" s="52">
        <f>IF(A213="","",IF(OR(K213="Rejected",K213="Closed"),IF(L213&lt;&gt;"",L213-A213,TODAY()-A213),TODAY()-A213))</f>
        <v/>
      </c>
      <c r="AF213" s="52">
        <f>IF(C213="","",IF(AND(AA213&gt;=70,AC213="Cold"),"High-fit but cold",IF(AND(AA213&lt;60,K213="Applied"),"Low-fit application",IF(AND(AA213&gt;=70,OR(AC213="Named Contact",AC213="Outreach Logged")),"Targeted pursuit","Review"))))</f>
        <v/>
      </c>
    </row>
    <row r="214" ht="15" customHeight="1" s="44">
      <c r="A214" s="53" t="n">
        <v>46232</v>
      </c>
      <c r="B214" s="48" t="inlineStr">
        <is>
          <t>S.i. Systems</t>
        </is>
      </c>
      <c r="C214" s="48" t="inlineStr">
        <is>
          <t>Agile Lead - PMO - Analytics and Data Products</t>
        </is>
      </c>
      <c r="D214" s="48" t="inlineStr">
        <is>
          <t>Sr Manager</t>
        </is>
      </c>
      <c r="E214" s="48" t="inlineStr">
        <is>
          <t>Canada</t>
        </is>
      </c>
      <c r="F214" s="48" t="inlineStr">
        <is>
          <t>Toronto</t>
        </is>
      </c>
      <c r="G214" s="48" t="n">
        <v>75</v>
      </c>
      <c r="H214" s="48" t="inlineStr">
        <is>
          <t>Recruiter</t>
        </is>
      </c>
      <c r="I214" s="48" t="n"/>
      <c r="J214" s="48" t="inlineStr">
        <is>
          <t>No</t>
        </is>
      </c>
      <c r="K214" s="49" t="inlineStr">
        <is>
          <t>Rejected</t>
        </is>
      </c>
      <c r="L214" s="50" t="n">
        <v>46261</v>
      </c>
      <c r="M214" s="48">
        <f>IF(OR(L115="",A115=""),"",L115-A115)</f>
        <v/>
      </c>
      <c r="N214" s="48" t="n"/>
      <c r="O214" s="48" t="n"/>
      <c r="P214" s="51" t="inlineStr">
        <is>
          <t>Applicant 24. Rejected 2026-08-27 via natalia.fong@sisystems.com (Si Systems) - role filled.</t>
        </is>
      </c>
      <c r="Q214" s="48" t="n"/>
      <c r="R214" s="48" t="n"/>
      <c r="S214" s="51" t="n"/>
      <c r="T214" s="52">
        <f>IF(G214="","",G214)</f>
        <v/>
      </c>
      <c r="U214" s="52">
        <f>IF(C214="","",IF(OR(ISNUMBER(SEARCH("Director",C214)),ISNUMBER(SEARCH("Lead",C214)),ISNUMBER(SEARCH("Senior",C214)),ISNUMBER(SEARCH("Sr.",C214))),90,IF(OR(ISNUMBER(SEARCH("Manager",C214)),ISNUMBER(SEARCH("Program",C214)),ISNUMBER(SEARCH("Portfolio",C214))),80,60)))</f>
        <v/>
      </c>
      <c r="V214" s="52">
        <f>IF(C214="","",IF(OR(ISNUMBER(SEARCH("AI",C214)),ISNUMBER(SEARCH("Data",C214)),ISNUMBER(SEARCH("Technology",C214)),ISNUMBER(SEARCH("Technical",C214)),ISNUMBER(SEARCH("Engineering",C214)),ISNUMBER(SEARCH("Platform",C214)),ISNUMBER(SEARCH("Portfolio",C214))),85,65))</f>
        <v/>
      </c>
      <c r="W214" s="52">
        <f>IF(C214="","",MIN(100,50+IF(S214&lt;&gt;"",25,0)+IF(R214&lt;&gt;"",15,0)+IF(P214&lt;&gt;"",10,0)))</f>
        <v/>
      </c>
      <c r="X214" s="52">
        <f>IF(E214="","",IF(OR(E214="Canada",E214="CA"),100,IF(OR(E214="United States",E214="USA",E214="US"),IF(J214="Yes",45,75),65)))</f>
        <v/>
      </c>
      <c r="Y214" s="52">
        <f>IF(C214="","",IF(OR(ISNUMBER(SEARCH("Program",C214)),ISNUMBER(SEARCH("Portfolio",C214)),ISNUMBER(SEARCH("Operations",C214)),ISNUMBER(SEARCH("Transformation",C214))),85,IF(ISNUMBER(SEARCH("Product Manager",C214)),55,70)))</f>
        <v/>
      </c>
      <c r="Z214" s="52">
        <f>IF(C214="","",MIN(100,IF(I214&lt;&gt;"",60,10)+IF(AA214&gt;0,MIN(40,AA214*20),0)))</f>
        <v/>
      </c>
      <c r="AA214" s="52">
        <f>IF(T214="","",ROUND(T214*25%+U214*15%+V214*10%+W214*15%+X214*15%+Y214*10%+Z214*10%,0))</f>
        <v/>
      </c>
      <c r="AB214" s="52">
        <f>IF(AA214="","",IF(X214&lt;50,"Selective / Barrier",IF(AA214&gt;=80,"Tier 1 - Pursue",IF(AA214&gt;=70,"Tier 2 - Pursue",IF(AA214&gt;=60,"Tier 3 - Selective","Do Not Pursue")))))</f>
        <v/>
      </c>
      <c r="AC214" s="52">
        <f>IF(C214="","",IF(I214&lt;&gt;"","Named Contact",IF(AA214&gt;0,"Outreach Logged","Cold")))</f>
        <v/>
      </c>
      <c r="AD214" s="52">
        <f>IF(B214="","",COUNTIF('Outreach Log'!$C:$C,B214))</f>
        <v/>
      </c>
      <c r="AE214" s="52">
        <f>IF(A214="","",IF(OR(K214="Rejected",K214="Closed"),IF(L214&lt;&gt;"",L214-A214,TODAY()-A214),TODAY()-A214))</f>
        <v/>
      </c>
      <c r="AF214" s="52">
        <f>IF(C214="","",IF(AND(AA214&gt;=70,AC214="Cold"),"High-fit but cold",IF(AND(AA214&lt;60,K214="Applied"),"Low-fit application",IF(AND(AA214&gt;=70,OR(AC214="Named Contact",AC214="Outreach Logged")),"Targeted pursuit","Review"))))</f>
        <v/>
      </c>
    </row>
    <row r="215" ht="15" customHeight="1" s="44">
      <c r="A215" s="53" t="n">
        <v>46232</v>
      </c>
      <c r="B215" s="48" t="inlineStr">
        <is>
          <t>S.i. Systems</t>
        </is>
      </c>
      <c r="C215" s="48" t="inlineStr">
        <is>
          <t>Project Manager - Healthcare Technology</t>
        </is>
      </c>
      <c r="D215" s="48" t="inlineStr">
        <is>
          <t>Sr TPM</t>
        </is>
      </c>
      <c r="E215" s="48" t="inlineStr">
        <is>
          <t>Canada</t>
        </is>
      </c>
      <c r="F215" s="48" t="inlineStr">
        <is>
          <t>Toronto</t>
        </is>
      </c>
      <c r="G215" s="48" t="n">
        <v>65</v>
      </c>
      <c r="H215" s="48" t="inlineStr">
        <is>
          <t>Recruiter</t>
        </is>
      </c>
      <c r="I215" s="48" t="n"/>
      <c r="J215" s="48" t="inlineStr">
        <is>
          <t>No</t>
        </is>
      </c>
      <c r="K215" s="55" t="inlineStr">
        <is>
          <t>Applied</t>
        </is>
      </c>
      <c r="L215" s="48" t="n"/>
      <c r="M215" s="48">
        <f>IF(OR(L116="",A116=""),"",L116-A116)</f>
        <v/>
      </c>
      <c r="N215" s="48" t="n"/>
      <c r="O215" s="48" t="n"/>
      <c r="P215" s="51" t="inlineStr">
        <is>
          <t>Applicant 18</t>
        </is>
      </c>
      <c r="Q215" s="48" t="n"/>
      <c r="R215" s="48" t="n"/>
      <c r="S215" s="51" t="n"/>
      <c r="T215" s="52">
        <f>IF(G215="","",G215)</f>
        <v/>
      </c>
      <c r="U215" s="52">
        <f>IF(C215="","",IF(OR(ISNUMBER(SEARCH("Director",C215)),ISNUMBER(SEARCH("Lead",C215)),ISNUMBER(SEARCH("Senior",C215)),ISNUMBER(SEARCH("Sr.",C215))),90,IF(OR(ISNUMBER(SEARCH("Manager",C215)),ISNUMBER(SEARCH("Program",C215)),ISNUMBER(SEARCH("Portfolio",C215))),80,60)))</f>
        <v/>
      </c>
      <c r="V215" s="52">
        <f>IF(C215="","",IF(OR(ISNUMBER(SEARCH("AI",C215)),ISNUMBER(SEARCH("Data",C215)),ISNUMBER(SEARCH("Technology",C215)),ISNUMBER(SEARCH("Technical",C215)),ISNUMBER(SEARCH("Engineering",C215)),ISNUMBER(SEARCH("Platform",C215)),ISNUMBER(SEARCH("Portfolio",C215))),85,65))</f>
        <v/>
      </c>
      <c r="W215" s="52">
        <f>IF(C215="","",MIN(100,50+IF(S215&lt;&gt;"",25,0)+IF(R215&lt;&gt;"",15,0)+IF(P215&lt;&gt;"",10,0)))</f>
        <v/>
      </c>
      <c r="X215" s="52">
        <f>IF(E215="","",IF(OR(E215="Canada",E215="CA"),100,IF(OR(E215="United States",E215="USA",E215="US"),IF(J215="Yes",45,75),65)))</f>
        <v/>
      </c>
      <c r="Y215" s="52">
        <f>IF(C215="","",IF(OR(ISNUMBER(SEARCH("Program",C215)),ISNUMBER(SEARCH("Portfolio",C215)),ISNUMBER(SEARCH("Operations",C215)),ISNUMBER(SEARCH("Transformation",C215))),85,IF(ISNUMBER(SEARCH("Product Manager",C215)),55,70)))</f>
        <v/>
      </c>
      <c r="Z215" s="52">
        <f>IF(C215="","",MIN(100,IF(I215&lt;&gt;"",60,10)+IF(AA215&gt;0,MIN(40,AA215*20),0)))</f>
        <v/>
      </c>
      <c r="AA215" s="52">
        <f>IF(T215="","",ROUND(T215*25%+U215*15%+V215*10%+W215*15%+X215*15%+Y215*10%+Z215*10%,0))</f>
        <v/>
      </c>
      <c r="AB215" s="52">
        <f>IF(AA215="","",IF(X215&lt;50,"Selective / Barrier",IF(AA215&gt;=80,"Tier 1 - Pursue",IF(AA215&gt;=70,"Tier 2 - Pursue",IF(AA215&gt;=60,"Tier 3 - Selective","Do Not Pursue")))))</f>
        <v/>
      </c>
      <c r="AC215" s="52">
        <f>IF(C215="","",IF(I215&lt;&gt;"","Named Contact",IF(AA215&gt;0,"Outreach Logged","Cold")))</f>
        <v/>
      </c>
      <c r="AD215" s="52">
        <f>IF(B215="","",COUNTIF('Outreach Log'!$C:$C,B215))</f>
        <v/>
      </c>
      <c r="AE215" s="52">
        <f>IF(A215="","",IF(OR(K215="Rejected",K215="Closed"),IF(L215&lt;&gt;"",L215-A215,TODAY()-A215),TODAY()-A215))</f>
        <v/>
      </c>
      <c r="AF215" s="52">
        <f>IF(C215="","",IF(AND(AA215&gt;=70,AC215="Cold"),"High-fit but cold",IF(AND(AA215&lt;60,K215="Applied"),"Low-fit application",IF(AND(AA215&gt;=70,OR(AC215="Named Contact",AC215="Outreach Logged")),"Targeted pursuit","Review"))))</f>
        <v/>
      </c>
    </row>
    <row r="216" ht="15" customHeight="1" s="44">
      <c r="A216" s="53" t="n">
        <v>46232</v>
      </c>
      <c r="B216" s="48" t="inlineStr">
        <is>
          <t>S.i. Systems</t>
        </is>
      </c>
      <c r="C216" s="48" t="inlineStr">
        <is>
          <t>Sr Program Manager - digital asset technology</t>
        </is>
      </c>
      <c r="D216" s="48" t="inlineStr">
        <is>
          <t>Sr TPM</t>
        </is>
      </c>
      <c r="E216" s="48" t="inlineStr">
        <is>
          <t>Canada</t>
        </is>
      </c>
      <c r="F216" s="48" t="inlineStr">
        <is>
          <t>Toronto</t>
        </is>
      </c>
      <c r="G216" s="48" t="n">
        <v>70</v>
      </c>
      <c r="H216" s="48" t="inlineStr">
        <is>
          <t>Recruiter</t>
        </is>
      </c>
      <c r="I216" s="48" t="n"/>
      <c r="J216" s="48" t="inlineStr">
        <is>
          <t>No</t>
        </is>
      </c>
      <c r="K216" s="49" t="inlineStr">
        <is>
          <t>Rejected</t>
        </is>
      </c>
      <c r="L216" s="50" t="n">
        <v>46267</v>
      </c>
      <c r="M216" s="48">
        <f>IF(OR(L117="",A117=""),"",L117-A117)</f>
        <v/>
      </c>
      <c r="N216" s="48" t="n"/>
      <c r="O216" s="48" t="n"/>
      <c r="P216" s="51" t="inlineStr">
        <is>
          <t>Applicant 10 | Rejected 2026-09-02 via lisa.chesnick@sisystems.com (S.i. Systems), req 105533-1: client selected another candidate for "Senior Program Manager (10+ years) - digital asset technology programs and mobilization initiatives."</t>
        </is>
      </c>
      <c r="Q216" s="48" t="n"/>
      <c r="R216" s="48" t="n"/>
      <c r="S216" s="51" t="n"/>
      <c r="T216" s="52">
        <f>IF(G216="","",G216)</f>
        <v/>
      </c>
      <c r="U216" s="52">
        <f>IF(C216="","",IF(OR(ISNUMBER(SEARCH("Director",C216)),ISNUMBER(SEARCH("Lead",C216)),ISNUMBER(SEARCH("Senior",C216)),ISNUMBER(SEARCH("Sr.",C216))),90,IF(OR(ISNUMBER(SEARCH("Manager",C216)),ISNUMBER(SEARCH("Program",C216)),ISNUMBER(SEARCH("Portfolio",C216))),80,60)))</f>
        <v/>
      </c>
      <c r="V216" s="52">
        <f>IF(C216="","",IF(OR(ISNUMBER(SEARCH("AI",C216)),ISNUMBER(SEARCH("Data",C216)),ISNUMBER(SEARCH("Technology",C216)),ISNUMBER(SEARCH("Technical",C216)),ISNUMBER(SEARCH("Engineering",C216)),ISNUMBER(SEARCH("Platform",C216)),ISNUMBER(SEARCH("Portfolio",C216))),85,65))</f>
        <v/>
      </c>
      <c r="W216" s="52">
        <f>IF(C216="","",MIN(100,50+IF(S216&lt;&gt;"",25,0)+IF(R216&lt;&gt;"",15,0)+IF(P216&lt;&gt;"",10,0)))</f>
        <v/>
      </c>
      <c r="X216" s="52">
        <f>IF(E216="","",IF(OR(E216="Canada",E216="CA"),100,IF(OR(E216="United States",E216="USA",E216="US"),IF(J216="Yes",45,75),65)))</f>
        <v/>
      </c>
      <c r="Y216" s="52">
        <f>IF(C216="","",IF(OR(ISNUMBER(SEARCH("Program",C216)),ISNUMBER(SEARCH("Portfolio",C216)),ISNUMBER(SEARCH("Operations",C216)),ISNUMBER(SEARCH("Transformation",C216))),85,IF(ISNUMBER(SEARCH("Product Manager",C216)),55,70)))</f>
        <v/>
      </c>
      <c r="Z216" s="52">
        <f>IF(C216="","",MIN(100,IF(I216&lt;&gt;"",60,10)+IF(AA216&gt;0,MIN(40,AA216*20),0)))</f>
        <v/>
      </c>
      <c r="AA216" s="52">
        <f>IF(T216="","",ROUND(T216*25%+U216*15%+V216*10%+W216*15%+X216*15%+Y216*10%+Z216*10%,0))</f>
        <v/>
      </c>
      <c r="AB216" s="52">
        <f>IF(AA216="","",IF(X216&lt;50,"Selective / Barrier",IF(AA216&gt;=80,"Tier 1 - Pursue",IF(AA216&gt;=70,"Tier 2 - Pursue",IF(AA216&gt;=60,"Tier 3 - Selective","Do Not Pursue")))))</f>
        <v/>
      </c>
      <c r="AC216" s="52">
        <f>IF(C216="","",IF(I216&lt;&gt;"","Named Contact",IF(AA216&gt;0,"Outreach Logged","Cold")))</f>
        <v/>
      </c>
      <c r="AD216" s="52">
        <f>IF(B216="","",COUNTIF('Outreach Log'!$C:$C,B216))</f>
        <v/>
      </c>
      <c r="AE216" s="52">
        <f>IF(A216="","",IF(OR(K216="Rejected",K216="Closed"),IF(L216&lt;&gt;"",L216-A216,TODAY()-A216),TODAY()-A216))</f>
        <v/>
      </c>
      <c r="AF216" s="52">
        <f>IF(C216="","",IF(AND(AA216&gt;=70,AC216="Cold"),"High-fit but cold",IF(AND(AA216&lt;60,K216="Applied"),"Low-fit application",IF(AND(AA216&gt;=70,OR(AC216="Named Contact",AC216="Outreach Logged")),"Targeted pursuit","Review"))))</f>
        <v/>
      </c>
    </row>
    <row r="217" ht="15" customHeight="1" s="44">
      <c r="A217" s="53" t="n">
        <v>46232</v>
      </c>
      <c r="B217" s="48" t="inlineStr">
        <is>
          <t>S.i. Systems</t>
        </is>
      </c>
      <c r="C217" s="48" t="inlineStr">
        <is>
          <t>Frontline Systems PM / Transformation Lead</t>
        </is>
      </c>
      <c r="D217" s="48" t="inlineStr">
        <is>
          <t>Sr TPM</t>
        </is>
      </c>
      <c r="E217" s="48" t="inlineStr">
        <is>
          <t>Canada</t>
        </is>
      </c>
      <c r="F217" s="48" t="inlineStr">
        <is>
          <t>Toronto</t>
        </is>
      </c>
      <c r="G217" s="48" t="n">
        <v>60</v>
      </c>
      <c r="H217" s="48" t="inlineStr">
        <is>
          <t>Recruiter</t>
        </is>
      </c>
      <c r="I217" s="48" t="n"/>
      <c r="J217" s="48" t="inlineStr">
        <is>
          <t>No</t>
        </is>
      </c>
      <c r="K217" s="55" t="inlineStr">
        <is>
          <t>Applied</t>
        </is>
      </c>
      <c r="L217" s="48" t="n"/>
      <c r="M217" s="48">
        <f>IF(OR(L118="",A118=""),"",L118-A118)</f>
        <v/>
      </c>
      <c r="N217" s="48" t="n"/>
      <c r="O217" s="48" t="n"/>
      <c r="P217" s="51" t="inlineStr">
        <is>
          <t>Applicant 10</t>
        </is>
      </c>
      <c r="Q217" s="48" t="n"/>
      <c r="R217" s="48" t="n"/>
      <c r="S217" s="51" t="n"/>
      <c r="T217" s="52">
        <f>IF(G217="","",G217)</f>
        <v/>
      </c>
      <c r="U217" s="52">
        <f>IF(C217="","",IF(OR(ISNUMBER(SEARCH("Director",C217)),ISNUMBER(SEARCH("Lead",C217)),ISNUMBER(SEARCH("Senior",C217)),ISNUMBER(SEARCH("Sr.",C217))),90,IF(OR(ISNUMBER(SEARCH("Manager",C217)),ISNUMBER(SEARCH("Program",C217)),ISNUMBER(SEARCH("Portfolio",C217))),80,60)))</f>
        <v/>
      </c>
      <c r="V217" s="52">
        <f>IF(C217="","",IF(OR(ISNUMBER(SEARCH("AI",C217)),ISNUMBER(SEARCH("Data",C217)),ISNUMBER(SEARCH("Technology",C217)),ISNUMBER(SEARCH("Technical",C217)),ISNUMBER(SEARCH("Engineering",C217)),ISNUMBER(SEARCH("Platform",C217)),ISNUMBER(SEARCH("Portfolio",C217))),85,65))</f>
        <v/>
      </c>
      <c r="W217" s="52">
        <f>IF(C217="","",MIN(100,50+IF(S217&lt;&gt;"",25,0)+IF(R217&lt;&gt;"",15,0)+IF(P217&lt;&gt;"",10,0)))</f>
        <v/>
      </c>
      <c r="X217" s="52">
        <f>IF(E217="","",IF(OR(E217="Canada",E217="CA"),100,IF(OR(E217="United States",E217="USA",E217="US"),IF(J217="Yes",45,75),65)))</f>
        <v/>
      </c>
      <c r="Y217" s="52">
        <f>IF(C217="","",IF(OR(ISNUMBER(SEARCH("Program",C217)),ISNUMBER(SEARCH("Portfolio",C217)),ISNUMBER(SEARCH("Operations",C217)),ISNUMBER(SEARCH("Transformation",C217))),85,IF(ISNUMBER(SEARCH("Product Manager",C217)),55,70)))</f>
        <v/>
      </c>
      <c r="Z217" s="52">
        <f>IF(C217="","",MIN(100,IF(I217&lt;&gt;"",60,10)+IF(AA217&gt;0,MIN(40,AA217*20),0)))</f>
        <v/>
      </c>
      <c r="AA217" s="52">
        <f>IF(T217="","",ROUND(T217*25%+U217*15%+V217*10%+W217*15%+X217*15%+Y217*10%+Z217*10%,0))</f>
        <v/>
      </c>
      <c r="AB217" s="52">
        <f>IF(AA217="","",IF(X217&lt;50,"Selective / Barrier",IF(AA217&gt;=80,"Tier 1 - Pursue",IF(AA217&gt;=70,"Tier 2 - Pursue",IF(AA217&gt;=60,"Tier 3 - Selective","Do Not Pursue")))))</f>
        <v/>
      </c>
      <c r="AC217" s="52">
        <f>IF(C217="","",IF(I217&lt;&gt;"","Named Contact",IF(AA217&gt;0,"Outreach Logged","Cold")))</f>
        <v/>
      </c>
      <c r="AD217" s="52">
        <f>IF(B217="","",COUNTIF('Outreach Log'!$C:$C,B217))</f>
        <v/>
      </c>
      <c r="AE217" s="52">
        <f>IF(A217="","",IF(OR(K217="Rejected",K217="Closed"),IF(L217&lt;&gt;"",L217-A217,TODAY()-A217),TODAY()-A217))</f>
        <v/>
      </c>
      <c r="AF217" s="52">
        <f>IF(C217="","",IF(AND(AA217&gt;=70,AC217="Cold"),"High-fit but cold",IF(AND(AA217&lt;60,K217="Applied"),"Low-fit application",IF(AND(AA217&gt;=70,OR(AC217="Named Contact",AC217="Outreach Logged")),"Targeted pursuit","Review"))))</f>
        <v/>
      </c>
    </row>
    <row r="218" ht="15" customHeight="1" s="44">
      <c r="A218" s="53" t="n">
        <v>46232</v>
      </c>
      <c r="B218" s="48" t="inlineStr">
        <is>
          <t>Sanofi</t>
        </is>
      </c>
      <c r="C218" s="48" t="inlineStr">
        <is>
          <t>Digital Strategy Lead</t>
        </is>
      </c>
      <c r="D218" s="48" t="inlineStr">
        <is>
          <t>Sr Manager</t>
        </is>
      </c>
      <c r="E218" s="48" t="inlineStr">
        <is>
          <t>Canada</t>
        </is>
      </c>
      <c r="F218" s="48" t="inlineStr">
        <is>
          <t>Toronto</t>
        </is>
      </c>
      <c r="G218" s="48" t="n">
        <v>65</v>
      </c>
      <c r="H218" s="48" t="inlineStr">
        <is>
          <t>Cold Portal</t>
        </is>
      </c>
      <c r="I218" s="48" t="n"/>
      <c r="J218" s="48" t="inlineStr">
        <is>
          <t>No</t>
        </is>
      </c>
      <c r="K218" s="55" t="inlineStr">
        <is>
          <t>Applied</t>
        </is>
      </c>
      <c r="L218" s="48" t="n"/>
      <c r="M218" s="48">
        <f>IF(OR(L119="",A119=""),"",L119-A119)</f>
        <v/>
      </c>
      <c r="N218" s="48" t="n"/>
      <c r="O218" s="48" t="n"/>
      <c r="P218" s="51" t="inlineStr">
        <is>
          <t>Confirmed via Workday email 07/29; strong on program/portfolio + AI fluency, gaps in user research/adoption enablement, no pharma background — see resume review</t>
        </is>
      </c>
      <c r="Q218" s="48" t="n"/>
      <c r="R218" s="48" t="n"/>
      <c r="S218" s="51" t="n"/>
      <c r="T218" s="52">
        <f>IF(G218="","",G218)</f>
        <v/>
      </c>
      <c r="U218" s="52">
        <f>IF(C218="","",IF(OR(ISNUMBER(SEARCH("Director",C218)),ISNUMBER(SEARCH("Lead",C218)),ISNUMBER(SEARCH("Senior",C218)),ISNUMBER(SEARCH("Sr.",C218))),90,IF(OR(ISNUMBER(SEARCH("Manager",C218)),ISNUMBER(SEARCH("Program",C218)),ISNUMBER(SEARCH("Portfolio",C218))),80,60)))</f>
        <v/>
      </c>
      <c r="V218" s="52">
        <f>IF(C218="","",IF(OR(ISNUMBER(SEARCH("AI",C218)),ISNUMBER(SEARCH("Data",C218)),ISNUMBER(SEARCH("Technology",C218)),ISNUMBER(SEARCH("Technical",C218)),ISNUMBER(SEARCH("Engineering",C218)),ISNUMBER(SEARCH("Platform",C218)),ISNUMBER(SEARCH("Portfolio",C218))),85,65))</f>
        <v/>
      </c>
      <c r="W218" s="52">
        <f>IF(C218="","",MIN(100,50+IF(S218&lt;&gt;"",25,0)+IF(R218&lt;&gt;"",15,0)+IF(P218&lt;&gt;"",10,0)))</f>
        <v/>
      </c>
      <c r="X218" s="52">
        <f>IF(E218="","",IF(OR(E218="Canada",E218="CA"),100,IF(OR(E218="United States",E218="USA",E218="US"),IF(J218="Yes",45,75),65)))</f>
        <v/>
      </c>
      <c r="Y218" s="52">
        <f>IF(C218="","",IF(OR(ISNUMBER(SEARCH("Program",C218)),ISNUMBER(SEARCH("Portfolio",C218)),ISNUMBER(SEARCH("Operations",C218)),ISNUMBER(SEARCH("Transformation",C218))),85,IF(ISNUMBER(SEARCH("Product Manager",C218)),55,70)))</f>
        <v/>
      </c>
      <c r="Z218" s="52">
        <f>IF(C218="","",MIN(100,IF(I218&lt;&gt;"",60,10)+IF(AA218&gt;0,MIN(40,AA218*20),0)))</f>
        <v/>
      </c>
      <c r="AA218" s="52">
        <f>IF(T218="","",ROUND(T218*25%+U218*15%+V218*10%+W218*15%+X218*15%+Y218*10%+Z218*10%,0))</f>
        <v/>
      </c>
      <c r="AB218" s="52">
        <f>IF(AA218="","",IF(X218&lt;50,"Selective / Barrier",IF(AA218&gt;=80,"Tier 1 - Pursue",IF(AA218&gt;=70,"Tier 2 - Pursue",IF(AA218&gt;=60,"Tier 3 - Selective","Do Not Pursue")))))</f>
        <v/>
      </c>
      <c r="AC218" s="52">
        <f>IF(C218="","",IF(I218&lt;&gt;"","Named Contact",IF(AA218&gt;0,"Outreach Logged","Cold")))</f>
        <v/>
      </c>
      <c r="AD218" s="52">
        <f>IF(B218="","",COUNTIF('Outreach Log'!$C:$C,B218))</f>
        <v/>
      </c>
      <c r="AE218" s="52">
        <f>IF(A218="","",IF(OR(K218="Rejected",K218="Closed"),IF(L218&lt;&gt;"",L218-A218,TODAY()-A218),TODAY()-A218))</f>
        <v/>
      </c>
      <c r="AF218" s="52">
        <f>IF(C218="","",IF(AND(AA218&gt;=70,AC218="Cold"),"High-fit but cold",IF(AND(AA218&lt;60,K218="Applied"),"Low-fit application",IF(AND(AA218&gt;=70,OR(AC218="Named Contact",AC218="Outreach Logged")),"Targeted pursuit","Review"))))</f>
        <v/>
      </c>
    </row>
    <row r="219" ht="15" customHeight="1" s="44">
      <c r="A219" s="53" t="n">
        <v>46232</v>
      </c>
      <c r="B219" s="48" t="inlineStr">
        <is>
          <t>Moneris</t>
        </is>
      </c>
      <c r="C219" s="48" t="inlineStr">
        <is>
          <t>Director, Business Transformation</t>
        </is>
      </c>
      <c r="D219" s="48" t="inlineStr">
        <is>
          <t>Director</t>
        </is>
      </c>
      <c r="E219" s="48" t="inlineStr">
        <is>
          <t>Canada</t>
        </is>
      </c>
      <c r="F219" s="48" t="inlineStr">
        <is>
          <t>Toronto</t>
        </is>
      </c>
      <c r="G219" s="48" t="n">
        <v>80</v>
      </c>
      <c r="H219" s="48" t="inlineStr">
        <is>
          <t>Cold Portal</t>
        </is>
      </c>
      <c r="I219" s="48" t="n"/>
      <c r="J219" s="48" t="inlineStr">
        <is>
          <t>No</t>
        </is>
      </c>
      <c r="K219" s="49" t="inlineStr">
        <is>
          <t>Rejected</t>
        </is>
      </c>
      <c r="L219" s="50" t="n">
        <v>46238</v>
      </c>
      <c r="M219" s="48">
        <f>IF(OR(L120="",A120=""),"",L120-A120)</f>
        <v/>
      </c>
      <c r="N219" s="48" t="n"/>
      <c r="O219" s="48" t="n"/>
      <c r="P219" s="51" t="inlineStr">
        <is>
          <t>Rejection email received 08/04. Note: email refers to role as "Senior Business Transformation Manager" vs "Director, Business Transformation" as originally posted/logged — same role, workday auto-title variance.</t>
        </is>
      </c>
      <c r="Q219" s="48" t="n"/>
      <c r="R219" s="48" t="n"/>
      <c r="S219" s="51" t="n"/>
      <c r="T219" s="52">
        <f>IF(G219="","",G219)</f>
        <v/>
      </c>
      <c r="U219" s="52">
        <f>IF(C219="","",IF(OR(ISNUMBER(SEARCH("Director",C219)),ISNUMBER(SEARCH("Lead",C219)),ISNUMBER(SEARCH("Senior",C219)),ISNUMBER(SEARCH("Sr.",C219))),90,IF(OR(ISNUMBER(SEARCH("Manager",C219)),ISNUMBER(SEARCH("Program",C219)),ISNUMBER(SEARCH("Portfolio",C219))),80,60)))</f>
        <v/>
      </c>
      <c r="V219" s="52">
        <f>IF(C219="","",IF(OR(ISNUMBER(SEARCH("AI",C219)),ISNUMBER(SEARCH("Data",C219)),ISNUMBER(SEARCH("Technology",C219)),ISNUMBER(SEARCH("Technical",C219)),ISNUMBER(SEARCH("Engineering",C219)),ISNUMBER(SEARCH("Platform",C219)),ISNUMBER(SEARCH("Portfolio",C219))),85,65))</f>
        <v/>
      </c>
      <c r="W219" s="52">
        <f>IF(C219="","",MIN(100,50+IF(S219&lt;&gt;"",25,0)+IF(R219&lt;&gt;"",15,0)+IF(P219&lt;&gt;"",10,0)))</f>
        <v/>
      </c>
      <c r="X219" s="52">
        <f>IF(E219="","",IF(OR(E219="Canada",E219="CA"),100,IF(OR(E219="United States",E219="USA",E219="US"),IF(J219="Yes",45,75),65)))</f>
        <v/>
      </c>
      <c r="Y219" s="52">
        <f>IF(C219="","",IF(OR(ISNUMBER(SEARCH("Program",C219)),ISNUMBER(SEARCH("Portfolio",C219)),ISNUMBER(SEARCH("Operations",C219)),ISNUMBER(SEARCH("Transformation",C219))),85,IF(ISNUMBER(SEARCH("Product Manager",C219)),55,70)))</f>
        <v/>
      </c>
      <c r="Z219" s="52">
        <f>IF(C219="","",MIN(100,IF(I219&lt;&gt;"",60,10)+IF(AA219&gt;0,MIN(40,AA219*20),0)))</f>
        <v/>
      </c>
      <c r="AA219" s="52">
        <f>IF(T219="","",ROUND(T219*25%+U219*15%+V219*10%+W219*15%+X219*15%+Y219*10%+Z219*10%,0))</f>
        <v/>
      </c>
      <c r="AB219" s="52">
        <f>IF(AA219="","",IF(X219&lt;50,"Selective / Barrier",IF(AA219&gt;=80,"Tier 1 - Pursue",IF(AA219&gt;=70,"Tier 2 - Pursue",IF(AA219&gt;=60,"Tier 3 - Selective","Do Not Pursue")))))</f>
        <v/>
      </c>
      <c r="AC219" s="52">
        <f>IF(C219="","",IF(I219&lt;&gt;"","Named Contact",IF(AA219&gt;0,"Outreach Logged","Cold")))</f>
        <v/>
      </c>
      <c r="AD219" s="52">
        <f>IF(B219="","",COUNTIF('Outreach Log'!$C:$C,B219))</f>
        <v/>
      </c>
      <c r="AE219" s="52">
        <f>IF(A219="","",IF(OR(K219="Rejected",K219="Closed"),IF(L219&lt;&gt;"",L219-A219,TODAY()-A219),TODAY()-A219))</f>
        <v/>
      </c>
      <c r="AF219" s="52">
        <f>IF(C219="","",IF(AND(AA219&gt;=70,AC219="Cold"),"High-fit but cold",IF(AND(AA219&lt;60,K219="Applied"),"Low-fit application",IF(AND(AA219&gt;=70,OR(AC219="Named Contact",AC219="Outreach Logged")),"Targeted pursuit","Review"))))</f>
        <v/>
      </c>
    </row>
    <row r="220" ht="15" customHeight="1" s="44">
      <c r="A220" s="53" t="n">
        <v>46232</v>
      </c>
      <c r="B220" s="48" t="inlineStr">
        <is>
          <t>Sanofi</t>
        </is>
      </c>
      <c r="C220" s="48" t="inlineStr">
        <is>
          <t>Digital Product Owner (R&amp;D Data &amp; AI Products and Platforms)</t>
        </is>
      </c>
      <c r="D220" s="48" t="inlineStr">
        <is>
          <t>Sr Manager</t>
        </is>
      </c>
      <c r="E220" s="48" t="inlineStr">
        <is>
          <t>Canada</t>
        </is>
      </c>
      <c r="F220" s="48" t="inlineStr">
        <is>
          <t>Toronto</t>
        </is>
      </c>
      <c r="G220" s="48" t="n">
        <v>35</v>
      </c>
      <c r="H220" s="48" t="inlineStr">
        <is>
          <t>Cold Portal</t>
        </is>
      </c>
      <c r="I220" s="48" t="n"/>
      <c r="J220" s="48" t="inlineStr">
        <is>
          <t>No</t>
        </is>
      </c>
      <c r="K220" s="56" t="inlineStr">
        <is>
          <t>Closed</t>
        </is>
      </c>
      <c r="L220" s="50" t="n">
        <v>46250</v>
      </c>
      <c r="M220" s="48">
        <f>IF(OR(L121="",A121=""),"",L121-A121)</f>
        <v/>
      </c>
      <c r="N220" s="48" t="n"/>
      <c r="O220" s="48" t="n"/>
      <c r="P220" s="51" t="inlineStr">
        <is>
          <t>2nd Sanofi role same day (Digital Strategy Lead was 1st). Bioinformatics/ML Ops Product Owner role — protein design/folding domain, major domain gap flagged in review, ~35% fit | Closed 2026-08-16 (req R2863051): position no longer available - req withdrawn/filled, not a candidate-specific rejection.</t>
        </is>
      </c>
      <c r="Q220" s="48" t="n"/>
      <c r="R220" s="48" t="n"/>
      <c r="S220" s="51" t="n"/>
      <c r="T220" s="52">
        <f>IF(G220="","",G220)</f>
        <v/>
      </c>
      <c r="U220" s="52">
        <f>IF(C220="","",IF(OR(ISNUMBER(SEARCH("Director",C220)),ISNUMBER(SEARCH("Lead",C220)),ISNUMBER(SEARCH("Senior",C220)),ISNUMBER(SEARCH("Sr.",C220))),90,IF(OR(ISNUMBER(SEARCH("Manager",C220)),ISNUMBER(SEARCH("Program",C220)),ISNUMBER(SEARCH("Portfolio",C220))),80,60)))</f>
        <v/>
      </c>
      <c r="V220" s="52">
        <f>IF(C220="","",IF(OR(ISNUMBER(SEARCH("AI",C220)),ISNUMBER(SEARCH("Data",C220)),ISNUMBER(SEARCH("Technology",C220)),ISNUMBER(SEARCH("Technical",C220)),ISNUMBER(SEARCH("Engineering",C220)),ISNUMBER(SEARCH("Platform",C220)),ISNUMBER(SEARCH("Portfolio",C220))),85,65))</f>
        <v/>
      </c>
      <c r="W220" s="52">
        <f>IF(C220="","",MIN(100,50+IF(S220&lt;&gt;"",25,0)+IF(R220&lt;&gt;"",15,0)+IF(P220&lt;&gt;"",10,0)))</f>
        <v/>
      </c>
      <c r="X220" s="52">
        <f>IF(E220="","",IF(OR(E220="Canada",E220="CA"),100,IF(OR(E220="United States",E220="USA",E220="US"),IF(J220="Yes",45,75),65)))</f>
        <v/>
      </c>
      <c r="Y220" s="52">
        <f>IF(C220="","",IF(OR(ISNUMBER(SEARCH("Program",C220)),ISNUMBER(SEARCH("Portfolio",C220)),ISNUMBER(SEARCH("Operations",C220)),ISNUMBER(SEARCH("Transformation",C220))),85,IF(ISNUMBER(SEARCH("Product Manager",C220)),55,70)))</f>
        <v/>
      </c>
      <c r="Z220" s="52">
        <f>IF(C220="","",MIN(100,IF(I220&lt;&gt;"",60,10)+IF(AA220&gt;0,MIN(40,AA220*20),0)))</f>
        <v/>
      </c>
      <c r="AA220" s="52">
        <f>IF(T220="","",ROUND(T220*25%+U220*15%+V220*10%+W220*15%+X220*15%+Y220*10%+Z220*10%,0))</f>
        <v/>
      </c>
      <c r="AB220" s="52">
        <f>IF(AA220="","",IF(X220&lt;50,"Selective / Barrier",IF(AA220&gt;=80,"Tier 1 - Pursue",IF(AA220&gt;=70,"Tier 2 - Pursue",IF(AA220&gt;=60,"Tier 3 - Selective","Do Not Pursue")))))</f>
        <v/>
      </c>
      <c r="AC220" s="52">
        <f>IF(C220="","",IF(I220&lt;&gt;"","Named Contact",IF(AA220&gt;0,"Outreach Logged","Cold")))</f>
        <v/>
      </c>
      <c r="AD220" s="52">
        <f>IF(B220="","",COUNTIF('Outreach Log'!$C:$C,B220))</f>
        <v/>
      </c>
      <c r="AE220" s="52">
        <f>IF(A220="","",IF(OR(K220="Rejected",K220="Closed"),IF(L220&lt;&gt;"",L220-A220,TODAY()-A220),TODAY()-A220))</f>
        <v/>
      </c>
      <c r="AF220" s="52">
        <f>IF(C220="","",IF(AND(AA220&gt;=70,AC220="Cold"),"High-fit but cold",IF(AND(AA220&lt;60,K220="Applied"),"Low-fit application",IF(AND(AA220&gt;=70,OR(AC220="Named Contact",AC220="Outreach Logged")),"Targeted pursuit","Review"))))</f>
        <v/>
      </c>
    </row>
    <row r="221" ht="15" customHeight="1" s="44">
      <c r="A221" s="53" t="n">
        <v>46232</v>
      </c>
      <c r="B221" s="48" t="inlineStr">
        <is>
          <t>Sanofi</t>
        </is>
      </c>
      <c r="C221" s="48" t="inlineStr">
        <is>
          <t>AI Transformation Lead - Digital Strategic Growth and Partnerships</t>
        </is>
      </c>
      <c r="D221" s="48" t="inlineStr">
        <is>
          <t>Sr Manager</t>
        </is>
      </c>
      <c r="E221" s="48" t="inlineStr">
        <is>
          <t>Canada</t>
        </is>
      </c>
      <c r="F221" s="48" t="inlineStr">
        <is>
          <t>Toronto</t>
        </is>
      </c>
      <c r="G221" s="48" t="n">
        <v>65</v>
      </c>
      <c r="H221" s="48" t="inlineStr">
        <is>
          <t>Cold Portal</t>
        </is>
      </c>
      <c r="I221" s="48" t="n"/>
      <c r="J221" s="48" t="inlineStr">
        <is>
          <t>No</t>
        </is>
      </c>
      <c r="K221" s="55" t="inlineStr">
        <is>
          <t>Applied</t>
        </is>
      </c>
      <c r="L221" s="48" t="n"/>
      <c r="M221" s="48">
        <f>IF(OR(L122="",A122=""),"",L122-A122)</f>
        <v/>
      </c>
      <c r="N221" s="48" t="n"/>
      <c r="O221" s="48" t="n"/>
      <c r="P221" s="51" t="inlineStr">
        <is>
          <t>Confirmed via Workday email 07/30; 3rd Sanofi role | Est. fit score: comparable to Sanofi Digital Strategy Lead (65), same strategic/AI transformation angle</t>
        </is>
      </c>
      <c r="Q221" s="48" t="n"/>
      <c r="R221" s="48" t="n"/>
      <c r="S221" s="51" t="n"/>
      <c r="T221" s="52">
        <f>IF(G221="","",G221)</f>
        <v/>
      </c>
      <c r="U221" s="52">
        <f>IF(C221="","",IF(OR(ISNUMBER(SEARCH("Director",C221)),ISNUMBER(SEARCH("Lead",C221)),ISNUMBER(SEARCH("Senior",C221)),ISNUMBER(SEARCH("Sr.",C221))),90,IF(OR(ISNUMBER(SEARCH("Manager",C221)),ISNUMBER(SEARCH("Program",C221)),ISNUMBER(SEARCH("Portfolio",C221))),80,60)))</f>
        <v/>
      </c>
      <c r="V221" s="52">
        <f>IF(C221="","",IF(OR(ISNUMBER(SEARCH("AI",C221)),ISNUMBER(SEARCH("Data",C221)),ISNUMBER(SEARCH("Technology",C221)),ISNUMBER(SEARCH("Technical",C221)),ISNUMBER(SEARCH("Engineering",C221)),ISNUMBER(SEARCH("Platform",C221)),ISNUMBER(SEARCH("Portfolio",C221))),85,65))</f>
        <v/>
      </c>
      <c r="W221" s="52">
        <f>IF(C221="","",MIN(100,50+IF(S221&lt;&gt;"",25,0)+IF(R221&lt;&gt;"",15,0)+IF(P221&lt;&gt;"",10,0)))</f>
        <v/>
      </c>
      <c r="X221" s="52">
        <f>IF(E221="","",IF(OR(E221="Canada",E221="CA"),100,IF(OR(E221="United States",E221="USA",E221="US"),IF(J221="Yes",45,75),65)))</f>
        <v/>
      </c>
      <c r="Y221" s="52">
        <f>IF(C221="","",IF(OR(ISNUMBER(SEARCH("Program",C221)),ISNUMBER(SEARCH("Portfolio",C221)),ISNUMBER(SEARCH("Operations",C221)),ISNUMBER(SEARCH("Transformation",C221))),85,IF(ISNUMBER(SEARCH("Product Manager",C221)),55,70)))</f>
        <v/>
      </c>
      <c r="Z221" s="52">
        <f>IF(C221="","",MIN(100,IF(I221&lt;&gt;"",60,10)+IF(AA221&gt;0,MIN(40,AA221*20),0)))</f>
        <v/>
      </c>
      <c r="AA221" s="52">
        <f>IF(T221="","",ROUND(T221*25%+U221*15%+V221*10%+W221*15%+X221*15%+Y221*10%+Z221*10%,0))</f>
        <v/>
      </c>
      <c r="AB221" s="52">
        <f>IF(AA221="","",IF(X221&lt;50,"Selective / Barrier",IF(AA221&gt;=80,"Tier 1 - Pursue",IF(AA221&gt;=70,"Tier 2 - Pursue",IF(AA221&gt;=60,"Tier 3 - Selective","Do Not Pursue")))))</f>
        <v/>
      </c>
      <c r="AC221" s="52">
        <f>IF(C221="","",IF(I221&lt;&gt;"","Named Contact",IF(AA221&gt;0,"Outreach Logged","Cold")))</f>
        <v/>
      </c>
      <c r="AD221" s="52">
        <f>IF(B221="","",COUNTIF('Outreach Log'!$C:$C,B221))</f>
        <v/>
      </c>
      <c r="AE221" s="52">
        <f>IF(A221="","",IF(OR(K221="Rejected",K221="Closed"),IF(L221&lt;&gt;"",L221-A221,TODAY()-A221),TODAY()-A221))</f>
        <v/>
      </c>
      <c r="AF221" s="52">
        <f>IF(C221="","",IF(AND(AA221&gt;=70,AC221="Cold"),"High-fit but cold",IF(AND(AA221&lt;60,K221="Applied"),"Low-fit application",IF(AND(AA221&gt;=70,OR(AC221="Named Contact",AC221="Outreach Logged")),"Targeted pursuit","Review"))))</f>
        <v/>
      </c>
    </row>
    <row r="222" ht="15" customHeight="1" s="44">
      <c r="A222" s="53" t="n">
        <v>46232</v>
      </c>
      <c r="B222" s="48" t="inlineStr">
        <is>
          <t>Sanofi</t>
        </is>
      </c>
      <c r="C222" s="48" t="inlineStr">
        <is>
          <t>AI Capabilities and Portfolio Specialist</t>
        </is>
      </c>
      <c r="D222" s="48" t="inlineStr">
        <is>
          <t>Sr Manager</t>
        </is>
      </c>
      <c r="E222" s="48" t="inlineStr">
        <is>
          <t>Canada</t>
        </is>
      </c>
      <c r="F222" s="48" t="inlineStr">
        <is>
          <t>Toronto</t>
        </is>
      </c>
      <c r="G222" s="48" t="n">
        <v>55</v>
      </c>
      <c r="H222" s="48" t="inlineStr">
        <is>
          <t>Cold Portal</t>
        </is>
      </c>
      <c r="I222" s="48" t="n"/>
      <c r="J222" s="48" t="inlineStr">
        <is>
          <t>No</t>
        </is>
      </c>
      <c r="K222" s="49" t="inlineStr">
        <is>
          <t>Rejected</t>
        </is>
      </c>
      <c r="L222" s="50" t="n">
        <v>46244</v>
      </c>
      <c r="M222" s="48">
        <f>IF(OR(L123="",A123=""),"",L123-A123)</f>
        <v/>
      </c>
      <c r="N222" s="48" t="n"/>
      <c r="O222" s="48" t="n"/>
      <c r="P222" s="51" t="inlineStr">
        <is>
          <t>Confirmed via Workday email 07/30; 4th Sanofi role | Est. fit score: Capabilities/Portfolio angle closer to program background than the 35%-fit Product Owner role | Closed 08/10 (req R2855687): position no longer available / req withdrawn - not a candidate-specific rejection.</t>
        </is>
      </c>
      <c r="Q222" s="48" t="n"/>
      <c r="R222" s="48" t="n"/>
      <c r="S222" s="51" t="n"/>
      <c r="T222" s="52">
        <f>IF(G222="","",G222)</f>
        <v/>
      </c>
      <c r="U222" s="52">
        <f>IF(C222="","",IF(OR(ISNUMBER(SEARCH("Director",C222)),ISNUMBER(SEARCH("Lead",C222)),ISNUMBER(SEARCH("Senior",C222)),ISNUMBER(SEARCH("Sr.",C222))),90,IF(OR(ISNUMBER(SEARCH("Manager",C222)),ISNUMBER(SEARCH("Program",C222)),ISNUMBER(SEARCH("Portfolio",C222))),80,60)))</f>
        <v/>
      </c>
      <c r="V222" s="52">
        <f>IF(C222="","",IF(OR(ISNUMBER(SEARCH("AI",C222)),ISNUMBER(SEARCH("Data",C222)),ISNUMBER(SEARCH("Technology",C222)),ISNUMBER(SEARCH("Technical",C222)),ISNUMBER(SEARCH("Engineering",C222)),ISNUMBER(SEARCH("Platform",C222)),ISNUMBER(SEARCH("Portfolio",C222))),85,65))</f>
        <v/>
      </c>
      <c r="W222" s="52">
        <f>IF(C222="","",MIN(100,50+IF(S222&lt;&gt;"",25,0)+IF(R222&lt;&gt;"",15,0)+IF(P222&lt;&gt;"",10,0)))</f>
        <v/>
      </c>
      <c r="X222" s="52">
        <f>IF(E222="","",IF(OR(E222="Canada",E222="CA"),100,IF(OR(E222="United States",E222="USA",E222="US"),IF(J222="Yes",45,75),65)))</f>
        <v/>
      </c>
      <c r="Y222" s="52">
        <f>IF(C222="","",IF(OR(ISNUMBER(SEARCH("Program",C222)),ISNUMBER(SEARCH("Portfolio",C222)),ISNUMBER(SEARCH("Operations",C222)),ISNUMBER(SEARCH("Transformation",C222))),85,IF(ISNUMBER(SEARCH("Product Manager",C222)),55,70)))</f>
        <v/>
      </c>
      <c r="Z222" s="52">
        <f>IF(C222="","",MIN(100,IF(I222&lt;&gt;"",60,10)+IF(AA222&gt;0,MIN(40,AA222*20),0)))</f>
        <v/>
      </c>
      <c r="AA222" s="52">
        <f>IF(T222="","",ROUND(T222*25%+U222*15%+V222*10%+W222*15%+X222*15%+Y222*10%+Z222*10%,0))</f>
        <v/>
      </c>
      <c r="AB222" s="52">
        <f>IF(AA222="","",IF(X222&lt;50,"Selective / Barrier",IF(AA222&gt;=80,"Tier 1 - Pursue",IF(AA222&gt;=70,"Tier 2 - Pursue",IF(AA222&gt;=60,"Tier 3 - Selective","Do Not Pursue")))))</f>
        <v/>
      </c>
      <c r="AC222" s="52">
        <f>IF(C222="","",IF(I222&lt;&gt;"","Named Contact",IF(AA222&gt;0,"Outreach Logged","Cold")))</f>
        <v/>
      </c>
      <c r="AD222" s="52">
        <f>IF(B222="","",COUNTIF('Outreach Log'!$C:$C,B222))</f>
        <v/>
      </c>
      <c r="AE222" s="52">
        <f>IF(A222="","",IF(OR(K222="Rejected",K222="Closed"),IF(L222&lt;&gt;"",L222-A222,TODAY()-A222),TODAY()-A222))</f>
        <v/>
      </c>
      <c r="AF222" s="52">
        <f>IF(C222="","",IF(AND(AA222&gt;=70,AC222="Cold"),"High-fit but cold",IF(AND(AA222&lt;60,K222="Applied"),"Low-fit application",IF(AND(AA222&gt;=70,OR(AC222="Named Contact",AC222="Outreach Logged")),"Targeted pursuit","Review"))))</f>
        <v/>
      </c>
    </row>
    <row r="223" ht="15" customHeight="1" s="44">
      <c r="A223" s="53" t="n">
        <v>46232</v>
      </c>
      <c r="B223" s="48" t="inlineStr">
        <is>
          <t>Walmart</t>
        </is>
      </c>
      <c r="C223" s="48" t="inlineStr">
        <is>
          <t>(CAN) Senior Manager, Walmart</t>
        </is>
      </c>
      <c r="D223" s="48" t="n"/>
      <c r="E223" s="48" t="n"/>
      <c r="F223" s="48" t="n"/>
      <c r="G223" s="48" t="n"/>
      <c r="H223" s="48" t="n"/>
      <c r="I223" s="48" t="n"/>
      <c r="J223" s="48" t="n"/>
      <c r="K223" s="49" t="inlineStr">
        <is>
          <t>Rejected</t>
        </is>
      </c>
      <c r="L223" s="48" t="n"/>
      <c r="M223" s="48" t="n"/>
      <c r="N223" s="48" t="n"/>
      <c r="O223" s="48" t="n"/>
      <c r="P223" s="51" t="inlineStr">
        <is>
          <t xml:space="preserve">Rejected (per Greenhouse portal review, Sep 20 2026). </t>
        </is>
      </c>
      <c r="Q223" s="48" t="n"/>
      <c r="R223" s="48" t="n"/>
      <c r="S223" s="51" t="n"/>
      <c r="T223" s="52">
        <f>IF(G223="","",G223)</f>
        <v/>
      </c>
      <c r="U223" s="52">
        <f>IF(C223="","",IF(OR(ISNUMBER(SEARCH("Director",C223)),ISNUMBER(SEARCH("Lead",C223)),ISNUMBER(SEARCH("Senior",C223)),ISNUMBER(SEARCH("Sr.",C223))),90,IF(OR(ISNUMBER(SEARCH("Manager",C223)),ISNUMBER(SEARCH("Program",C223)),ISNUMBER(SEARCH("Portfolio",C223))),80,60)))</f>
        <v/>
      </c>
      <c r="V223" s="52">
        <f>IF(C223="","",IF(OR(ISNUMBER(SEARCH("AI",C223)),ISNUMBER(SEARCH("Data",C223)),ISNUMBER(SEARCH("Technology",C223)),ISNUMBER(SEARCH("Technical",C223)),ISNUMBER(SEARCH("Engineering",C223)),ISNUMBER(SEARCH("Platform",C223)),ISNUMBER(SEARCH("Portfolio",C223))),85,65))</f>
        <v/>
      </c>
      <c r="W223" s="52">
        <f>IF(C223="","",MIN(100,50+IF(S223&lt;&gt;"",25,0)+IF(R223&lt;&gt;"",15,0)+IF(P223&lt;&gt;"",10,0)))</f>
        <v/>
      </c>
      <c r="X223" s="52">
        <f>IF(E223="","",IF(OR(E223="Canada",E223="CA"),100,IF(OR(E223="United States",E223="USA",E223="US"),IF(J223="Yes",45,75),65)))</f>
        <v/>
      </c>
      <c r="Y223" s="52">
        <f>IF(C223="","",IF(OR(ISNUMBER(SEARCH("Program",C223)),ISNUMBER(SEARCH("Portfolio",C223)),ISNUMBER(SEARCH("Operations",C223)),ISNUMBER(SEARCH("Transformation",C223))),85,IF(ISNUMBER(SEARCH("Product Manager",C223)),55,70)))</f>
        <v/>
      </c>
      <c r="Z223" s="52">
        <f>IF(C223="","",MIN(100,IF(I223&lt;&gt;"",60,10)+IF(AA223&gt;0,MIN(40,AA223*20),0)))</f>
        <v/>
      </c>
      <c r="AA223" s="52">
        <f>IF(T223="","",ROUND(T223*25%+U223*15%+V223*10%+W223*15%+X223*15%+Y223*10%+Z223*10%,0))</f>
        <v/>
      </c>
      <c r="AB223" s="52">
        <f>IF(AA223="","",IF(X223&lt;50,"Selective / Barrier",IF(AA223&gt;=80,"Tier 1 - Pursue",IF(AA223&gt;=70,"Tier 2 - Pursue",IF(AA223&gt;=60,"Tier 3 - Selective","Do Not Pursue")))))</f>
        <v/>
      </c>
      <c r="AC223" s="52">
        <f>IF(C223="","",IF(I223&lt;&gt;"","Named Contact",IF(AA223&gt;0,"Outreach Logged","Cold")))</f>
        <v/>
      </c>
      <c r="AD223" s="52">
        <f>IF(B223="","",COUNTIF('Outreach Log'!$C:$C,B223))</f>
        <v/>
      </c>
      <c r="AE223" s="52">
        <f>IF(A223="","",IF(OR(K223="Rejected",K223="Closed"),IF(L223&lt;&gt;"",L223-A223,TODAY()-A223),TODAY()-A223))</f>
        <v/>
      </c>
      <c r="AF223" s="52">
        <f>IF(C223="","",IF(AND(AA223&gt;=70,AC223="Cold"),"High-fit but cold",IF(AND(AA223&lt;60,K223="Applied"),"Low-fit application",IF(AND(AA223&gt;=70,OR(AC223="Named Contact",AC223="Outreach Logged")),"Targeted pursuit","Review"))))</f>
        <v/>
      </c>
    </row>
    <row r="224" ht="15" customHeight="1" s="44">
      <c r="A224" s="53" t="n">
        <v>46233</v>
      </c>
      <c r="B224" s="48" t="inlineStr">
        <is>
          <t>Scale AI</t>
        </is>
      </c>
      <c r="C224" s="48" t="inlineStr">
        <is>
          <t>AI Advisory Consultant</t>
        </is>
      </c>
      <c r="D224" s="48" t="inlineStr">
        <is>
          <t>Sr Manager</t>
        </is>
      </c>
      <c r="E224" s="48" t="inlineStr">
        <is>
          <t>US</t>
        </is>
      </c>
      <c r="F224" s="48" t="inlineStr">
        <is>
          <t>NY/SF</t>
        </is>
      </c>
      <c r="G224" s="48" t="n">
        <v>55</v>
      </c>
      <c r="H224" s="48" t="inlineStr">
        <is>
          <t>Cold Portal</t>
        </is>
      </c>
      <c r="I224" s="48" t="n"/>
      <c r="J224" s="48" t="inlineStr">
        <is>
          <t>Yes</t>
        </is>
      </c>
      <c r="K224" s="49" t="inlineStr">
        <is>
          <t>Rejected</t>
        </is>
      </c>
      <c r="L224" s="50" t="n">
        <v>46233</v>
      </c>
      <c r="M224" s="48">
        <f>IF(OR(L124="",A124=""),"",L124-A124)</f>
        <v/>
      </c>
      <c r="N224" s="48" t="n"/>
      <c r="O224" s="48" t="n"/>
      <c r="P224" s="51" t="inlineStr">
        <is>
          <t>Applied and rejected same batch as TPM Enterprise role; exact apply date not confirmed via email, rejection received 07/30 | Est. fit score: advisory/consulting role, less direct TPM alignment than the Scale AI TPM role (78)</t>
        </is>
      </c>
      <c r="Q224" s="48" t="n"/>
      <c r="R224" s="48" t="n"/>
      <c r="S224" s="51" t="n"/>
      <c r="T224" s="52">
        <f>IF(G224="","",G224)</f>
        <v/>
      </c>
      <c r="U224" s="52">
        <f>IF(C224="","",IF(OR(ISNUMBER(SEARCH("Director",C224)),ISNUMBER(SEARCH("Lead",C224)),ISNUMBER(SEARCH("Senior",C224)),ISNUMBER(SEARCH("Sr.",C224))),90,IF(OR(ISNUMBER(SEARCH("Manager",C224)),ISNUMBER(SEARCH("Program",C224)),ISNUMBER(SEARCH("Portfolio",C224))),80,60)))</f>
        <v/>
      </c>
      <c r="V224" s="52">
        <f>IF(C224="","",IF(OR(ISNUMBER(SEARCH("AI",C224)),ISNUMBER(SEARCH("Data",C224)),ISNUMBER(SEARCH("Technology",C224)),ISNUMBER(SEARCH("Technical",C224)),ISNUMBER(SEARCH("Engineering",C224)),ISNUMBER(SEARCH("Platform",C224)),ISNUMBER(SEARCH("Portfolio",C224))),85,65))</f>
        <v/>
      </c>
      <c r="W224" s="52">
        <f>IF(C224="","",MIN(100,50+IF(S224&lt;&gt;"",25,0)+IF(R224&lt;&gt;"",15,0)+IF(P224&lt;&gt;"",10,0)))</f>
        <v/>
      </c>
      <c r="X224" s="52">
        <f>IF(E224="","",IF(OR(E224="Canada",E224="CA"),100,IF(OR(E224="United States",E224="USA",E224="US"),IF(J224="Yes",45,75),65)))</f>
        <v/>
      </c>
      <c r="Y224" s="52">
        <f>IF(C224="","",IF(OR(ISNUMBER(SEARCH("Program",C224)),ISNUMBER(SEARCH("Portfolio",C224)),ISNUMBER(SEARCH("Operations",C224)),ISNUMBER(SEARCH("Transformation",C224))),85,IF(ISNUMBER(SEARCH("Product Manager",C224)),55,70)))</f>
        <v/>
      </c>
      <c r="Z224" s="52">
        <f>IF(C224="","",MIN(100,IF(I224&lt;&gt;"",60,10)+IF(AA224&gt;0,MIN(40,AA224*20),0)))</f>
        <v/>
      </c>
      <c r="AA224" s="52">
        <f>IF(T224="","",ROUND(T224*25%+U224*15%+V224*10%+W224*15%+X224*15%+Y224*10%+Z224*10%,0))</f>
        <v/>
      </c>
      <c r="AB224" s="52">
        <f>IF(AA224="","",IF(X224&lt;50,"Selective / Barrier",IF(AA224&gt;=80,"Tier 1 - Pursue",IF(AA224&gt;=70,"Tier 2 - Pursue",IF(AA224&gt;=60,"Tier 3 - Selective","Do Not Pursue")))))</f>
        <v/>
      </c>
      <c r="AC224" s="52">
        <f>IF(C224="","",IF(I224&lt;&gt;"","Named Contact",IF(AA224&gt;0,"Outreach Logged","Cold")))</f>
        <v/>
      </c>
      <c r="AD224" s="52">
        <f>IF(B224="","",COUNTIF('Outreach Log'!$C:$C,B224))</f>
        <v/>
      </c>
      <c r="AE224" s="52">
        <f>IF(A224="","",IF(OR(K224="Rejected",K224="Closed"),IF(L224&lt;&gt;"",L224-A224,TODAY()-A224),TODAY()-A224))</f>
        <v/>
      </c>
      <c r="AF224" s="52">
        <f>IF(C224="","",IF(AND(AA224&gt;=70,AC224="Cold"),"High-fit but cold",IF(AND(AA224&lt;60,K224="Applied"),"Low-fit application",IF(AND(AA224&gt;=70,OR(AC224="Named Contact",AC224="Outreach Logged")),"Targeted pursuit","Review"))))</f>
        <v/>
      </c>
    </row>
    <row r="225" ht="15" customHeight="1" s="44">
      <c r="A225" s="53" t="n">
        <v>46233</v>
      </c>
      <c r="B225" s="48" t="inlineStr">
        <is>
          <t>Walmart Canada</t>
        </is>
      </c>
      <c r="C225" s="48" t="inlineStr">
        <is>
          <t>Director, Data Delivery (CA)</t>
        </is>
      </c>
      <c r="D225" s="48" t="inlineStr">
        <is>
          <t>Director</t>
        </is>
      </c>
      <c r="E225" s="48" t="inlineStr">
        <is>
          <t>Canada</t>
        </is>
      </c>
      <c r="F225" s="48" t="inlineStr">
        <is>
          <t>Toronto</t>
        </is>
      </c>
      <c r="G225" s="48" t="n">
        <v>75</v>
      </c>
      <c r="H225" s="48" t="inlineStr">
        <is>
          <t>Cold Portal</t>
        </is>
      </c>
      <c r="I225" s="48" t="n"/>
      <c r="J225" s="48" t="inlineStr">
        <is>
          <t>No</t>
        </is>
      </c>
      <c r="K225" s="49" t="inlineStr">
        <is>
          <t>Rejected</t>
        </is>
      </c>
      <c r="L225" s="50" t="n">
        <v>46284</v>
      </c>
      <c r="M225" s="48">
        <f>IF(OR(L125="",A125=""),"",L125-A125)</f>
        <v/>
      </c>
      <c r="N225" s="48" t="n"/>
      <c r="O225" s="48" t="n"/>
      <c r="P225" s="51" t="inlineStr">
        <is>
          <t>Confirmed via Workday email 07/30 | Est. fit score: comparable to Walmart Canada Sr Manager TPM role (75) | REJECTED 2026-09-19: Walmart (Workday) — "decided not to move forward with your application."</t>
        </is>
      </c>
      <c r="Q225" s="48" t="n"/>
      <c r="R225" s="48" t="n"/>
      <c r="S225" s="51" t="n"/>
      <c r="T225" s="52">
        <f>IF(G225="","",G225)</f>
        <v/>
      </c>
      <c r="U225" s="52">
        <f>IF(C225="","",IF(OR(ISNUMBER(SEARCH("Director",C225)),ISNUMBER(SEARCH("Lead",C225)),ISNUMBER(SEARCH("Senior",C225)),ISNUMBER(SEARCH("Sr.",C225))),90,IF(OR(ISNUMBER(SEARCH("Manager",C225)),ISNUMBER(SEARCH("Program",C225)),ISNUMBER(SEARCH("Portfolio",C225))),80,60)))</f>
        <v/>
      </c>
      <c r="V225" s="52">
        <f>IF(C225="","",IF(OR(ISNUMBER(SEARCH("AI",C225)),ISNUMBER(SEARCH("Data",C225)),ISNUMBER(SEARCH("Technology",C225)),ISNUMBER(SEARCH("Technical",C225)),ISNUMBER(SEARCH("Engineering",C225)),ISNUMBER(SEARCH("Platform",C225)),ISNUMBER(SEARCH("Portfolio",C225))),85,65))</f>
        <v/>
      </c>
      <c r="W225" s="52">
        <f>IF(C225="","",MIN(100,50+IF(S225&lt;&gt;"",25,0)+IF(R225&lt;&gt;"",15,0)+IF(P225&lt;&gt;"",10,0)))</f>
        <v/>
      </c>
      <c r="X225" s="52">
        <f>IF(E225="","",IF(OR(E225="Canada",E225="CA"),100,IF(OR(E225="United States",E225="USA",E225="US"),IF(J225="Yes",45,75),65)))</f>
        <v/>
      </c>
      <c r="Y225" s="52">
        <f>IF(C225="","",IF(OR(ISNUMBER(SEARCH("Program",C225)),ISNUMBER(SEARCH("Portfolio",C225)),ISNUMBER(SEARCH("Operations",C225)),ISNUMBER(SEARCH("Transformation",C225))),85,IF(ISNUMBER(SEARCH("Product Manager",C225)),55,70)))</f>
        <v/>
      </c>
      <c r="Z225" s="52">
        <f>IF(C225="","",MIN(100,IF(I225&lt;&gt;"",60,10)+IF(AA225&gt;0,MIN(40,AA225*20),0)))</f>
        <v/>
      </c>
      <c r="AA225" s="52">
        <f>IF(T225="","",ROUND(T225*25%+U225*15%+V225*10%+W225*15%+X225*15%+Y225*10%+Z225*10%,0))</f>
        <v/>
      </c>
      <c r="AB225" s="52">
        <f>IF(AA225="","",IF(X225&lt;50,"Selective / Barrier",IF(AA225&gt;=80,"Tier 1 - Pursue",IF(AA225&gt;=70,"Tier 2 - Pursue",IF(AA225&gt;=60,"Tier 3 - Selective","Do Not Pursue")))))</f>
        <v/>
      </c>
      <c r="AC225" s="52">
        <f>IF(C225="","",IF(I225&lt;&gt;"","Named Contact",IF(AA225&gt;0,"Outreach Logged","Cold")))</f>
        <v/>
      </c>
      <c r="AD225" s="52">
        <f>IF(B225="","",COUNTIF('Outreach Log'!$C:$C,B225))</f>
        <v/>
      </c>
      <c r="AE225" s="52">
        <f>IF(A225="","",IF(OR(K225="Rejected",K225="Closed"),IF(L225&lt;&gt;"",L225-A225,TODAY()-A225),TODAY()-A225))</f>
        <v/>
      </c>
      <c r="AF225" s="52">
        <f>IF(C225="","",IF(AND(AA225&gt;=70,AC225="Cold"),"High-fit but cold",IF(AND(AA225&lt;60,K225="Applied"),"Low-fit application",IF(AND(AA225&gt;=70,OR(AC225="Named Contact",AC225="Outreach Logged")),"Targeted pursuit","Review"))))</f>
        <v/>
      </c>
    </row>
    <row r="226" ht="15" customHeight="1" s="44">
      <c r="A226" s="53" t="n">
        <v>46233</v>
      </c>
      <c r="B226" s="48" t="inlineStr">
        <is>
          <t>BNY</t>
        </is>
      </c>
      <c r="C226" s="48" t="inlineStr">
        <is>
          <t>Director, Applied AI Product Manager</t>
        </is>
      </c>
      <c r="D226" s="48" t="inlineStr">
        <is>
          <t>Director</t>
        </is>
      </c>
      <c r="E226" s="48" t="inlineStr">
        <is>
          <t>US</t>
        </is>
      </c>
      <c r="F226" s="48" t="inlineStr">
        <is>
          <t>New York, NY</t>
        </is>
      </c>
      <c r="G226" s="48" t="n">
        <v>70</v>
      </c>
      <c r="H226" s="48" t="inlineStr">
        <is>
          <t>Cold Portal</t>
        </is>
      </c>
      <c r="I226" s="48" t="n"/>
      <c r="J226" s="48" t="inlineStr">
        <is>
          <t>Yes</t>
        </is>
      </c>
      <c r="K226" s="49" t="inlineStr">
        <is>
          <t>Rejected</t>
        </is>
      </c>
      <c r="L226" s="50" t="n">
        <v>46238</v>
      </c>
      <c r="M226" s="48">
        <f>IF(OR(L126="",A126=""),"",L126-A126)</f>
        <v/>
      </c>
      <c r="N226" s="48" t="n"/>
      <c r="O226" s="48" t="n"/>
      <c r="P226" s="51" t="inlineStr">
        <is>
          <t>Req 73907. Rejection email received 08/04: "decided to move forward with other candidates." Original apply date estimated (not confirmed via separate application-received email).</t>
        </is>
      </c>
      <c r="Q226" s="48" t="n"/>
      <c r="R226" s="48" t="n"/>
      <c r="S226" s="51" t="n"/>
      <c r="T226" s="52">
        <f>IF(G226="","",G226)</f>
        <v/>
      </c>
      <c r="U226" s="52">
        <f>IF(C226="","",IF(OR(ISNUMBER(SEARCH("Director",C226)),ISNUMBER(SEARCH("Lead",C226)),ISNUMBER(SEARCH("Senior",C226)),ISNUMBER(SEARCH("Sr.",C226))),90,IF(OR(ISNUMBER(SEARCH("Manager",C226)),ISNUMBER(SEARCH("Program",C226)),ISNUMBER(SEARCH("Portfolio",C226))),80,60)))</f>
        <v/>
      </c>
      <c r="V226" s="52">
        <f>IF(C226="","",IF(OR(ISNUMBER(SEARCH("AI",C226)),ISNUMBER(SEARCH("Data",C226)),ISNUMBER(SEARCH("Technology",C226)),ISNUMBER(SEARCH("Technical",C226)),ISNUMBER(SEARCH("Engineering",C226)),ISNUMBER(SEARCH("Platform",C226)),ISNUMBER(SEARCH("Portfolio",C226))),85,65))</f>
        <v/>
      </c>
      <c r="W226" s="52">
        <f>IF(C226="","",MIN(100,50+IF(S226&lt;&gt;"",25,0)+IF(R226&lt;&gt;"",15,0)+IF(P226&lt;&gt;"",10,0)))</f>
        <v/>
      </c>
      <c r="X226" s="52">
        <f>IF(E226="","",IF(OR(E226="Canada",E226="CA"),100,IF(OR(E226="United States",E226="USA",E226="US"),IF(J226="Yes",45,75),65)))</f>
        <v/>
      </c>
      <c r="Y226" s="52">
        <f>IF(C226="","",IF(OR(ISNUMBER(SEARCH("Program",C226)),ISNUMBER(SEARCH("Portfolio",C226)),ISNUMBER(SEARCH("Operations",C226)),ISNUMBER(SEARCH("Transformation",C226))),85,IF(ISNUMBER(SEARCH("Product Manager",C226)),55,70)))</f>
        <v/>
      </c>
      <c r="Z226" s="52">
        <f>IF(C226="","",MIN(100,IF(I226&lt;&gt;"",60,10)+IF(AA226&gt;0,MIN(40,AA226*20),0)))</f>
        <v/>
      </c>
      <c r="AA226" s="52">
        <f>IF(T226="","",ROUND(T226*25%+U226*15%+V226*10%+W226*15%+X226*15%+Y226*10%+Z226*10%,0))</f>
        <v/>
      </c>
      <c r="AB226" s="52">
        <f>IF(AA226="","",IF(X226&lt;50,"Selective / Barrier",IF(AA226&gt;=80,"Tier 1 - Pursue",IF(AA226&gt;=70,"Tier 2 - Pursue",IF(AA226&gt;=60,"Tier 3 - Selective","Do Not Pursue")))))</f>
        <v/>
      </c>
      <c r="AC226" s="52">
        <f>IF(C226="","",IF(I226&lt;&gt;"","Named Contact",IF(AA226&gt;0,"Outreach Logged","Cold")))</f>
        <v/>
      </c>
      <c r="AD226" s="52">
        <f>IF(B226="","",COUNTIF('Outreach Log'!$C:$C,B226))</f>
        <v/>
      </c>
      <c r="AE226" s="52">
        <f>IF(A226="","",IF(OR(K226="Rejected",K226="Closed"),IF(L226&lt;&gt;"",L226-A226,TODAY()-A226),TODAY()-A226))</f>
        <v/>
      </c>
      <c r="AF226" s="52">
        <f>IF(C226="","",IF(AND(AA226&gt;=70,AC226="Cold"),"High-fit but cold",IF(AND(AA226&lt;60,K226="Applied"),"Low-fit application",IF(AND(AA226&gt;=70,OR(AC226="Named Contact",AC226="Outreach Logged")),"Targeted pursuit","Review"))))</f>
        <v/>
      </c>
    </row>
    <row r="227" ht="15" customHeight="1" s="44">
      <c r="A227" s="53" t="n">
        <v>46233</v>
      </c>
      <c r="B227" s="48" t="inlineStr">
        <is>
          <t>RBC</t>
        </is>
      </c>
      <c r="C227" s="48" t="inlineStr">
        <is>
          <t>Director, Program Delivery</t>
        </is>
      </c>
      <c r="D227" s="48" t="inlineStr">
        <is>
          <t>Director</t>
        </is>
      </c>
      <c r="E227" s="48" t="inlineStr">
        <is>
          <t>Canada</t>
        </is>
      </c>
      <c r="F227" s="48" t="inlineStr">
        <is>
          <t>Toronto</t>
        </is>
      </c>
      <c r="G227" s="48" t="n">
        <v>72</v>
      </c>
      <c r="H227" s="48" t="inlineStr">
        <is>
          <t>Cold Portal</t>
        </is>
      </c>
      <c r="I227" s="48" t="n"/>
      <c r="J227" s="48" t="inlineStr">
        <is>
          <t>No</t>
        </is>
      </c>
      <c r="K227" s="55" t="inlineStr">
        <is>
          <t>Applied</t>
        </is>
      </c>
      <c r="L227" s="48" t="n"/>
      <c r="M227" s="48">
        <f>IF(OR(L127="",A127=""),"",L127-A127)</f>
        <v/>
      </c>
      <c r="N227" s="48" t="n"/>
      <c r="O227" s="48" t="n"/>
      <c r="P227" s="51" t="inlineStr">
        <is>
          <t>Req ID R-0000178744. Confirmed via Workday email 07/30.</t>
        </is>
      </c>
      <c r="Q227" s="48" t="n"/>
      <c r="R227" s="48" t="n"/>
      <c r="S227" s="51" t="n"/>
      <c r="T227" s="52">
        <f>IF(G227="","",G227)</f>
        <v/>
      </c>
      <c r="U227" s="52">
        <f>IF(C227="","",IF(OR(ISNUMBER(SEARCH("Director",C227)),ISNUMBER(SEARCH("Lead",C227)),ISNUMBER(SEARCH("Senior",C227)),ISNUMBER(SEARCH("Sr.",C227))),90,IF(OR(ISNUMBER(SEARCH("Manager",C227)),ISNUMBER(SEARCH("Program",C227)),ISNUMBER(SEARCH("Portfolio",C227))),80,60)))</f>
        <v/>
      </c>
      <c r="V227" s="52">
        <f>IF(C227="","",IF(OR(ISNUMBER(SEARCH("AI",C227)),ISNUMBER(SEARCH("Data",C227)),ISNUMBER(SEARCH("Technology",C227)),ISNUMBER(SEARCH("Technical",C227)),ISNUMBER(SEARCH("Engineering",C227)),ISNUMBER(SEARCH("Platform",C227)),ISNUMBER(SEARCH("Portfolio",C227))),85,65))</f>
        <v/>
      </c>
      <c r="W227" s="52">
        <f>IF(C227="","",MIN(100,50+IF(S227&lt;&gt;"",25,0)+IF(R227&lt;&gt;"",15,0)+IF(P227&lt;&gt;"",10,0)))</f>
        <v/>
      </c>
      <c r="X227" s="52">
        <f>IF(E227="","",IF(OR(E227="Canada",E227="CA"),100,IF(OR(E227="United States",E227="USA",E227="US"),IF(J227="Yes",45,75),65)))</f>
        <v/>
      </c>
      <c r="Y227" s="52">
        <f>IF(C227="","",IF(OR(ISNUMBER(SEARCH("Program",C227)),ISNUMBER(SEARCH("Portfolio",C227)),ISNUMBER(SEARCH("Operations",C227)),ISNUMBER(SEARCH("Transformation",C227))),85,IF(ISNUMBER(SEARCH("Product Manager",C227)),55,70)))</f>
        <v/>
      </c>
      <c r="Z227" s="52">
        <f>IF(C227="","",MIN(100,IF(I227&lt;&gt;"",60,10)+IF(AA227&gt;0,MIN(40,AA227*20),0)))</f>
        <v/>
      </c>
      <c r="AA227" s="52">
        <f>IF(T227="","",ROUND(T227*25%+U227*15%+V227*10%+W227*15%+X227*15%+Y227*10%+Z227*10%,0))</f>
        <v/>
      </c>
      <c r="AB227" s="52">
        <f>IF(AA227="","",IF(X227&lt;50,"Selective / Barrier",IF(AA227&gt;=80,"Tier 1 - Pursue",IF(AA227&gt;=70,"Tier 2 - Pursue",IF(AA227&gt;=60,"Tier 3 - Selective","Do Not Pursue")))))</f>
        <v/>
      </c>
      <c r="AC227" s="52">
        <f>IF(C227="","",IF(I227&lt;&gt;"","Named Contact",IF(AA227&gt;0,"Outreach Logged","Cold")))</f>
        <v/>
      </c>
      <c r="AD227" s="52">
        <f>IF(B227="","",COUNTIF('Outreach Log'!$C:$C,B227))</f>
        <v/>
      </c>
      <c r="AE227" s="52">
        <f>IF(A227="","",IF(OR(K227="Rejected",K227="Closed"),IF(L227&lt;&gt;"",L227-A227,TODAY()-A227),TODAY()-A227))</f>
        <v/>
      </c>
      <c r="AF227" s="52">
        <f>IF(C227="","",IF(AND(AA227&gt;=70,AC227="Cold"),"High-fit but cold",IF(AND(AA227&lt;60,K227="Applied"),"Low-fit application",IF(AND(AA227&gt;=70,OR(AC227="Named Contact",AC227="Outreach Logged")),"Targeted pursuit","Review"))))</f>
        <v/>
      </c>
    </row>
    <row r="228" ht="15" customHeight="1" s="44">
      <c r="A228" s="53" t="n">
        <v>46233</v>
      </c>
      <c r="B228" s="48" t="inlineStr">
        <is>
          <t>Ontario Teachers' Pension Plan</t>
        </is>
      </c>
      <c r="C228" s="48" t="inlineStr">
        <is>
          <t>Manager, Technology Business Management (12 Month Contract)</t>
        </is>
      </c>
      <c r="D228" s="48" t="inlineStr">
        <is>
          <t>Manager</t>
        </is>
      </c>
      <c r="E228" s="48" t="inlineStr">
        <is>
          <t>Canada</t>
        </is>
      </c>
      <c r="F228" s="48" t="inlineStr">
        <is>
          <t>Toronto</t>
        </is>
      </c>
      <c r="G228" s="48" t="n">
        <v>65</v>
      </c>
      <c r="H228" s="48" t="inlineStr">
        <is>
          <t>Cold Portal</t>
        </is>
      </c>
      <c r="I228" s="48" t="n"/>
      <c r="J228" s="48" t="inlineStr">
        <is>
          <t>No</t>
        </is>
      </c>
      <c r="K228" s="49" t="inlineStr">
        <is>
          <t>Rejected</t>
        </is>
      </c>
      <c r="L228" s="50" t="n">
        <v>46257</v>
      </c>
      <c r="M228" s="48">
        <f>IF(OR(L128="",A128=""),"",L128-A128)</f>
        <v/>
      </c>
      <c r="N228" s="48" t="n"/>
      <c r="O228" s="48" t="n"/>
      <c r="P228" s="51" t="inlineStr">
        <is>
          <t>Confirmed via Workday email 07/30. Contract role (12 months), added to Talent Community. | REJECTED 2026-08-23: Ontario Teachers' Pension Plan (otppb@myworkday.com) — "we have decided to pursue other applicants at this time."</t>
        </is>
      </c>
      <c r="Q228" s="48" t="n"/>
      <c r="R228" s="48" t="n"/>
      <c r="S228" s="51" t="n"/>
      <c r="T228" s="52">
        <f>IF(G228="","",G228)</f>
        <v/>
      </c>
      <c r="U228" s="52">
        <f>IF(C228="","",IF(OR(ISNUMBER(SEARCH("Director",C228)),ISNUMBER(SEARCH("Lead",C228)),ISNUMBER(SEARCH("Senior",C228)),ISNUMBER(SEARCH("Sr.",C228))),90,IF(OR(ISNUMBER(SEARCH("Manager",C228)),ISNUMBER(SEARCH("Program",C228)),ISNUMBER(SEARCH("Portfolio",C228))),80,60)))</f>
        <v/>
      </c>
      <c r="V228" s="52">
        <f>IF(C228="","",IF(OR(ISNUMBER(SEARCH("AI",C228)),ISNUMBER(SEARCH("Data",C228)),ISNUMBER(SEARCH("Technology",C228)),ISNUMBER(SEARCH("Technical",C228)),ISNUMBER(SEARCH("Engineering",C228)),ISNUMBER(SEARCH("Platform",C228)),ISNUMBER(SEARCH("Portfolio",C228))),85,65))</f>
        <v/>
      </c>
      <c r="W228" s="52">
        <f>IF(C228="","",MIN(100,50+IF(S228&lt;&gt;"",25,0)+IF(R228&lt;&gt;"",15,0)+IF(P228&lt;&gt;"",10,0)))</f>
        <v/>
      </c>
      <c r="X228" s="52">
        <f>IF(E228="","",IF(OR(E228="Canada",E228="CA"),100,IF(OR(E228="United States",E228="USA",E228="US"),IF(J228="Yes",45,75),65)))</f>
        <v/>
      </c>
      <c r="Y228" s="52">
        <f>IF(C228="","",IF(OR(ISNUMBER(SEARCH("Program",C228)),ISNUMBER(SEARCH("Portfolio",C228)),ISNUMBER(SEARCH("Operations",C228)),ISNUMBER(SEARCH("Transformation",C228))),85,IF(ISNUMBER(SEARCH("Product Manager",C228)),55,70)))</f>
        <v/>
      </c>
      <c r="Z228" s="52">
        <f>IF(C228="","",MIN(100,IF(I228&lt;&gt;"",60,10)+IF(AA228&gt;0,MIN(40,AA228*20),0)))</f>
        <v/>
      </c>
      <c r="AA228" s="52">
        <f>IF(T228="","",ROUND(T228*25%+U228*15%+V228*10%+W228*15%+X228*15%+Y228*10%+Z228*10%,0))</f>
        <v/>
      </c>
      <c r="AB228" s="52">
        <f>IF(AA228="","",IF(X228&lt;50,"Selective / Barrier",IF(AA228&gt;=80,"Tier 1 - Pursue",IF(AA228&gt;=70,"Tier 2 - Pursue",IF(AA228&gt;=60,"Tier 3 - Selective","Do Not Pursue")))))</f>
        <v/>
      </c>
      <c r="AC228" s="52">
        <f>IF(C228="","",IF(I228&lt;&gt;"","Named Contact",IF(AA228&gt;0,"Outreach Logged","Cold")))</f>
        <v/>
      </c>
      <c r="AD228" s="52">
        <f>IF(B228="","",COUNTIF('Outreach Log'!$C:$C,B228))</f>
        <v/>
      </c>
      <c r="AE228" s="52">
        <f>IF(A228="","",IF(OR(K228="Rejected",K228="Closed"),IF(L228&lt;&gt;"",L228-A228,TODAY()-A228),TODAY()-A228))</f>
        <v/>
      </c>
      <c r="AF228" s="52">
        <f>IF(C228="","",IF(AND(AA228&gt;=70,AC228="Cold"),"High-fit but cold",IF(AND(AA228&lt;60,K228="Applied"),"Low-fit application",IF(AND(AA228&gt;=70,OR(AC228="Named Contact",AC228="Outreach Logged")),"Targeted pursuit","Review"))))</f>
        <v/>
      </c>
    </row>
    <row r="229" ht="15" customHeight="1" s="44">
      <c r="A229" s="53" t="n">
        <v>46233</v>
      </c>
      <c r="B229" s="48" t="inlineStr">
        <is>
          <t>Thomson Reuters</t>
        </is>
      </c>
      <c r="C229" s="48" t="inlineStr">
        <is>
          <t>Vice President, Product Transformation</t>
        </is>
      </c>
      <c r="D229" s="48" t="inlineStr">
        <is>
          <t>VP</t>
        </is>
      </c>
      <c r="E229" s="48" t="inlineStr">
        <is>
          <t>Canada</t>
        </is>
      </c>
      <c r="F229" s="48" t="inlineStr">
        <is>
          <t>Toronto</t>
        </is>
      </c>
      <c r="G229" s="48" t="n">
        <v>68</v>
      </c>
      <c r="H229" s="48" t="inlineStr">
        <is>
          <t>LinkedIn</t>
        </is>
      </c>
      <c r="I229" s="48" t="n"/>
      <c r="J229" s="48" t="inlineStr">
        <is>
          <t>No</t>
        </is>
      </c>
      <c r="K229" s="55" t="inlineStr">
        <is>
          <t>Applied</t>
        </is>
      </c>
      <c r="L229" s="48" t="n"/>
      <c r="M229" s="48">
        <f>IF(OR(L129="",A129=""),"",L129-A129)</f>
        <v/>
      </c>
      <c r="N229" s="48" t="n"/>
      <c r="O229" s="48" t="n"/>
      <c r="P229" s="51" t="inlineStr">
        <is>
          <t>Applied via LinkedIn Easy Apply 07/30. Posting now shows "no longer accepting applications" as of 08/05 check — role likely filled or closed; no rejection email received yet.</t>
        </is>
      </c>
      <c r="Q229" s="48" t="n"/>
      <c r="R229" s="48" t="n"/>
      <c r="S229" s="51" t="n"/>
      <c r="T229" s="52">
        <f>IF(G229="","",G229)</f>
        <v/>
      </c>
      <c r="U229" s="52">
        <f>IF(C229="","",IF(OR(ISNUMBER(SEARCH("Director",C229)),ISNUMBER(SEARCH("Lead",C229)),ISNUMBER(SEARCH("Senior",C229)),ISNUMBER(SEARCH("Sr.",C229))),90,IF(OR(ISNUMBER(SEARCH("Manager",C229)),ISNUMBER(SEARCH("Program",C229)),ISNUMBER(SEARCH("Portfolio",C229))),80,60)))</f>
        <v/>
      </c>
      <c r="V229" s="52">
        <f>IF(C229="","",IF(OR(ISNUMBER(SEARCH("AI",C229)),ISNUMBER(SEARCH("Data",C229)),ISNUMBER(SEARCH("Technology",C229)),ISNUMBER(SEARCH("Technical",C229)),ISNUMBER(SEARCH("Engineering",C229)),ISNUMBER(SEARCH("Platform",C229)),ISNUMBER(SEARCH("Portfolio",C229))),85,65))</f>
        <v/>
      </c>
      <c r="W229" s="52">
        <f>IF(C229="","",MIN(100,50+IF(S229&lt;&gt;"",25,0)+IF(R229&lt;&gt;"",15,0)+IF(P229&lt;&gt;"",10,0)))</f>
        <v/>
      </c>
      <c r="X229" s="52">
        <f>IF(E229="","",IF(OR(E229="Canada",E229="CA"),100,IF(OR(E229="United States",E229="USA",E229="US"),IF(J229="Yes",45,75),65)))</f>
        <v/>
      </c>
      <c r="Y229" s="52">
        <f>IF(C229="","",IF(OR(ISNUMBER(SEARCH("Program",C229)),ISNUMBER(SEARCH("Portfolio",C229)),ISNUMBER(SEARCH("Operations",C229)),ISNUMBER(SEARCH("Transformation",C229))),85,IF(ISNUMBER(SEARCH("Product Manager",C229)),55,70)))</f>
        <v/>
      </c>
      <c r="Z229" s="52">
        <f>IF(C229="","",MIN(100,IF(I229&lt;&gt;"",60,10)+IF(AA229&gt;0,MIN(40,AA229*20),0)))</f>
        <v/>
      </c>
      <c r="AA229" s="52">
        <f>IF(T229="","",ROUND(T229*25%+U229*15%+V229*10%+W229*15%+X229*15%+Y229*10%+Z229*10%,0))</f>
        <v/>
      </c>
      <c r="AB229" s="52">
        <f>IF(AA229="","",IF(X229&lt;50,"Selective / Barrier",IF(AA229&gt;=80,"Tier 1 - Pursue",IF(AA229&gt;=70,"Tier 2 - Pursue",IF(AA229&gt;=60,"Tier 3 - Selective","Do Not Pursue")))))</f>
        <v/>
      </c>
      <c r="AC229" s="52">
        <f>IF(C229="","",IF(I229&lt;&gt;"","Named Contact",IF(AA229&gt;0,"Outreach Logged","Cold")))</f>
        <v/>
      </c>
      <c r="AD229" s="52">
        <f>IF(B229="","",COUNTIF('Outreach Log'!$C:$C,B229))</f>
        <v/>
      </c>
      <c r="AE229" s="52">
        <f>IF(A229="","",IF(OR(K229="Rejected",K229="Closed"),IF(L229&lt;&gt;"",L229-A229,TODAY()-A229),TODAY()-A229))</f>
        <v/>
      </c>
      <c r="AF229" s="52">
        <f>IF(C229="","",IF(AND(AA229&gt;=70,AC229="Cold"),"High-fit but cold",IF(AND(AA229&lt;60,K229="Applied"),"Low-fit application",IF(AND(AA229&gt;=70,OR(AC229="Named Contact",AC229="Outreach Logged")),"Targeted pursuit","Review"))))</f>
        <v/>
      </c>
    </row>
    <row r="230" ht="15" customHeight="1" s="44">
      <c r="A230" s="53" t="n">
        <v>46233</v>
      </c>
      <c r="B230" s="48" t="inlineStr">
        <is>
          <t>Chubb</t>
        </is>
      </c>
      <c r="C230" s="48" t="inlineStr">
        <is>
          <t>Lead, AI Program Management</t>
        </is>
      </c>
      <c r="D230" s="48" t="inlineStr">
        <is>
          <t>Lead</t>
        </is>
      </c>
      <c r="E230" s="48" t="inlineStr">
        <is>
          <t>Canada</t>
        </is>
      </c>
      <c r="F230" s="48" t="inlineStr">
        <is>
          <t>Toronto</t>
        </is>
      </c>
      <c r="G230" s="48" t="n">
        <v>82</v>
      </c>
      <c r="H230" s="48" t="inlineStr">
        <is>
          <t>LinkedIn</t>
        </is>
      </c>
      <c r="I230" s="48" t="n"/>
      <c r="J230" s="48" t="inlineStr">
        <is>
          <t>No</t>
        </is>
      </c>
      <c r="K230" s="49" t="inlineStr">
        <is>
          <t>Rejected</t>
        </is>
      </c>
      <c r="L230" s="50" t="n">
        <v>46251</v>
      </c>
      <c r="M230" s="48">
        <f>IF(OR(L130="",A130=""),"",L130-A130)</f>
        <v/>
      </c>
      <c r="N230" s="48" t="n"/>
      <c r="O230" s="48" t="n"/>
      <c r="P230" s="51" t="inlineStr">
        <is>
          <t>Insurance company (regulated financial services). Applied via LinkedIn Easy Apply 07/30. Strong fit: AI Program Management directly matches Bell Canada AI portfolio + IBM AI module experience. Rejected 2026-08-17 via Oracle Cloud recruiting email (role referenced as "AVP, AI Programs" in rejection notice — same application, title as posted differs slightly from LinkedIn listing).</t>
        </is>
      </c>
      <c r="Q230" s="48" t="n"/>
      <c r="R230" s="48" t="n"/>
      <c r="S230" s="51" t="n"/>
      <c r="T230" s="52">
        <f>IF(G230="","",G230)</f>
        <v/>
      </c>
      <c r="U230" s="52">
        <f>IF(C230="","",IF(OR(ISNUMBER(SEARCH("Director",C230)),ISNUMBER(SEARCH("Lead",C230)),ISNUMBER(SEARCH("Senior",C230)),ISNUMBER(SEARCH("Sr.",C230))),90,IF(OR(ISNUMBER(SEARCH("Manager",C230)),ISNUMBER(SEARCH("Program",C230)),ISNUMBER(SEARCH("Portfolio",C230))),80,60)))</f>
        <v/>
      </c>
      <c r="V230" s="52">
        <f>IF(C230="","",IF(OR(ISNUMBER(SEARCH("AI",C230)),ISNUMBER(SEARCH("Data",C230)),ISNUMBER(SEARCH("Technology",C230)),ISNUMBER(SEARCH("Technical",C230)),ISNUMBER(SEARCH("Engineering",C230)),ISNUMBER(SEARCH("Platform",C230)),ISNUMBER(SEARCH("Portfolio",C230))),85,65))</f>
        <v/>
      </c>
      <c r="W230" s="52">
        <f>IF(C230="","",MIN(100,50+IF(S230&lt;&gt;"",25,0)+IF(R230&lt;&gt;"",15,0)+IF(P230&lt;&gt;"",10,0)))</f>
        <v/>
      </c>
      <c r="X230" s="52">
        <f>IF(E230="","",IF(OR(E230="Canada",E230="CA"),100,IF(OR(E230="United States",E230="USA",E230="US"),IF(J230="Yes",45,75),65)))</f>
        <v/>
      </c>
      <c r="Y230" s="52">
        <f>IF(C230="","",IF(OR(ISNUMBER(SEARCH("Program",C230)),ISNUMBER(SEARCH("Portfolio",C230)),ISNUMBER(SEARCH("Operations",C230)),ISNUMBER(SEARCH("Transformation",C230))),85,IF(ISNUMBER(SEARCH("Product Manager",C230)),55,70)))</f>
        <v/>
      </c>
      <c r="Z230" s="52">
        <f>IF(C230="","",MIN(100,IF(I230&lt;&gt;"",60,10)+IF(AA230&gt;0,MIN(40,AA230*20),0)))</f>
        <v/>
      </c>
      <c r="AA230" s="52">
        <f>IF(T230="","",ROUND(T230*25%+U230*15%+V230*10%+W230*15%+X230*15%+Y230*10%+Z230*10%,0))</f>
        <v/>
      </c>
      <c r="AB230" s="52">
        <f>IF(AA230="","",IF(X230&lt;50,"Selective / Barrier",IF(AA230&gt;=80,"Tier 1 - Pursue",IF(AA230&gt;=70,"Tier 2 - Pursue",IF(AA230&gt;=60,"Tier 3 - Selective","Do Not Pursue")))))</f>
        <v/>
      </c>
      <c r="AC230" s="52">
        <f>IF(C230="","",IF(I230&lt;&gt;"","Named Contact",IF(AA230&gt;0,"Outreach Logged","Cold")))</f>
        <v/>
      </c>
      <c r="AD230" s="52">
        <f>IF(B230="","",COUNTIF('Outreach Log'!$C:$C,B230))</f>
        <v/>
      </c>
      <c r="AE230" s="52">
        <f>IF(A230="","",IF(OR(K230="Rejected",K230="Closed"),IF(L230&lt;&gt;"",L230-A230,TODAY()-A230),TODAY()-A230))</f>
        <v/>
      </c>
      <c r="AF230" s="52">
        <f>IF(C230="","",IF(AND(AA230&gt;=70,AC230="Cold"),"High-fit but cold",IF(AND(AA230&lt;60,K230="Applied"),"Low-fit application",IF(AND(AA230&gt;=70,OR(AC230="Named Contact",AC230="Outreach Logged")),"Targeted pursuit","Review"))))</f>
        <v/>
      </c>
    </row>
    <row r="231" ht="15" customHeight="1" s="44">
      <c r="A231" s="53" t="n">
        <v>46233</v>
      </c>
      <c r="B231" s="48" t="inlineStr">
        <is>
          <t>Walmart</t>
        </is>
      </c>
      <c r="C231" s="48" t="inlineStr">
        <is>
          <t>(CAN) Director, Data Delivery (CA)</t>
        </is>
      </c>
      <c r="D231" s="48" t="n"/>
      <c r="E231" s="48" t="n"/>
      <c r="F231" s="48" t="n"/>
      <c r="G231" s="48" t="n"/>
      <c r="H231" s="48" t="n"/>
      <c r="I231" s="48" t="n"/>
      <c r="J231" s="48" t="n"/>
      <c r="K231" s="55" t="inlineStr">
        <is>
          <t>Applied</t>
        </is>
      </c>
      <c r="L231" s="48" t="n"/>
      <c r="M231" s="48" t="n"/>
      <c r="N231" s="48" t="n"/>
      <c r="O231" s="48" t="n"/>
      <c r="P231" s="51" t="inlineStr">
        <is>
          <t>Initial confirmation (see Sep 19 rejection)</t>
        </is>
      </c>
      <c r="Q231" s="48" t="n"/>
      <c r="R231" s="48" t="n"/>
      <c r="S231" s="51" t="n"/>
      <c r="T231" s="52">
        <f>IF(G231="","",G231)</f>
        <v/>
      </c>
      <c r="U231" s="52">
        <f>IF(C231="","",IF(OR(ISNUMBER(SEARCH("Director",C231)),ISNUMBER(SEARCH("Lead",C231)),ISNUMBER(SEARCH("Senior",C231)),ISNUMBER(SEARCH("Sr.",C231))),90,IF(OR(ISNUMBER(SEARCH("Manager",C231)),ISNUMBER(SEARCH("Program",C231)),ISNUMBER(SEARCH("Portfolio",C231))),80,60)))</f>
        <v/>
      </c>
      <c r="V231" s="52">
        <f>IF(C231="","",IF(OR(ISNUMBER(SEARCH("AI",C231)),ISNUMBER(SEARCH("Data",C231)),ISNUMBER(SEARCH("Technology",C231)),ISNUMBER(SEARCH("Technical",C231)),ISNUMBER(SEARCH("Engineering",C231)),ISNUMBER(SEARCH("Platform",C231)),ISNUMBER(SEARCH("Portfolio",C231))),85,65))</f>
        <v/>
      </c>
      <c r="W231" s="52">
        <f>IF(C231="","",MIN(100,50+IF(S231&lt;&gt;"",25,0)+IF(R231&lt;&gt;"",15,0)+IF(P231&lt;&gt;"",10,0)))</f>
        <v/>
      </c>
      <c r="X231" s="52">
        <f>IF(E231="","",IF(OR(E231="Canada",E231="CA"),100,IF(OR(E231="United States",E231="USA",E231="US"),IF(J231="Yes",45,75),65)))</f>
        <v/>
      </c>
      <c r="Y231" s="52">
        <f>IF(C231="","",IF(OR(ISNUMBER(SEARCH("Program",C231)),ISNUMBER(SEARCH("Portfolio",C231)),ISNUMBER(SEARCH("Operations",C231)),ISNUMBER(SEARCH("Transformation",C231))),85,IF(ISNUMBER(SEARCH("Product Manager",C231)),55,70)))</f>
        <v/>
      </c>
      <c r="Z231" s="52">
        <f>IF(C231="","",MIN(100,IF(I231&lt;&gt;"",60,10)+IF(AA231&gt;0,MIN(40,AA231*20),0)))</f>
        <v/>
      </c>
      <c r="AA231" s="52">
        <f>IF(T231="","",ROUND(T231*25%+U231*15%+V231*10%+W231*15%+X231*15%+Y231*10%+Z231*10%,0))</f>
        <v/>
      </c>
      <c r="AB231" s="52">
        <f>IF(AA231="","",IF(X231&lt;50,"Selective / Barrier",IF(AA231&gt;=80,"Tier 1 - Pursue",IF(AA231&gt;=70,"Tier 2 - Pursue",IF(AA231&gt;=60,"Tier 3 - Selective","Do Not Pursue")))))</f>
        <v/>
      </c>
      <c r="AC231" s="52">
        <f>IF(C231="","",IF(I231&lt;&gt;"","Named Contact",IF(AA231&gt;0,"Outreach Logged","Cold")))</f>
        <v/>
      </c>
      <c r="AD231" s="52">
        <f>IF(B231="","",COUNTIF('Outreach Log'!$C:$C,B231))</f>
        <v/>
      </c>
      <c r="AE231" s="52">
        <f>IF(A231="","",IF(OR(K231="Rejected",K231="Closed"),IF(L231&lt;&gt;"",L231-A231,TODAY()-A231),TODAY()-A231))</f>
        <v/>
      </c>
      <c r="AF231" s="52">
        <f>IF(C231="","",IF(AND(AA231&gt;=70,AC231="Cold"),"High-fit but cold",IF(AND(AA231&lt;60,K231="Applied"),"Low-fit application",IF(AND(AA231&gt;=70,OR(AC231="Named Contact",AC231="Outreach Logged")),"Targeted pursuit","Review"))))</f>
        <v/>
      </c>
    </row>
    <row r="232" ht="15" customHeight="1" s="44">
      <c r="A232" s="53" t="n">
        <v>46233</v>
      </c>
      <c r="B232" s="48" t="inlineStr">
        <is>
          <t>RBC</t>
        </is>
      </c>
      <c r="C232" s="48" t="inlineStr">
        <is>
          <t>(role unspecified)</t>
        </is>
      </c>
      <c r="D232" s="48" t="n"/>
      <c r="E232" s="48" t="n"/>
      <c r="F232" s="48" t="n"/>
      <c r="G232" s="48" t="n"/>
      <c r="H232" s="48" t="n"/>
      <c r="I232" s="48" t="n"/>
      <c r="J232" s="48" t="n"/>
      <c r="K232" s="55" t="inlineStr">
        <is>
          <t>Applied</t>
        </is>
      </c>
      <c r="L232" s="48" t="n"/>
      <c r="M232" s="48" t="n"/>
      <c r="N232" s="48" t="n"/>
      <c r="O232" s="48" t="n"/>
      <c r="P232" s="51" t="inlineStr">
        <is>
          <t>Duplicate application</t>
        </is>
      </c>
      <c r="Q232" s="48" t="n"/>
      <c r="R232" s="48" t="n"/>
      <c r="S232" s="51" t="n"/>
      <c r="T232" s="52">
        <f>IF(G232="","",G232)</f>
        <v/>
      </c>
      <c r="U232" s="52">
        <f>IF(C232="","",IF(OR(ISNUMBER(SEARCH("Director",C232)),ISNUMBER(SEARCH("Lead",C232)),ISNUMBER(SEARCH("Senior",C232)),ISNUMBER(SEARCH("Sr.",C232))),90,IF(OR(ISNUMBER(SEARCH("Manager",C232)),ISNUMBER(SEARCH("Program",C232)),ISNUMBER(SEARCH("Portfolio",C232))),80,60)))</f>
        <v/>
      </c>
      <c r="V232" s="52">
        <f>IF(C232="","",IF(OR(ISNUMBER(SEARCH("AI",C232)),ISNUMBER(SEARCH("Data",C232)),ISNUMBER(SEARCH("Technology",C232)),ISNUMBER(SEARCH("Technical",C232)),ISNUMBER(SEARCH("Engineering",C232)),ISNUMBER(SEARCH("Platform",C232)),ISNUMBER(SEARCH("Portfolio",C232))),85,65))</f>
        <v/>
      </c>
      <c r="W232" s="52">
        <f>IF(C232="","",MIN(100,50+IF(S232&lt;&gt;"",25,0)+IF(R232&lt;&gt;"",15,0)+IF(P232&lt;&gt;"",10,0)))</f>
        <v/>
      </c>
      <c r="X232" s="52">
        <f>IF(E232="","",IF(OR(E232="Canada",E232="CA"),100,IF(OR(E232="United States",E232="USA",E232="US"),IF(J232="Yes",45,75),65)))</f>
        <v/>
      </c>
      <c r="Y232" s="52">
        <f>IF(C232="","",IF(OR(ISNUMBER(SEARCH("Program",C232)),ISNUMBER(SEARCH("Portfolio",C232)),ISNUMBER(SEARCH("Operations",C232)),ISNUMBER(SEARCH("Transformation",C232))),85,IF(ISNUMBER(SEARCH("Product Manager",C232)),55,70)))</f>
        <v/>
      </c>
      <c r="Z232" s="52">
        <f>IF(C232="","",MIN(100,IF(I232&lt;&gt;"",60,10)+IF(AA232&gt;0,MIN(40,AA232*20),0)))</f>
        <v/>
      </c>
      <c r="AA232" s="52">
        <f>IF(T232="","",ROUND(T232*25%+U232*15%+V232*10%+W232*15%+X232*15%+Y232*10%+Z232*10%,0))</f>
        <v/>
      </c>
      <c r="AB232" s="52">
        <f>IF(AA232="","",IF(X232&lt;50,"Selective / Barrier",IF(AA232&gt;=80,"Tier 1 - Pursue",IF(AA232&gt;=70,"Tier 2 - Pursue",IF(AA232&gt;=60,"Tier 3 - Selective","Do Not Pursue")))))</f>
        <v/>
      </c>
      <c r="AC232" s="52">
        <f>IF(C232="","",IF(I232&lt;&gt;"","Named Contact",IF(AA232&gt;0,"Outreach Logged","Cold")))</f>
        <v/>
      </c>
      <c r="AD232" s="52">
        <f>IF(B232="","",COUNTIF('Outreach Log'!$C:$C,B232))</f>
        <v/>
      </c>
      <c r="AE232" s="52">
        <f>IF(A232="","",IF(OR(K232="Rejected",K232="Closed"),IF(L232&lt;&gt;"",L232-A232,TODAY()-A232),TODAY()-A232))</f>
        <v/>
      </c>
      <c r="AF232" s="52">
        <f>IF(C232="","",IF(AND(AA232&gt;=70,AC232="Cold"),"High-fit but cold",IF(AND(AA232&lt;60,K232="Applied"),"Low-fit application",IF(AND(AA232&gt;=70,OR(AC232="Named Contact",AC232="Outreach Logged")),"Targeted pursuit","Review"))))</f>
        <v/>
      </c>
    </row>
    <row r="233" ht="15" customHeight="1" s="44">
      <c r="A233" s="53" t="n">
        <v>46233</v>
      </c>
      <c r="B233" s="48" t="inlineStr">
        <is>
          <t>Sanofi</t>
        </is>
      </c>
      <c r="C233" s="48" t="inlineStr">
        <is>
          <t>Digital Product Owner</t>
        </is>
      </c>
      <c r="D233" s="48" t="n"/>
      <c r="E233" s="48" t="n"/>
      <c r="F233" s="48" t="n"/>
      <c r="G233" s="48" t="n"/>
      <c r="H233" s="48" t="n"/>
      <c r="I233" s="48" t="n"/>
      <c r="J233" s="48" t="n"/>
      <c r="K233" s="55" t="inlineStr">
        <is>
          <t>Applied</t>
        </is>
      </c>
      <c r="L233" s="48" t="n"/>
      <c r="M233" s="48" t="n"/>
      <c r="N233" s="48" t="n"/>
      <c r="O233" s="48" t="n"/>
      <c r="P233" s="51" t="inlineStr">
        <is>
          <t>Initial confirmation (see Aug 16 rejection)</t>
        </is>
      </c>
      <c r="Q233" s="48" t="n"/>
      <c r="R233" s="48" t="n"/>
      <c r="S233" s="51" t="n"/>
      <c r="T233" s="52">
        <f>IF(G233="","",G233)</f>
        <v/>
      </c>
      <c r="U233" s="52">
        <f>IF(C233="","",IF(OR(ISNUMBER(SEARCH("Director",C233)),ISNUMBER(SEARCH("Lead",C233)),ISNUMBER(SEARCH("Senior",C233)),ISNUMBER(SEARCH("Sr.",C233))),90,IF(OR(ISNUMBER(SEARCH("Manager",C233)),ISNUMBER(SEARCH("Program",C233)),ISNUMBER(SEARCH("Portfolio",C233))),80,60)))</f>
        <v/>
      </c>
      <c r="V233" s="52">
        <f>IF(C233="","",IF(OR(ISNUMBER(SEARCH("AI",C233)),ISNUMBER(SEARCH("Data",C233)),ISNUMBER(SEARCH("Technology",C233)),ISNUMBER(SEARCH("Technical",C233)),ISNUMBER(SEARCH("Engineering",C233)),ISNUMBER(SEARCH("Platform",C233)),ISNUMBER(SEARCH("Portfolio",C233))),85,65))</f>
        <v/>
      </c>
      <c r="W233" s="52">
        <f>IF(C233="","",MIN(100,50+IF(S233&lt;&gt;"",25,0)+IF(R233&lt;&gt;"",15,0)+IF(P233&lt;&gt;"",10,0)))</f>
        <v/>
      </c>
      <c r="X233" s="52">
        <f>IF(E233="","",IF(OR(E233="Canada",E233="CA"),100,IF(OR(E233="United States",E233="USA",E233="US"),IF(J233="Yes",45,75),65)))</f>
        <v/>
      </c>
      <c r="Y233" s="52">
        <f>IF(C233="","",IF(OR(ISNUMBER(SEARCH("Program",C233)),ISNUMBER(SEARCH("Portfolio",C233)),ISNUMBER(SEARCH("Operations",C233)),ISNUMBER(SEARCH("Transformation",C233))),85,IF(ISNUMBER(SEARCH("Product Manager",C233)),55,70)))</f>
        <v/>
      </c>
      <c r="Z233" s="52">
        <f>IF(C233="","",MIN(100,IF(I233&lt;&gt;"",60,10)+IF(AA233&gt;0,MIN(40,AA233*20),0)))</f>
        <v/>
      </c>
      <c r="AA233" s="52">
        <f>IF(T233="","",ROUND(T233*25%+U233*15%+V233*10%+W233*15%+X233*15%+Y233*10%+Z233*10%,0))</f>
        <v/>
      </c>
      <c r="AB233" s="52">
        <f>IF(AA233="","",IF(X233&lt;50,"Selective / Barrier",IF(AA233&gt;=80,"Tier 1 - Pursue",IF(AA233&gt;=70,"Tier 2 - Pursue",IF(AA233&gt;=60,"Tier 3 - Selective","Do Not Pursue")))))</f>
        <v/>
      </c>
      <c r="AC233" s="52">
        <f>IF(C233="","",IF(I233&lt;&gt;"","Named Contact",IF(AA233&gt;0,"Outreach Logged","Cold")))</f>
        <v/>
      </c>
      <c r="AD233" s="52">
        <f>IF(B233="","",COUNTIF('Outreach Log'!$C:$C,B233))</f>
        <v/>
      </c>
      <c r="AE233" s="52">
        <f>IF(A233="","",IF(OR(K233="Rejected",K233="Closed"),IF(L233&lt;&gt;"",L233-A233,TODAY()-A233),TODAY()-A233))</f>
        <v/>
      </c>
      <c r="AF233" s="52">
        <f>IF(C233="","",IF(AND(AA233&gt;=70,AC233="Cold"),"High-fit but cold",IF(AND(AA233&lt;60,K233="Applied"),"Low-fit application",IF(AND(AA233&gt;=70,OR(AC233="Named Contact",AC233="Outreach Logged")),"Targeted pursuit","Review"))))</f>
        <v/>
      </c>
    </row>
    <row r="234" ht="15" customHeight="1" s="44">
      <c r="A234" s="53" t="n">
        <v>46233</v>
      </c>
      <c r="B234" s="48" t="inlineStr">
        <is>
          <t>Moneris</t>
        </is>
      </c>
      <c r="C234" s="48" t="inlineStr">
        <is>
          <t>(role unspecified)</t>
        </is>
      </c>
      <c r="D234" s="48" t="n"/>
      <c r="E234" s="48" t="n"/>
      <c r="F234" s="48" t="n"/>
      <c r="G234" s="48" t="n"/>
      <c r="H234" s="48" t="n"/>
      <c r="I234" s="48" t="n"/>
      <c r="J234" s="48" t="n"/>
      <c r="K234" s="55" t="inlineStr">
        <is>
          <t>Applied</t>
        </is>
      </c>
      <c r="L234" s="48" t="n"/>
      <c r="M234" s="48" t="n"/>
      <c r="N234" s="48" t="n"/>
      <c r="O234" s="48" t="n"/>
      <c r="P234" s="51" t="n"/>
      <c r="Q234" s="48" t="n"/>
      <c r="R234" s="48" t="n"/>
      <c r="S234" s="51" t="n"/>
      <c r="T234" s="52">
        <f>IF(G234="","",G234)</f>
        <v/>
      </c>
      <c r="U234" s="52">
        <f>IF(C234="","",IF(OR(ISNUMBER(SEARCH("Director",C234)),ISNUMBER(SEARCH("Lead",C234)),ISNUMBER(SEARCH("Senior",C234)),ISNUMBER(SEARCH("Sr.",C234))),90,IF(OR(ISNUMBER(SEARCH("Manager",C234)),ISNUMBER(SEARCH("Program",C234)),ISNUMBER(SEARCH("Portfolio",C234))),80,60)))</f>
        <v/>
      </c>
      <c r="V234" s="52">
        <f>IF(C234="","",IF(OR(ISNUMBER(SEARCH("AI",C234)),ISNUMBER(SEARCH("Data",C234)),ISNUMBER(SEARCH("Technology",C234)),ISNUMBER(SEARCH("Technical",C234)),ISNUMBER(SEARCH("Engineering",C234)),ISNUMBER(SEARCH("Platform",C234)),ISNUMBER(SEARCH("Portfolio",C234))),85,65))</f>
        <v/>
      </c>
      <c r="W234" s="52">
        <f>IF(C234="","",MIN(100,50+IF(S234&lt;&gt;"",25,0)+IF(R234&lt;&gt;"",15,0)+IF(P234&lt;&gt;"",10,0)))</f>
        <v/>
      </c>
      <c r="X234" s="52">
        <f>IF(E234="","",IF(OR(E234="Canada",E234="CA"),100,IF(OR(E234="United States",E234="USA",E234="US"),IF(J234="Yes",45,75),65)))</f>
        <v/>
      </c>
      <c r="Y234" s="52">
        <f>IF(C234="","",IF(OR(ISNUMBER(SEARCH("Program",C234)),ISNUMBER(SEARCH("Portfolio",C234)),ISNUMBER(SEARCH("Operations",C234)),ISNUMBER(SEARCH("Transformation",C234))),85,IF(ISNUMBER(SEARCH("Product Manager",C234)),55,70)))</f>
        <v/>
      </c>
      <c r="Z234" s="52">
        <f>IF(C234="","",MIN(100,IF(I234&lt;&gt;"",60,10)+IF(AA234&gt;0,MIN(40,AA234*20),0)))</f>
        <v/>
      </c>
      <c r="AA234" s="52">
        <f>IF(T234="","",ROUND(T234*25%+U234*15%+V234*10%+W234*15%+X234*15%+Y234*10%+Z234*10%,0))</f>
        <v/>
      </c>
      <c r="AB234" s="52">
        <f>IF(AA234="","",IF(X234&lt;50,"Selective / Barrier",IF(AA234&gt;=80,"Tier 1 - Pursue",IF(AA234&gt;=70,"Tier 2 - Pursue",IF(AA234&gt;=60,"Tier 3 - Selective","Do Not Pursue")))))</f>
        <v/>
      </c>
      <c r="AC234" s="52">
        <f>IF(C234="","",IF(I234&lt;&gt;"","Named Contact",IF(AA234&gt;0,"Outreach Logged","Cold")))</f>
        <v/>
      </c>
      <c r="AD234" s="52">
        <f>IF(B234="","",COUNTIF('Outreach Log'!$C:$C,B234))</f>
        <v/>
      </c>
      <c r="AE234" s="52">
        <f>IF(A234="","",IF(OR(K234="Rejected",K234="Closed"),IF(L234&lt;&gt;"",L234-A234,TODAY()-A234),TODAY()-A234))</f>
        <v/>
      </c>
      <c r="AF234" s="52">
        <f>IF(C234="","",IF(AND(AA234&gt;=70,AC234="Cold"),"High-fit but cold",IF(AND(AA234&lt;60,K234="Applied"),"Low-fit application",IF(AND(AA234&gt;=70,OR(AC234="Named Contact",AC234="Outreach Logged")),"Targeted pursuit","Review"))))</f>
        <v/>
      </c>
    </row>
    <row r="235" ht="15" customHeight="1" s="44">
      <c r="A235" s="53" t="n">
        <v>46235</v>
      </c>
      <c r="B235" s="48" t="inlineStr">
        <is>
          <t>Aquent | Skill</t>
        </is>
      </c>
      <c r="C235" s="48" t="inlineStr">
        <is>
          <t>Program Manager Tech 1</t>
        </is>
      </c>
      <c r="D235" s="48" t="inlineStr">
        <is>
          <t>Manager</t>
        </is>
      </c>
      <c r="E235" s="48" t="inlineStr">
        <is>
          <t>Canada</t>
        </is>
      </c>
      <c r="F235" s="48" t="inlineStr">
        <is>
          <t>Toronto</t>
        </is>
      </c>
      <c r="G235" s="48" t="n">
        <v>60</v>
      </c>
      <c r="H235" s="48" t="inlineStr">
        <is>
          <t>Cold Portal</t>
        </is>
      </c>
      <c r="I235" s="48" t="n"/>
      <c r="J235" s="48" t="inlineStr">
        <is>
          <t>No</t>
        </is>
      </c>
      <c r="K235" s="55" t="inlineStr">
        <is>
          <t>Applied</t>
        </is>
      </c>
      <c r="L235" s="48" t="n"/>
      <c r="M235" s="48">
        <f>IF(OR(L131="",A131=""),"",L131-A131)</f>
        <v/>
      </c>
      <c r="N235" s="48" t="n"/>
      <c r="O235" s="48" t="n"/>
      <c r="P235" s="51" t="inlineStr">
        <is>
          <t>Applied via talent.aquent.com; completed screening questions incl. Amazon catalog data quality example (attribute completeness benchmark) | Est. fit score: staffing-agency PM placement role, below her Director/Sr TPM level, generic scope vs AI/Data focus</t>
        </is>
      </c>
      <c r="Q235" s="48" t="n"/>
      <c r="R235" s="48" t="n"/>
      <c r="S235" s="51" t="n"/>
      <c r="T235" s="52">
        <f>IF(G235="","",G235)</f>
        <v/>
      </c>
      <c r="U235" s="52">
        <f>IF(C235="","",IF(OR(ISNUMBER(SEARCH("Director",C235)),ISNUMBER(SEARCH("Lead",C235)),ISNUMBER(SEARCH("Senior",C235)),ISNUMBER(SEARCH("Sr.",C235))),90,IF(OR(ISNUMBER(SEARCH("Manager",C235)),ISNUMBER(SEARCH("Program",C235)),ISNUMBER(SEARCH("Portfolio",C235))),80,60)))</f>
        <v/>
      </c>
      <c r="V235" s="52">
        <f>IF(C235="","",IF(OR(ISNUMBER(SEARCH("AI",C235)),ISNUMBER(SEARCH("Data",C235)),ISNUMBER(SEARCH("Technology",C235)),ISNUMBER(SEARCH("Technical",C235)),ISNUMBER(SEARCH("Engineering",C235)),ISNUMBER(SEARCH("Platform",C235)),ISNUMBER(SEARCH("Portfolio",C235))),85,65))</f>
        <v/>
      </c>
      <c r="W235" s="52">
        <f>IF(C235="","",MIN(100,50+IF(S235&lt;&gt;"",25,0)+IF(R235&lt;&gt;"",15,0)+IF(P235&lt;&gt;"",10,0)))</f>
        <v/>
      </c>
      <c r="X235" s="52">
        <f>IF(E235="","",IF(OR(E235="Canada",E235="CA"),100,IF(OR(E235="United States",E235="USA",E235="US"),IF(J235="Yes",45,75),65)))</f>
        <v/>
      </c>
      <c r="Y235" s="52">
        <f>IF(C235="","",IF(OR(ISNUMBER(SEARCH("Program",C235)),ISNUMBER(SEARCH("Portfolio",C235)),ISNUMBER(SEARCH("Operations",C235)),ISNUMBER(SEARCH("Transformation",C235))),85,IF(ISNUMBER(SEARCH("Product Manager",C235)),55,70)))</f>
        <v/>
      </c>
      <c r="Z235" s="52">
        <f>IF(C235="","",MIN(100,IF(I235&lt;&gt;"",60,10)+IF(AA235&gt;0,MIN(40,AA235*20),0)))</f>
        <v/>
      </c>
      <c r="AA235" s="52">
        <f>IF(T235="","",ROUND(T235*25%+U235*15%+V235*10%+W235*15%+X235*15%+Y235*10%+Z235*10%,0))</f>
        <v/>
      </c>
      <c r="AB235" s="52">
        <f>IF(AA235="","",IF(X235&lt;50,"Selective / Barrier",IF(AA235&gt;=80,"Tier 1 - Pursue",IF(AA235&gt;=70,"Tier 2 - Pursue",IF(AA235&gt;=60,"Tier 3 - Selective","Do Not Pursue")))))</f>
        <v/>
      </c>
      <c r="AC235" s="52">
        <f>IF(C235="","",IF(I235&lt;&gt;"","Named Contact",IF(AA235&gt;0,"Outreach Logged","Cold")))</f>
        <v/>
      </c>
      <c r="AD235" s="52">
        <f>IF(B235="","",COUNTIF('Outreach Log'!$C:$C,B235))</f>
        <v/>
      </c>
      <c r="AE235" s="52">
        <f>IF(A235="","",IF(OR(K235="Rejected",K235="Closed"),IF(L235&lt;&gt;"",L235-A235,TODAY()-A235),TODAY()-A235))</f>
        <v/>
      </c>
      <c r="AF235" s="52">
        <f>IF(C235="","",IF(AND(AA235&gt;=70,AC235="Cold"),"High-fit but cold",IF(AND(AA235&lt;60,K235="Applied"),"Low-fit application",IF(AND(AA235&gt;=70,OR(AC235="Named Contact",AC235="Outreach Logged")),"Targeted pursuit","Review"))))</f>
        <v/>
      </c>
    </row>
    <row r="236" ht="15" customHeight="1" s="44">
      <c r="A236" s="53" t="n">
        <v>46237</v>
      </c>
      <c r="B236" s="48" t="inlineStr">
        <is>
          <t>Clearway Group of Companies</t>
        </is>
      </c>
      <c r="C236" s="48" t="inlineStr">
        <is>
          <t>Project Manager</t>
        </is>
      </c>
      <c r="D236" s="48" t="inlineStr">
        <is>
          <t>Manager</t>
        </is>
      </c>
      <c r="E236" s="48" t="inlineStr">
        <is>
          <t>Canada</t>
        </is>
      </c>
      <c r="F236" s="48" t="inlineStr">
        <is>
          <t>Toronto</t>
        </is>
      </c>
      <c r="G236" s="48" t="n">
        <v>50</v>
      </c>
      <c r="H236" s="48" t="inlineStr">
        <is>
          <t>Cold Portal</t>
        </is>
      </c>
      <c r="I236" s="48" t="n"/>
      <c r="J236" s="48" t="inlineStr">
        <is>
          <t>No</t>
        </is>
      </c>
      <c r="K236" s="55" t="inlineStr">
        <is>
          <t>Applied</t>
        </is>
      </c>
      <c r="L236" s="48" t="n"/>
      <c r="M236" s="48">
        <f>IF(OR(L132="",A132=""),"",L132-A132)</f>
        <v/>
      </c>
      <c r="N236" s="48" t="n"/>
      <c r="O236" s="48" t="n"/>
      <c r="P236" s="51" t="inlineStr">
        <is>
          <t>Applied via Indeed | Est. fit score: general Project Manager role at property/facilities company, limited AI/tech alignment vs her background</t>
        </is>
      </c>
      <c r="Q236" s="48" t="n"/>
      <c r="R236" s="48" t="n"/>
      <c r="S236" s="51" t="n"/>
      <c r="T236" s="52">
        <f>IF(G236="","",G236)</f>
        <v/>
      </c>
      <c r="U236" s="52">
        <f>IF(C236="","",IF(OR(ISNUMBER(SEARCH("Director",C236)),ISNUMBER(SEARCH("Lead",C236)),ISNUMBER(SEARCH("Senior",C236)),ISNUMBER(SEARCH("Sr.",C236))),90,IF(OR(ISNUMBER(SEARCH("Manager",C236)),ISNUMBER(SEARCH("Program",C236)),ISNUMBER(SEARCH("Portfolio",C236))),80,60)))</f>
        <v/>
      </c>
      <c r="V236" s="52">
        <f>IF(C236="","",IF(OR(ISNUMBER(SEARCH("AI",C236)),ISNUMBER(SEARCH("Data",C236)),ISNUMBER(SEARCH("Technology",C236)),ISNUMBER(SEARCH("Technical",C236)),ISNUMBER(SEARCH("Engineering",C236)),ISNUMBER(SEARCH("Platform",C236)),ISNUMBER(SEARCH("Portfolio",C236))),85,65))</f>
        <v/>
      </c>
      <c r="W236" s="52">
        <f>IF(C236="","",MIN(100,50+IF(S236&lt;&gt;"",25,0)+IF(R236&lt;&gt;"",15,0)+IF(P236&lt;&gt;"",10,0)))</f>
        <v/>
      </c>
      <c r="X236" s="52">
        <f>IF(E236="","",IF(OR(E236="Canada",E236="CA"),100,IF(OR(E236="United States",E236="USA",E236="US"),IF(J236="Yes",45,75),65)))</f>
        <v/>
      </c>
      <c r="Y236" s="52">
        <f>IF(C236="","",IF(OR(ISNUMBER(SEARCH("Program",C236)),ISNUMBER(SEARCH("Portfolio",C236)),ISNUMBER(SEARCH("Operations",C236)),ISNUMBER(SEARCH("Transformation",C236))),85,IF(ISNUMBER(SEARCH("Product Manager",C236)),55,70)))</f>
        <v/>
      </c>
      <c r="Z236" s="52">
        <f>IF(C236="","",MIN(100,IF(I236&lt;&gt;"",60,10)+IF(AA236&gt;0,MIN(40,AA236*20),0)))</f>
        <v/>
      </c>
      <c r="AA236" s="52">
        <f>IF(T236="","",ROUND(T236*25%+U236*15%+V236*10%+W236*15%+X236*15%+Y236*10%+Z236*10%,0))</f>
        <v/>
      </c>
      <c r="AB236" s="52">
        <f>IF(AA236="","",IF(X236&lt;50,"Selective / Barrier",IF(AA236&gt;=80,"Tier 1 - Pursue",IF(AA236&gt;=70,"Tier 2 - Pursue",IF(AA236&gt;=60,"Tier 3 - Selective","Do Not Pursue")))))</f>
        <v/>
      </c>
      <c r="AC236" s="52">
        <f>IF(C236="","",IF(I236&lt;&gt;"","Named Contact",IF(AA236&gt;0,"Outreach Logged","Cold")))</f>
        <v/>
      </c>
      <c r="AD236" s="52">
        <f>IF(B236="","",COUNTIF('Outreach Log'!$C:$C,B236))</f>
        <v/>
      </c>
      <c r="AE236" s="52">
        <f>IF(A236="","",IF(OR(K236="Rejected",K236="Closed"),IF(L236&lt;&gt;"",L236-A236,TODAY()-A236),TODAY()-A236))</f>
        <v/>
      </c>
      <c r="AF236" s="52">
        <f>IF(C236="","",IF(AND(AA236&gt;=70,AC236="Cold"),"High-fit but cold",IF(AND(AA236&lt;60,K236="Applied"),"Low-fit application",IF(AND(AA236&gt;=70,OR(AC236="Named Contact",AC236="Outreach Logged")),"Targeted pursuit","Review"))))</f>
        <v/>
      </c>
    </row>
    <row r="237" ht="15" customHeight="1" s="44">
      <c r="A237" s="53" t="n">
        <v>46237</v>
      </c>
      <c r="B237" s="48" t="inlineStr">
        <is>
          <t>d1g1t Inc.</t>
        </is>
      </c>
      <c r="C237" s="48" t="inlineStr">
        <is>
          <t>Client Solution Lead - Financial Engineering</t>
        </is>
      </c>
      <c r="D237" s="48" t="inlineStr">
        <is>
          <t>Director</t>
        </is>
      </c>
      <c r="E237" s="48" t="inlineStr">
        <is>
          <t>Canada</t>
        </is>
      </c>
      <c r="F237" s="48" t="inlineStr">
        <is>
          <t>Toronto</t>
        </is>
      </c>
      <c r="G237" s="48" t="n">
        <v>68</v>
      </c>
      <c r="H237" s="48" t="inlineStr">
        <is>
          <t>Cold Portal</t>
        </is>
      </c>
      <c r="I237" s="48" t="n"/>
      <c r="J237" s="48" t="inlineStr">
        <is>
          <t>No</t>
        </is>
      </c>
      <c r="K237" s="55" t="inlineStr">
        <is>
          <t>Applied</t>
        </is>
      </c>
      <c r="L237" s="48" t="n"/>
      <c r="M237" s="48">
        <f>IF(OR(L133="",A133=""),"",L133-A133)</f>
        <v/>
      </c>
      <c r="N237" s="48" t="n"/>
      <c r="O237" s="48" t="n"/>
      <c r="P237" s="51" t="inlineStr">
        <is>
          <t>Tailored resume + cover letter submitted; strong architecture/delivery fit, real gap in wealth mgmt domain (est. fit 65-70%)</t>
        </is>
      </c>
      <c r="Q237" s="48" t="n"/>
      <c r="R237" s="48" t="n"/>
      <c r="S237" s="51" t="n"/>
      <c r="T237" s="52">
        <f>IF(G237="","",G237)</f>
        <v/>
      </c>
      <c r="U237" s="52">
        <f>IF(C237="","",IF(OR(ISNUMBER(SEARCH("Director",C237)),ISNUMBER(SEARCH("Lead",C237)),ISNUMBER(SEARCH("Senior",C237)),ISNUMBER(SEARCH("Sr.",C237))),90,IF(OR(ISNUMBER(SEARCH("Manager",C237)),ISNUMBER(SEARCH("Program",C237)),ISNUMBER(SEARCH("Portfolio",C237))),80,60)))</f>
        <v/>
      </c>
      <c r="V237" s="52">
        <f>IF(C237="","",IF(OR(ISNUMBER(SEARCH("AI",C237)),ISNUMBER(SEARCH("Data",C237)),ISNUMBER(SEARCH("Technology",C237)),ISNUMBER(SEARCH("Technical",C237)),ISNUMBER(SEARCH("Engineering",C237)),ISNUMBER(SEARCH("Platform",C237)),ISNUMBER(SEARCH("Portfolio",C237))),85,65))</f>
        <v/>
      </c>
      <c r="W237" s="52">
        <f>IF(C237="","",MIN(100,50+IF(S237&lt;&gt;"",25,0)+IF(R237&lt;&gt;"",15,0)+IF(P237&lt;&gt;"",10,0)))</f>
        <v/>
      </c>
      <c r="X237" s="52">
        <f>IF(E237="","",IF(OR(E237="Canada",E237="CA"),100,IF(OR(E237="United States",E237="USA",E237="US"),IF(J237="Yes",45,75),65)))</f>
        <v/>
      </c>
      <c r="Y237" s="52">
        <f>IF(C237="","",IF(OR(ISNUMBER(SEARCH("Program",C237)),ISNUMBER(SEARCH("Portfolio",C237)),ISNUMBER(SEARCH("Operations",C237)),ISNUMBER(SEARCH("Transformation",C237))),85,IF(ISNUMBER(SEARCH("Product Manager",C237)),55,70)))</f>
        <v/>
      </c>
      <c r="Z237" s="52">
        <f>IF(C237="","",MIN(100,IF(I237&lt;&gt;"",60,10)+IF(AA237&gt;0,MIN(40,AA237*20),0)))</f>
        <v/>
      </c>
      <c r="AA237" s="52">
        <f>IF(T237="","",ROUND(T237*25%+U237*15%+V237*10%+W237*15%+X237*15%+Y237*10%+Z237*10%,0))</f>
        <v/>
      </c>
      <c r="AB237" s="52">
        <f>IF(AA237="","",IF(X237&lt;50,"Selective / Barrier",IF(AA237&gt;=80,"Tier 1 - Pursue",IF(AA237&gt;=70,"Tier 2 - Pursue",IF(AA237&gt;=60,"Tier 3 - Selective","Do Not Pursue")))))</f>
        <v/>
      </c>
      <c r="AC237" s="52">
        <f>IF(C237="","",IF(I237&lt;&gt;"","Named Contact",IF(AA237&gt;0,"Outreach Logged","Cold")))</f>
        <v/>
      </c>
      <c r="AD237" s="52">
        <f>IF(B237="","",COUNTIF('Outreach Log'!$C:$C,B237))</f>
        <v/>
      </c>
      <c r="AE237" s="52">
        <f>IF(A237="","",IF(OR(K237="Rejected",K237="Closed"),IF(L237&lt;&gt;"",L237-A237,TODAY()-A237),TODAY()-A237))</f>
        <v/>
      </c>
      <c r="AF237" s="52">
        <f>IF(C237="","",IF(AND(AA237&gt;=70,AC237="Cold"),"High-fit but cold",IF(AND(AA237&lt;60,K237="Applied"),"Low-fit application",IF(AND(AA237&gt;=70,OR(AC237="Named Contact",AC237="Outreach Logged")),"Targeted pursuit","Review"))))</f>
        <v/>
      </c>
    </row>
    <row r="238" ht="15" customHeight="1" s="44">
      <c r="A238" s="53" t="n">
        <v>46237</v>
      </c>
      <c r="B238" s="48" t="inlineStr">
        <is>
          <t>Waterloo Regional Health Network (WRHN)</t>
        </is>
      </c>
      <c r="C238" s="48" t="inlineStr">
        <is>
          <t>AI Portfolio &amp; Delivery Office Lead</t>
        </is>
      </c>
      <c r="D238" s="48" t="inlineStr">
        <is>
          <t>Director</t>
        </is>
      </c>
      <c r="E238" s="48" t="inlineStr">
        <is>
          <t>Canada</t>
        </is>
      </c>
      <c r="F238" s="48" t="inlineStr">
        <is>
          <t>Toronto</t>
        </is>
      </c>
      <c r="G238" s="48" t="n">
        <v>75</v>
      </c>
      <c r="H238" s="48" t="inlineStr">
        <is>
          <t>Cold Portal</t>
        </is>
      </c>
      <c r="I238" s="48" t="n"/>
      <c r="J238" s="48" t="inlineStr">
        <is>
          <t>No</t>
        </is>
      </c>
      <c r="K238" s="55" t="inlineStr">
        <is>
          <t>Applied</t>
        </is>
      </c>
      <c r="L238" s="48" t="n"/>
      <c r="M238" s="48">
        <f>IF(OR(L134="",A134=""),"",L134-A134)</f>
        <v/>
      </c>
      <c r="N238" s="48" t="n"/>
      <c r="O238" s="48" t="n"/>
      <c r="P238" s="51" t="inlineStr">
        <is>
          <t>Tailored resume submitted; strong SAFe LPM cert match + influence-without-authority track record; gap: no healthcare/digital-health domain experience (listed as preferred, not required); location is Kitchener, not Toronto — confirm hybrid/remote policy</t>
        </is>
      </c>
      <c r="Q238" s="48" t="n"/>
      <c r="R238" s="48" t="n"/>
      <c r="S238" s="51" t="n"/>
      <c r="T238" s="52">
        <f>IF(G238="","",G238)</f>
        <v/>
      </c>
      <c r="U238" s="52">
        <f>IF(C238="","",IF(OR(ISNUMBER(SEARCH("Director",C238)),ISNUMBER(SEARCH("Lead",C238)),ISNUMBER(SEARCH("Senior",C238)),ISNUMBER(SEARCH("Sr.",C238))),90,IF(OR(ISNUMBER(SEARCH("Manager",C238)),ISNUMBER(SEARCH("Program",C238)),ISNUMBER(SEARCH("Portfolio",C238))),80,60)))</f>
        <v/>
      </c>
      <c r="V238" s="52">
        <f>IF(C238="","",IF(OR(ISNUMBER(SEARCH("AI",C238)),ISNUMBER(SEARCH("Data",C238)),ISNUMBER(SEARCH("Technology",C238)),ISNUMBER(SEARCH("Technical",C238)),ISNUMBER(SEARCH("Engineering",C238)),ISNUMBER(SEARCH("Platform",C238)),ISNUMBER(SEARCH("Portfolio",C238))),85,65))</f>
        <v/>
      </c>
      <c r="W238" s="52">
        <f>IF(C238="","",MIN(100,50+IF(S238&lt;&gt;"",25,0)+IF(R238&lt;&gt;"",15,0)+IF(P238&lt;&gt;"",10,0)))</f>
        <v/>
      </c>
      <c r="X238" s="52">
        <f>IF(E238="","",IF(OR(E238="Canada",E238="CA"),100,IF(OR(E238="United States",E238="USA",E238="US"),IF(J238="Yes",45,75),65)))</f>
        <v/>
      </c>
      <c r="Y238" s="52">
        <f>IF(C238="","",IF(OR(ISNUMBER(SEARCH("Program",C238)),ISNUMBER(SEARCH("Portfolio",C238)),ISNUMBER(SEARCH("Operations",C238)),ISNUMBER(SEARCH("Transformation",C238))),85,IF(ISNUMBER(SEARCH("Product Manager",C238)),55,70)))</f>
        <v/>
      </c>
      <c r="Z238" s="52">
        <f>IF(C238="","",MIN(100,IF(I238&lt;&gt;"",60,10)+IF(AA238&gt;0,MIN(40,AA238*20),0)))</f>
        <v/>
      </c>
      <c r="AA238" s="52">
        <f>IF(T238="","",ROUND(T238*25%+U238*15%+V238*10%+W238*15%+X238*15%+Y238*10%+Z238*10%,0))</f>
        <v/>
      </c>
      <c r="AB238" s="52">
        <f>IF(AA238="","",IF(X238&lt;50,"Selective / Barrier",IF(AA238&gt;=80,"Tier 1 - Pursue",IF(AA238&gt;=70,"Tier 2 - Pursue",IF(AA238&gt;=60,"Tier 3 - Selective","Do Not Pursue")))))</f>
        <v/>
      </c>
      <c r="AC238" s="52">
        <f>IF(C238="","",IF(I238&lt;&gt;"","Named Contact",IF(AA238&gt;0,"Outreach Logged","Cold")))</f>
        <v/>
      </c>
      <c r="AD238" s="52">
        <f>IF(B238="","",COUNTIF('Outreach Log'!$C:$C,B238))</f>
        <v/>
      </c>
      <c r="AE238" s="52">
        <f>IF(A238="","",IF(OR(K238="Rejected",K238="Closed"),IF(L238&lt;&gt;"",L238-A238,TODAY()-A238),TODAY()-A238))</f>
        <v/>
      </c>
      <c r="AF238" s="52">
        <f>IF(C238="","",IF(AND(AA238&gt;=70,AC238="Cold"),"High-fit but cold",IF(AND(AA238&lt;60,K238="Applied"),"Low-fit application",IF(AND(AA238&gt;=70,OR(AC238="Named Contact",AC238="Outreach Logged")),"Targeted pursuit","Review"))))</f>
        <v/>
      </c>
    </row>
    <row r="239" ht="15" customHeight="1" s="44">
      <c r="A239" s="53" t="n">
        <v>46237</v>
      </c>
      <c r="B239" s="48" t="inlineStr">
        <is>
          <t>Waterloo Regional Health Network (WRHN)</t>
        </is>
      </c>
      <c r="C239" s="48" t="inlineStr">
        <is>
          <t>AI-PDO Technical Lead - 6112</t>
        </is>
      </c>
      <c r="D239" s="48" t="inlineStr">
        <is>
          <t>Manager</t>
        </is>
      </c>
      <c r="E239" s="48" t="inlineStr">
        <is>
          <t>Canada</t>
        </is>
      </c>
      <c r="F239" s="48" t="inlineStr">
        <is>
          <t>Toronto</t>
        </is>
      </c>
      <c r="G239" s="48" t="n">
        <v>65</v>
      </c>
      <c r="H239" s="48" t="inlineStr">
        <is>
          <t>Cold Portal</t>
        </is>
      </c>
      <c r="I239" s="48" t="n"/>
      <c r="J239" s="48" t="inlineStr">
        <is>
          <t>No</t>
        </is>
      </c>
      <c r="K239" s="55" t="inlineStr">
        <is>
          <t>Applied</t>
        </is>
      </c>
      <c r="L239" s="48" t="n"/>
      <c r="M239" s="48">
        <f>IF(OR(L135="",A135=""),"",L135-A135)</f>
        <v/>
      </c>
      <c r="N239" s="48" t="n"/>
      <c r="O239" s="48" t="n"/>
      <c r="P239" s="51" t="inlineStr">
        <is>
          <t>Related WRHN posting, more technical/hands-on variant of AI-PDO Lead role; same healthcare domain gap applies</t>
        </is>
      </c>
      <c r="Q239" s="48" t="n"/>
      <c r="R239" s="48" t="n"/>
      <c r="S239" s="51" t="n"/>
      <c r="T239" s="52">
        <f>IF(G239="","",G239)</f>
        <v/>
      </c>
      <c r="U239" s="52">
        <f>IF(C239="","",IF(OR(ISNUMBER(SEARCH("Director",C239)),ISNUMBER(SEARCH("Lead",C239)),ISNUMBER(SEARCH("Senior",C239)),ISNUMBER(SEARCH("Sr.",C239))),90,IF(OR(ISNUMBER(SEARCH("Manager",C239)),ISNUMBER(SEARCH("Program",C239)),ISNUMBER(SEARCH("Portfolio",C239))),80,60)))</f>
        <v/>
      </c>
      <c r="V239" s="52">
        <f>IF(C239="","",IF(OR(ISNUMBER(SEARCH("AI",C239)),ISNUMBER(SEARCH("Data",C239)),ISNUMBER(SEARCH("Technology",C239)),ISNUMBER(SEARCH("Technical",C239)),ISNUMBER(SEARCH("Engineering",C239)),ISNUMBER(SEARCH("Platform",C239)),ISNUMBER(SEARCH("Portfolio",C239))),85,65))</f>
        <v/>
      </c>
      <c r="W239" s="52">
        <f>IF(C239="","",MIN(100,50+IF(S239&lt;&gt;"",25,0)+IF(R239&lt;&gt;"",15,0)+IF(P239&lt;&gt;"",10,0)))</f>
        <v/>
      </c>
      <c r="X239" s="52">
        <f>IF(E239="","",IF(OR(E239="Canada",E239="CA"),100,IF(OR(E239="United States",E239="USA",E239="US"),IF(J239="Yes",45,75),65)))</f>
        <v/>
      </c>
      <c r="Y239" s="52">
        <f>IF(C239="","",IF(OR(ISNUMBER(SEARCH("Program",C239)),ISNUMBER(SEARCH("Portfolio",C239)),ISNUMBER(SEARCH("Operations",C239)),ISNUMBER(SEARCH("Transformation",C239))),85,IF(ISNUMBER(SEARCH("Product Manager",C239)),55,70)))</f>
        <v/>
      </c>
      <c r="Z239" s="52">
        <f>IF(C239="","",MIN(100,IF(I239&lt;&gt;"",60,10)+IF(AA239&gt;0,MIN(40,AA239*20),0)))</f>
        <v/>
      </c>
      <c r="AA239" s="52">
        <f>IF(T239="","",ROUND(T239*25%+U239*15%+V239*10%+W239*15%+X239*15%+Y239*10%+Z239*10%,0))</f>
        <v/>
      </c>
      <c r="AB239" s="52">
        <f>IF(AA239="","",IF(X239&lt;50,"Selective / Barrier",IF(AA239&gt;=80,"Tier 1 - Pursue",IF(AA239&gt;=70,"Tier 2 - Pursue",IF(AA239&gt;=60,"Tier 3 - Selective","Do Not Pursue")))))</f>
        <v/>
      </c>
      <c r="AC239" s="52">
        <f>IF(C239="","",IF(I239&lt;&gt;"","Named Contact",IF(AA239&gt;0,"Outreach Logged","Cold")))</f>
        <v/>
      </c>
      <c r="AD239" s="52">
        <f>IF(B239="","",COUNTIF('Outreach Log'!$C:$C,B239))</f>
        <v/>
      </c>
      <c r="AE239" s="52">
        <f>IF(A239="","",IF(OR(K239="Rejected",K239="Closed"),IF(L239&lt;&gt;"",L239-A239,TODAY()-A239),TODAY()-A239))</f>
        <v/>
      </c>
      <c r="AF239" s="52">
        <f>IF(C239="","",IF(AND(AA239&gt;=70,AC239="Cold"),"High-fit but cold",IF(AND(AA239&lt;60,K239="Applied"),"Low-fit application",IF(AND(AA239&gt;=70,OR(AC239="Named Contact",AC239="Outreach Logged")),"Targeted pursuit","Review"))))</f>
        <v/>
      </c>
    </row>
    <row r="240" ht="15" customHeight="1" s="44">
      <c r="A240" s="53" t="n">
        <v>46237</v>
      </c>
      <c r="B240" s="48" t="inlineStr">
        <is>
          <t>HUG</t>
        </is>
      </c>
      <c r="C240" s="48" t="inlineStr">
        <is>
          <t>Technical Product Manager (AI)</t>
        </is>
      </c>
      <c r="D240" s="48" t="inlineStr">
        <is>
          <t>Sr TPM</t>
        </is>
      </c>
      <c r="E240" s="48" t="inlineStr">
        <is>
          <t>US</t>
        </is>
      </c>
      <c r="F240" s="48" t="inlineStr">
        <is>
          <t>New York, NY</t>
        </is>
      </c>
      <c r="G240" s="48" t="n">
        <v>58</v>
      </c>
      <c r="H240" s="48" t="inlineStr">
        <is>
          <t>LinkedIn</t>
        </is>
      </c>
      <c r="I240" s="48" t="n"/>
      <c r="J240" s="48" t="inlineStr">
        <is>
          <t>Yes</t>
        </is>
      </c>
      <c r="K240" s="55" t="inlineStr">
        <is>
          <t>Applied</t>
        </is>
      </c>
      <c r="L240" s="48" t="n"/>
      <c r="M240" s="48">
        <f>IF(OR(L136="",A136=""),"",L136-A136)</f>
        <v/>
      </c>
      <c r="N240" s="48" t="n"/>
      <c r="O240" s="48" t="n"/>
      <c r="P240" s="51" t="inlineStr">
        <is>
          <t>Series B SaaS company. Salary up to $275K base + equity + benefits. Applied via LinkedIn Easy Apply 08/03. Est. fit: Product Manager framing (not TPM/program mgmt core), smaller Series B company vs. her enterprise background.</t>
        </is>
      </c>
      <c r="Q240" s="48" t="n"/>
      <c r="R240" s="48" t="n"/>
      <c r="S240" s="51" t="n"/>
      <c r="T240" s="52">
        <f>IF(G240="","",G240)</f>
        <v/>
      </c>
      <c r="U240" s="52">
        <f>IF(C240="","",IF(OR(ISNUMBER(SEARCH("Director",C240)),ISNUMBER(SEARCH("Lead",C240)),ISNUMBER(SEARCH("Senior",C240)),ISNUMBER(SEARCH("Sr.",C240))),90,IF(OR(ISNUMBER(SEARCH("Manager",C240)),ISNUMBER(SEARCH("Program",C240)),ISNUMBER(SEARCH("Portfolio",C240))),80,60)))</f>
        <v/>
      </c>
      <c r="V240" s="52">
        <f>IF(C240="","",IF(OR(ISNUMBER(SEARCH("AI",C240)),ISNUMBER(SEARCH("Data",C240)),ISNUMBER(SEARCH("Technology",C240)),ISNUMBER(SEARCH("Technical",C240)),ISNUMBER(SEARCH("Engineering",C240)),ISNUMBER(SEARCH("Platform",C240)),ISNUMBER(SEARCH("Portfolio",C240))),85,65))</f>
        <v/>
      </c>
      <c r="W240" s="52">
        <f>IF(C240="","",MIN(100,50+IF(S240&lt;&gt;"",25,0)+IF(R240&lt;&gt;"",15,0)+IF(P240&lt;&gt;"",10,0)))</f>
        <v/>
      </c>
      <c r="X240" s="52">
        <f>IF(E240="","",IF(OR(E240="Canada",E240="CA"),100,IF(OR(E240="United States",E240="USA",E240="US"),IF(J240="Yes",45,75),65)))</f>
        <v/>
      </c>
      <c r="Y240" s="52">
        <f>IF(C240="","",IF(OR(ISNUMBER(SEARCH("Program",C240)),ISNUMBER(SEARCH("Portfolio",C240)),ISNUMBER(SEARCH("Operations",C240)),ISNUMBER(SEARCH("Transformation",C240))),85,IF(ISNUMBER(SEARCH("Product Manager",C240)),55,70)))</f>
        <v/>
      </c>
      <c r="Z240" s="52">
        <f>IF(C240="","",MIN(100,IF(I240&lt;&gt;"",60,10)+IF(AA240&gt;0,MIN(40,AA240*20),0)))</f>
        <v/>
      </c>
      <c r="AA240" s="52">
        <f>IF(T240="","",ROUND(T240*25%+U240*15%+V240*10%+W240*15%+X240*15%+Y240*10%+Z240*10%,0))</f>
        <v/>
      </c>
      <c r="AB240" s="52">
        <f>IF(AA240="","",IF(X240&lt;50,"Selective / Barrier",IF(AA240&gt;=80,"Tier 1 - Pursue",IF(AA240&gt;=70,"Tier 2 - Pursue",IF(AA240&gt;=60,"Tier 3 - Selective","Do Not Pursue")))))</f>
        <v/>
      </c>
      <c r="AC240" s="52">
        <f>IF(C240="","",IF(I240&lt;&gt;"","Named Contact",IF(AA240&gt;0,"Outreach Logged","Cold")))</f>
        <v/>
      </c>
      <c r="AD240" s="52">
        <f>IF(B240="","",COUNTIF('Outreach Log'!$C:$C,B240))</f>
        <v/>
      </c>
      <c r="AE240" s="52">
        <f>IF(A240="","",IF(OR(K240="Rejected",K240="Closed"),IF(L240&lt;&gt;"",L240-A240,TODAY()-A240),TODAY()-A240))</f>
        <v/>
      </c>
      <c r="AF240" s="52">
        <f>IF(C240="","",IF(AND(AA240&gt;=70,AC240="Cold"),"High-fit but cold",IF(AND(AA240&lt;60,K240="Applied"),"Low-fit application",IF(AND(AA240&gt;=70,OR(AC240="Named Contact",AC240="Outreach Logged")),"Targeted pursuit","Review"))))</f>
        <v/>
      </c>
    </row>
    <row r="241" ht="15" customHeight="1" s="44">
      <c r="A241" s="53" t="n">
        <v>46237</v>
      </c>
      <c r="B241" s="48" t="inlineStr">
        <is>
          <t>ExaCare AI</t>
        </is>
      </c>
      <c r="C241" s="48" t="inlineStr">
        <is>
          <t>AI Systems Lead</t>
        </is>
      </c>
      <c r="D241" s="48" t="inlineStr">
        <is>
          <t>Lead</t>
        </is>
      </c>
      <c r="E241" s="48" t="inlineStr">
        <is>
          <t>Canada</t>
        </is>
      </c>
      <c r="F241" s="48" t="inlineStr">
        <is>
          <t>Toronto</t>
        </is>
      </c>
      <c r="G241" s="48" t="n">
        <v>52</v>
      </c>
      <c r="H241" s="48" t="inlineStr">
        <is>
          <t>LinkedIn</t>
        </is>
      </c>
      <c r="I241" s="48" t="n"/>
      <c r="J241" s="48" t="inlineStr">
        <is>
          <t>No</t>
        </is>
      </c>
      <c r="K241" s="55" t="inlineStr">
        <is>
          <t>Applied</t>
        </is>
      </c>
      <c r="L241" s="48" t="n"/>
      <c r="M241" s="48">
        <f>IF(OR(L137="",A137=""),"",L137-A137)</f>
        <v/>
      </c>
      <c r="N241" s="48" t="n"/>
      <c r="O241" s="48" t="n"/>
      <c r="P241" s="51" t="inlineStr">
        <is>
          <t>Applied via LinkedIn Easy Apply 08/03. Est. fit: "Systems Lead" title suggests more hands-on technical/engineering leadership than program/portfolio management; smaller AI healthtech company, unclear scale.</t>
        </is>
      </c>
      <c r="Q241" s="48" t="n"/>
      <c r="R241" s="48" t="n"/>
      <c r="S241" s="51" t="n"/>
      <c r="T241" s="52">
        <f>IF(G241="","",G241)</f>
        <v/>
      </c>
      <c r="U241" s="52">
        <f>IF(C241="","",IF(OR(ISNUMBER(SEARCH("Director",C241)),ISNUMBER(SEARCH("Lead",C241)),ISNUMBER(SEARCH("Senior",C241)),ISNUMBER(SEARCH("Sr.",C241))),90,IF(OR(ISNUMBER(SEARCH("Manager",C241)),ISNUMBER(SEARCH("Program",C241)),ISNUMBER(SEARCH("Portfolio",C241))),80,60)))</f>
        <v/>
      </c>
      <c r="V241" s="52">
        <f>IF(C241="","",IF(OR(ISNUMBER(SEARCH("AI",C241)),ISNUMBER(SEARCH("Data",C241)),ISNUMBER(SEARCH("Technology",C241)),ISNUMBER(SEARCH("Technical",C241)),ISNUMBER(SEARCH("Engineering",C241)),ISNUMBER(SEARCH("Platform",C241)),ISNUMBER(SEARCH("Portfolio",C241))),85,65))</f>
        <v/>
      </c>
      <c r="W241" s="52">
        <f>IF(C241="","",MIN(100,50+IF(S241&lt;&gt;"",25,0)+IF(R241&lt;&gt;"",15,0)+IF(P241&lt;&gt;"",10,0)))</f>
        <v/>
      </c>
      <c r="X241" s="52">
        <f>IF(E241="","",IF(OR(E241="Canada",E241="CA"),100,IF(OR(E241="United States",E241="USA",E241="US"),IF(J241="Yes",45,75),65)))</f>
        <v/>
      </c>
      <c r="Y241" s="52">
        <f>IF(C241="","",IF(OR(ISNUMBER(SEARCH("Program",C241)),ISNUMBER(SEARCH("Portfolio",C241)),ISNUMBER(SEARCH("Operations",C241)),ISNUMBER(SEARCH("Transformation",C241))),85,IF(ISNUMBER(SEARCH("Product Manager",C241)),55,70)))</f>
        <v/>
      </c>
      <c r="Z241" s="52">
        <f>IF(C241="","",MIN(100,IF(I241&lt;&gt;"",60,10)+IF(AA241&gt;0,MIN(40,AA241*20),0)))</f>
        <v/>
      </c>
      <c r="AA241" s="52">
        <f>IF(T241="","",ROUND(T241*25%+U241*15%+V241*10%+W241*15%+X241*15%+Y241*10%+Z241*10%,0))</f>
        <v/>
      </c>
      <c r="AB241" s="52">
        <f>IF(AA241="","",IF(X241&lt;50,"Selective / Barrier",IF(AA241&gt;=80,"Tier 1 - Pursue",IF(AA241&gt;=70,"Tier 2 - Pursue",IF(AA241&gt;=60,"Tier 3 - Selective","Do Not Pursue")))))</f>
        <v/>
      </c>
      <c r="AC241" s="52">
        <f>IF(C241="","",IF(I241&lt;&gt;"","Named Contact",IF(AA241&gt;0,"Outreach Logged","Cold")))</f>
        <v/>
      </c>
      <c r="AD241" s="52">
        <f>IF(B241="","",COUNTIF('Outreach Log'!$C:$C,B241))</f>
        <v/>
      </c>
      <c r="AE241" s="52">
        <f>IF(A241="","",IF(OR(K241="Rejected",K241="Closed"),IF(L241&lt;&gt;"",L241-A241,TODAY()-A241),TODAY()-A241))</f>
        <v/>
      </c>
      <c r="AF241" s="52">
        <f>IF(C241="","",IF(AND(AA241&gt;=70,AC241="Cold"),"High-fit but cold",IF(AND(AA241&lt;60,K241="Applied"),"Low-fit application",IF(AND(AA241&gt;=70,OR(AC241="Named Contact",AC241="Outreach Logged")),"Targeted pursuit","Review"))))</f>
        <v/>
      </c>
    </row>
    <row r="242" ht="15" customHeight="1" s="44">
      <c r="A242" s="53" t="n">
        <v>46237</v>
      </c>
      <c r="B242" s="48" t="inlineStr">
        <is>
          <t>Scott Mission</t>
        </is>
      </c>
      <c r="C242" s="48" t="inlineStr">
        <is>
          <t>Digital Transformation &amp; AI Director</t>
        </is>
      </c>
      <c r="D242" s="48" t="inlineStr">
        <is>
          <t>Director</t>
        </is>
      </c>
      <c r="E242" s="48" t="inlineStr">
        <is>
          <t>Canada</t>
        </is>
      </c>
      <c r="F242" s="48" t="inlineStr">
        <is>
          <t>Toronto</t>
        </is>
      </c>
      <c r="G242" s="48" t="n">
        <v>76</v>
      </c>
      <c r="H242" s="48" t="inlineStr">
        <is>
          <t>LinkedIn</t>
        </is>
      </c>
      <c r="I242" s="48" t="n"/>
      <c r="J242" s="48" t="inlineStr">
        <is>
          <t>No</t>
        </is>
      </c>
      <c r="K242" s="55" t="inlineStr">
        <is>
          <t>Applied</t>
        </is>
      </c>
      <c r="L242" s="48" t="n"/>
      <c r="M242" s="48">
        <f>IF(OR(L138="",A138=""),"",L138-A138)</f>
        <v/>
      </c>
      <c r="N242" s="48" t="n"/>
      <c r="O242" s="48" t="n"/>
      <c r="P242" s="51" t="inlineStr">
        <is>
          <t>Toronto nonprofit/social services organization. Applied via LinkedIn Easy Apply 08/03. Strong fit: Director-level digital/AI transformation matches Bell Canada portfolio experience directly.</t>
        </is>
      </c>
      <c r="Q242" s="48" t="n"/>
      <c r="R242" s="48" t="n"/>
      <c r="S242" s="51" t="n"/>
      <c r="T242" s="52">
        <f>IF(G242="","",G242)</f>
        <v/>
      </c>
      <c r="U242" s="52">
        <f>IF(C242="","",IF(OR(ISNUMBER(SEARCH("Director",C242)),ISNUMBER(SEARCH("Lead",C242)),ISNUMBER(SEARCH("Senior",C242)),ISNUMBER(SEARCH("Sr.",C242))),90,IF(OR(ISNUMBER(SEARCH("Manager",C242)),ISNUMBER(SEARCH("Program",C242)),ISNUMBER(SEARCH("Portfolio",C242))),80,60)))</f>
        <v/>
      </c>
      <c r="V242" s="52">
        <f>IF(C242="","",IF(OR(ISNUMBER(SEARCH("AI",C242)),ISNUMBER(SEARCH("Data",C242)),ISNUMBER(SEARCH("Technology",C242)),ISNUMBER(SEARCH("Technical",C242)),ISNUMBER(SEARCH("Engineering",C242)),ISNUMBER(SEARCH("Platform",C242)),ISNUMBER(SEARCH("Portfolio",C242))),85,65))</f>
        <v/>
      </c>
      <c r="W242" s="52">
        <f>IF(C242="","",MIN(100,50+IF(S242&lt;&gt;"",25,0)+IF(R242&lt;&gt;"",15,0)+IF(P242&lt;&gt;"",10,0)))</f>
        <v/>
      </c>
      <c r="X242" s="52">
        <f>IF(E242="","",IF(OR(E242="Canada",E242="CA"),100,IF(OR(E242="United States",E242="USA",E242="US"),IF(J242="Yes",45,75),65)))</f>
        <v/>
      </c>
      <c r="Y242" s="52">
        <f>IF(C242="","",IF(OR(ISNUMBER(SEARCH("Program",C242)),ISNUMBER(SEARCH("Portfolio",C242)),ISNUMBER(SEARCH("Operations",C242)),ISNUMBER(SEARCH("Transformation",C242))),85,IF(ISNUMBER(SEARCH("Product Manager",C242)),55,70)))</f>
        <v/>
      </c>
      <c r="Z242" s="52">
        <f>IF(C242="","",MIN(100,IF(I242&lt;&gt;"",60,10)+IF(AA242&gt;0,MIN(40,AA242*20),0)))</f>
        <v/>
      </c>
      <c r="AA242" s="52">
        <f>IF(T242="","",ROUND(T242*25%+U242*15%+V242*10%+W242*15%+X242*15%+Y242*10%+Z242*10%,0))</f>
        <v/>
      </c>
      <c r="AB242" s="52">
        <f>IF(AA242="","",IF(X242&lt;50,"Selective / Barrier",IF(AA242&gt;=80,"Tier 1 - Pursue",IF(AA242&gt;=70,"Tier 2 - Pursue",IF(AA242&gt;=60,"Tier 3 - Selective","Do Not Pursue")))))</f>
        <v/>
      </c>
      <c r="AC242" s="52">
        <f>IF(C242="","",IF(I242&lt;&gt;"","Named Contact",IF(AA242&gt;0,"Outreach Logged","Cold")))</f>
        <v/>
      </c>
      <c r="AD242" s="52">
        <f>IF(B242="","",COUNTIF('Outreach Log'!$C:$C,B242))</f>
        <v/>
      </c>
      <c r="AE242" s="52">
        <f>IF(A242="","",IF(OR(K242="Rejected",K242="Closed"),IF(L242&lt;&gt;"",L242-A242,TODAY()-A242),TODAY()-A242))</f>
        <v/>
      </c>
      <c r="AF242" s="52">
        <f>IF(C242="","",IF(AND(AA242&gt;=70,AC242="Cold"),"High-fit but cold",IF(AND(AA242&lt;60,K242="Applied"),"Low-fit application",IF(AND(AA242&gt;=70,OR(AC242="Named Contact",AC242="Outreach Logged")),"Targeted pursuit","Review"))))</f>
        <v/>
      </c>
    </row>
    <row r="243" ht="15" customHeight="1" s="44">
      <c r="A243" s="53" t="n">
        <v>46237</v>
      </c>
      <c r="B243" s="48" t="inlineStr">
        <is>
          <t>Retell AI</t>
        </is>
      </c>
      <c r="C243" s="48" t="inlineStr">
        <is>
          <t>Founders Initiatives</t>
        </is>
      </c>
      <c r="D243" s="48" t="n"/>
      <c r="E243" s="48" t="n"/>
      <c r="F243" s="48" t="n"/>
      <c r="G243" s="48" t="n"/>
      <c r="H243" s="48" t="n"/>
      <c r="I243" s="48" t="n"/>
      <c r="J243" s="48" t="n"/>
      <c r="K243" s="55" t="inlineStr">
        <is>
          <t>Applied</t>
        </is>
      </c>
      <c r="L243" s="48" t="n"/>
      <c r="M243" s="48" t="n"/>
      <c r="N243" s="48" t="n"/>
      <c r="O243" s="48" t="n"/>
      <c r="P243" s="51" t="n"/>
      <c r="Q243" s="48" t="n"/>
      <c r="R243" s="48" t="n"/>
      <c r="S243" s="51" t="n"/>
      <c r="T243" s="52">
        <f>IF(G243="","",G243)</f>
        <v/>
      </c>
      <c r="U243" s="52">
        <f>IF(C243="","",IF(OR(ISNUMBER(SEARCH("Director",C243)),ISNUMBER(SEARCH("Lead",C243)),ISNUMBER(SEARCH("Senior",C243)),ISNUMBER(SEARCH("Sr.",C243))),90,IF(OR(ISNUMBER(SEARCH("Manager",C243)),ISNUMBER(SEARCH("Program",C243)),ISNUMBER(SEARCH("Portfolio",C243))),80,60)))</f>
        <v/>
      </c>
      <c r="V243" s="52">
        <f>IF(C243="","",IF(OR(ISNUMBER(SEARCH("AI",C243)),ISNUMBER(SEARCH("Data",C243)),ISNUMBER(SEARCH("Technology",C243)),ISNUMBER(SEARCH("Technical",C243)),ISNUMBER(SEARCH("Engineering",C243)),ISNUMBER(SEARCH("Platform",C243)),ISNUMBER(SEARCH("Portfolio",C243))),85,65))</f>
        <v/>
      </c>
      <c r="W243" s="52">
        <f>IF(C243="","",MIN(100,50+IF(S243&lt;&gt;"",25,0)+IF(R243&lt;&gt;"",15,0)+IF(P243&lt;&gt;"",10,0)))</f>
        <v/>
      </c>
      <c r="X243" s="52">
        <f>IF(E243="","",IF(OR(E243="Canada",E243="CA"),100,IF(OR(E243="United States",E243="USA",E243="US"),IF(J243="Yes",45,75),65)))</f>
        <v/>
      </c>
      <c r="Y243" s="52">
        <f>IF(C243="","",IF(OR(ISNUMBER(SEARCH("Program",C243)),ISNUMBER(SEARCH("Portfolio",C243)),ISNUMBER(SEARCH("Operations",C243)),ISNUMBER(SEARCH("Transformation",C243))),85,IF(ISNUMBER(SEARCH("Product Manager",C243)),55,70)))</f>
        <v/>
      </c>
      <c r="Z243" s="52">
        <f>IF(C243="","",MIN(100,IF(I243&lt;&gt;"",60,10)+IF(AA243&gt;0,MIN(40,AA243*20),0)))</f>
        <v/>
      </c>
      <c r="AA243" s="52">
        <f>IF(T243="","",ROUND(T243*25%+U243*15%+V243*10%+W243*15%+X243*15%+Y243*10%+Z243*10%,0))</f>
        <v/>
      </c>
      <c r="AB243" s="52">
        <f>IF(AA243="","",IF(X243&lt;50,"Selective / Barrier",IF(AA243&gt;=80,"Tier 1 - Pursue",IF(AA243&gt;=70,"Tier 2 - Pursue",IF(AA243&gt;=60,"Tier 3 - Selective","Do Not Pursue")))))</f>
        <v/>
      </c>
      <c r="AC243" s="52">
        <f>IF(C243="","",IF(I243&lt;&gt;"","Named Contact",IF(AA243&gt;0,"Outreach Logged","Cold")))</f>
        <v/>
      </c>
      <c r="AD243" s="52">
        <f>IF(B243="","",COUNTIF('Outreach Log'!$C:$C,B243))</f>
        <v/>
      </c>
      <c r="AE243" s="52">
        <f>IF(A243="","",IF(OR(K243="Rejected",K243="Closed"),IF(L243&lt;&gt;"",L243-A243,TODAY()-A243),TODAY()-A243))</f>
        <v/>
      </c>
      <c r="AF243" s="52">
        <f>IF(C243="","",IF(AND(AA243&gt;=70,AC243="Cold"),"High-fit but cold",IF(AND(AA243&lt;60,K243="Applied"),"Low-fit application",IF(AND(AA243&gt;=70,OR(AC243="Named Contact",AC243="Outreach Logged")),"Targeted pursuit","Review"))))</f>
        <v/>
      </c>
    </row>
    <row r="244" ht="15" customHeight="1" s="44">
      <c r="A244" s="53" t="n">
        <v>46237</v>
      </c>
      <c r="B244" s="48" t="inlineStr">
        <is>
          <t>ExaCare Inc</t>
        </is>
      </c>
      <c r="C244" s="48" t="inlineStr">
        <is>
          <t>AI (role unspecified)</t>
        </is>
      </c>
      <c r="D244" s="48" t="n"/>
      <c r="E244" s="48" t="n"/>
      <c r="F244" s="48" t="n"/>
      <c r="G244" s="48" t="n"/>
      <c r="H244" s="48" t="n"/>
      <c r="I244" s="48" t="n"/>
      <c r="J244" s="48" t="n"/>
      <c r="K244" s="55" t="inlineStr">
        <is>
          <t>Applied</t>
        </is>
      </c>
      <c r="L244" s="48" t="n"/>
      <c r="M244" s="48" t="n"/>
      <c r="N244" s="48" t="n"/>
      <c r="O244" s="48" t="n"/>
      <c r="P244" s="51" t="n"/>
      <c r="Q244" s="48" t="n"/>
      <c r="R244" s="48" t="n"/>
      <c r="S244" s="51" t="n"/>
      <c r="T244" s="52">
        <f>IF(G244="","",G244)</f>
        <v/>
      </c>
      <c r="U244" s="52">
        <f>IF(C244="","",IF(OR(ISNUMBER(SEARCH("Director",C244)),ISNUMBER(SEARCH("Lead",C244)),ISNUMBER(SEARCH("Senior",C244)),ISNUMBER(SEARCH("Sr.",C244))),90,IF(OR(ISNUMBER(SEARCH("Manager",C244)),ISNUMBER(SEARCH("Program",C244)),ISNUMBER(SEARCH("Portfolio",C244))),80,60)))</f>
        <v/>
      </c>
      <c r="V244" s="52">
        <f>IF(C244="","",IF(OR(ISNUMBER(SEARCH("AI",C244)),ISNUMBER(SEARCH("Data",C244)),ISNUMBER(SEARCH("Technology",C244)),ISNUMBER(SEARCH("Technical",C244)),ISNUMBER(SEARCH("Engineering",C244)),ISNUMBER(SEARCH("Platform",C244)),ISNUMBER(SEARCH("Portfolio",C244))),85,65))</f>
        <v/>
      </c>
      <c r="W244" s="52">
        <f>IF(C244="","",MIN(100,50+IF(S244&lt;&gt;"",25,0)+IF(R244&lt;&gt;"",15,0)+IF(P244&lt;&gt;"",10,0)))</f>
        <v/>
      </c>
      <c r="X244" s="52">
        <f>IF(E244="","",IF(OR(E244="Canada",E244="CA"),100,IF(OR(E244="United States",E244="USA",E244="US"),IF(J244="Yes",45,75),65)))</f>
        <v/>
      </c>
      <c r="Y244" s="52">
        <f>IF(C244="","",IF(OR(ISNUMBER(SEARCH("Program",C244)),ISNUMBER(SEARCH("Portfolio",C244)),ISNUMBER(SEARCH("Operations",C244)),ISNUMBER(SEARCH("Transformation",C244))),85,IF(ISNUMBER(SEARCH("Product Manager",C244)),55,70)))</f>
        <v/>
      </c>
      <c r="Z244" s="52">
        <f>IF(C244="","",MIN(100,IF(I244&lt;&gt;"",60,10)+IF(AA244&gt;0,MIN(40,AA244*20),0)))</f>
        <v/>
      </c>
      <c r="AA244" s="52">
        <f>IF(T244="","",ROUND(T244*25%+U244*15%+V244*10%+W244*15%+X244*15%+Y244*10%+Z244*10%,0))</f>
        <v/>
      </c>
      <c r="AB244" s="52">
        <f>IF(AA244="","",IF(X244&lt;50,"Selective / Barrier",IF(AA244&gt;=80,"Tier 1 - Pursue",IF(AA244&gt;=70,"Tier 2 - Pursue",IF(AA244&gt;=60,"Tier 3 - Selective","Do Not Pursue")))))</f>
        <v/>
      </c>
      <c r="AC244" s="52">
        <f>IF(C244="","",IF(I244&lt;&gt;"","Named Contact",IF(AA244&gt;0,"Outreach Logged","Cold")))</f>
        <v/>
      </c>
      <c r="AD244" s="52">
        <f>IF(B244="","",COUNTIF('Outreach Log'!$C:$C,B244))</f>
        <v/>
      </c>
      <c r="AE244" s="52">
        <f>IF(A244="","",IF(OR(K244="Rejected",K244="Closed"),IF(L244&lt;&gt;"",L244-A244,TODAY()-A244),TODAY()-A244))</f>
        <v/>
      </c>
      <c r="AF244" s="52">
        <f>IF(C244="","",IF(AND(AA244&gt;=70,AC244="Cold"),"High-fit but cold",IF(AND(AA244&lt;60,K244="Applied"),"Low-fit application",IF(AND(AA244&gt;=70,OR(AC244="Named Contact",AC244="Outreach Logged")),"Targeted pursuit","Review"))))</f>
        <v/>
      </c>
    </row>
    <row r="245" ht="15" customHeight="1" s="44">
      <c r="A245" s="53" t="n">
        <v>46238</v>
      </c>
      <c r="B245" s="48" t="inlineStr">
        <is>
          <t>Loblaw Digital</t>
        </is>
      </c>
      <c r="C245" s="48" t="inlineStr">
        <is>
          <t>Senior Manager, Technical Program Management</t>
        </is>
      </c>
      <c r="D245" s="48" t="inlineStr">
        <is>
          <t>Senior Manager</t>
        </is>
      </c>
      <c r="E245" s="48" t="inlineStr">
        <is>
          <t>Canada</t>
        </is>
      </c>
      <c r="F245" s="48" t="inlineStr">
        <is>
          <t>Toronto</t>
        </is>
      </c>
      <c r="G245" s="48" t="n">
        <v>78</v>
      </c>
      <c r="H245" s="48" t="inlineStr">
        <is>
          <t>Cold Portal</t>
        </is>
      </c>
      <c r="I245" s="48" t="n"/>
      <c r="J245" s="48" t="inlineStr">
        <is>
          <t>No</t>
        </is>
      </c>
      <c r="K245" s="49" t="inlineStr">
        <is>
          <t>Rejected</t>
        </is>
      </c>
      <c r="L245" s="50" t="n">
        <v>46277</v>
      </c>
      <c r="M245" s="48">
        <f>IF(OR(L139="",A139=""),"",L139-A139)</f>
        <v/>
      </c>
      <c r="N245" s="48" t="n"/>
      <c r="O245" s="48" t="n"/>
      <c r="P245" s="51" t="inlineStr">
        <is>
          <t>Verification code issue resolved; resume tailored specifically for this posting successfully submitted 08/04. | REJECTED 2026-09-12: Loblaw Companies Limited virtual recruiting assistant ("Alex") — "no longer able to move forward with you for the Senior Technical Program Manager role."</t>
        </is>
      </c>
      <c r="Q245" s="48" t="n"/>
      <c r="R245" s="48" t="n"/>
      <c r="S245" s="51" t="n"/>
      <c r="T245" s="52">
        <f>IF(G245="","",G245)</f>
        <v/>
      </c>
      <c r="U245" s="52">
        <f>IF(C245="","",IF(OR(ISNUMBER(SEARCH("Director",C245)),ISNUMBER(SEARCH("Lead",C245)),ISNUMBER(SEARCH("Senior",C245)),ISNUMBER(SEARCH("Sr.",C245))),90,IF(OR(ISNUMBER(SEARCH("Manager",C245)),ISNUMBER(SEARCH("Program",C245)),ISNUMBER(SEARCH("Portfolio",C245))),80,60)))</f>
        <v/>
      </c>
      <c r="V245" s="52">
        <f>IF(C245="","",IF(OR(ISNUMBER(SEARCH("AI",C245)),ISNUMBER(SEARCH("Data",C245)),ISNUMBER(SEARCH("Technology",C245)),ISNUMBER(SEARCH("Technical",C245)),ISNUMBER(SEARCH("Engineering",C245)),ISNUMBER(SEARCH("Platform",C245)),ISNUMBER(SEARCH("Portfolio",C245))),85,65))</f>
        <v/>
      </c>
      <c r="W245" s="52">
        <f>IF(C245="","",MIN(100,50+IF(S245&lt;&gt;"",25,0)+IF(R245&lt;&gt;"",15,0)+IF(P245&lt;&gt;"",10,0)))</f>
        <v/>
      </c>
      <c r="X245" s="52">
        <f>IF(E245="","",IF(OR(E245="Canada",E245="CA"),100,IF(OR(E245="United States",E245="USA",E245="US"),IF(J245="Yes",45,75),65)))</f>
        <v/>
      </c>
      <c r="Y245" s="52">
        <f>IF(C245="","",IF(OR(ISNUMBER(SEARCH("Program",C245)),ISNUMBER(SEARCH("Portfolio",C245)),ISNUMBER(SEARCH("Operations",C245)),ISNUMBER(SEARCH("Transformation",C245))),85,IF(ISNUMBER(SEARCH("Product Manager",C245)),55,70)))</f>
        <v/>
      </c>
      <c r="Z245" s="52">
        <f>IF(C245="","",MIN(100,IF(I245&lt;&gt;"",60,10)+IF(AA245&gt;0,MIN(40,AA245*20),0)))</f>
        <v/>
      </c>
      <c r="AA245" s="52">
        <f>IF(T245="","",ROUND(T245*25%+U245*15%+V245*10%+W245*15%+X245*15%+Y245*10%+Z245*10%,0))</f>
        <v/>
      </c>
      <c r="AB245" s="52">
        <f>IF(AA245="","",IF(X245&lt;50,"Selective / Barrier",IF(AA245&gt;=80,"Tier 1 - Pursue",IF(AA245&gt;=70,"Tier 2 - Pursue",IF(AA245&gt;=60,"Tier 3 - Selective","Do Not Pursue")))))</f>
        <v/>
      </c>
      <c r="AC245" s="52">
        <f>IF(C245="","",IF(I245&lt;&gt;"","Named Contact",IF(AA245&gt;0,"Outreach Logged","Cold")))</f>
        <v/>
      </c>
      <c r="AD245" s="52">
        <f>IF(B245="","",COUNTIF('Outreach Log'!$C:$C,B245))</f>
        <v/>
      </c>
      <c r="AE245" s="52">
        <f>IF(A245="","",IF(OR(K245="Rejected",K245="Closed"),IF(L245&lt;&gt;"",L245-A245,TODAY()-A245),TODAY()-A245))</f>
        <v/>
      </c>
      <c r="AF245" s="52">
        <f>IF(C245="","",IF(AND(AA245&gt;=70,AC245="Cold"),"High-fit but cold",IF(AND(AA245&lt;60,K245="Applied"),"Low-fit application",IF(AND(AA245&gt;=70,OR(AC245="Named Contact",AC245="Outreach Logged")),"Targeted pursuit","Review"))))</f>
        <v/>
      </c>
    </row>
    <row r="246" ht="15" customHeight="1" s="44">
      <c r="A246" s="53" t="n">
        <v>46238</v>
      </c>
      <c r="B246" s="48" t="inlineStr">
        <is>
          <t>ServiceNow</t>
        </is>
      </c>
      <c r="C246" s="48" t="inlineStr">
        <is>
          <t>Director, Engagement Management, Canada</t>
        </is>
      </c>
      <c r="D246" s="48" t="inlineStr">
        <is>
          <t>Director</t>
        </is>
      </c>
      <c r="E246" s="48" t="inlineStr">
        <is>
          <t>Canada</t>
        </is>
      </c>
      <c r="F246" s="48" t="inlineStr">
        <is>
          <t>Toronto</t>
        </is>
      </c>
      <c r="G246" s="48" t="n">
        <v>47</v>
      </c>
      <c r="H246" s="48" t="inlineStr">
        <is>
          <t>Cold Portal</t>
        </is>
      </c>
      <c r="I246" s="48" t="n"/>
      <c r="J246" s="48" t="inlineStr">
        <is>
          <t>No</t>
        </is>
      </c>
      <c r="K246" s="55" t="inlineStr">
        <is>
          <t>Applied</t>
        </is>
      </c>
      <c r="L246" s="48" t="n"/>
      <c r="M246" s="48">
        <f>IF(OR(L140="",A140=""),"",L140-A140)</f>
        <v/>
      </c>
      <c r="N246" s="48" t="n"/>
      <c r="O246" s="48" t="n"/>
      <c r="P246" s="51" t="inlineStr">
        <is>
          <t>4th ServiceNow application, different track (services/engagement leadership vs prior 3 IC TPM roles). Confirmed via SmartRecruiters email 08/04. Real gaps: 50+ person team leadership, sales quota ownership — est. fit ~45-50%</t>
        </is>
      </c>
      <c r="Q246" s="48" t="n"/>
      <c r="R246" s="48" t="n"/>
      <c r="S246" s="51" t="n"/>
      <c r="T246" s="52">
        <f>IF(G246="","",G246)</f>
        <v/>
      </c>
      <c r="U246" s="52">
        <f>IF(C246="","",IF(OR(ISNUMBER(SEARCH("Director",C246)),ISNUMBER(SEARCH("Lead",C246)),ISNUMBER(SEARCH("Senior",C246)),ISNUMBER(SEARCH("Sr.",C246))),90,IF(OR(ISNUMBER(SEARCH("Manager",C246)),ISNUMBER(SEARCH("Program",C246)),ISNUMBER(SEARCH("Portfolio",C246))),80,60)))</f>
        <v/>
      </c>
      <c r="V246" s="52">
        <f>IF(C246="","",IF(OR(ISNUMBER(SEARCH("AI",C246)),ISNUMBER(SEARCH("Data",C246)),ISNUMBER(SEARCH("Technology",C246)),ISNUMBER(SEARCH("Technical",C246)),ISNUMBER(SEARCH("Engineering",C246)),ISNUMBER(SEARCH("Platform",C246)),ISNUMBER(SEARCH("Portfolio",C246))),85,65))</f>
        <v/>
      </c>
      <c r="W246" s="52">
        <f>IF(C246="","",MIN(100,50+IF(S246&lt;&gt;"",25,0)+IF(R246&lt;&gt;"",15,0)+IF(P246&lt;&gt;"",10,0)))</f>
        <v/>
      </c>
      <c r="X246" s="52">
        <f>IF(E246="","",IF(OR(E246="Canada",E246="CA"),100,IF(OR(E246="United States",E246="USA",E246="US"),IF(J246="Yes",45,75),65)))</f>
        <v/>
      </c>
      <c r="Y246" s="52">
        <f>IF(C246="","",IF(OR(ISNUMBER(SEARCH("Program",C246)),ISNUMBER(SEARCH("Portfolio",C246)),ISNUMBER(SEARCH("Operations",C246)),ISNUMBER(SEARCH("Transformation",C246))),85,IF(ISNUMBER(SEARCH("Product Manager",C246)),55,70)))</f>
        <v/>
      </c>
      <c r="Z246" s="52">
        <f>IF(C246="","",MIN(100,IF(I246&lt;&gt;"",60,10)+IF(AA246&gt;0,MIN(40,AA246*20),0)))</f>
        <v/>
      </c>
      <c r="AA246" s="52">
        <f>IF(T246="","",ROUND(T246*25%+U246*15%+V246*10%+W246*15%+X246*15%+Y246*10%+Z246*10%,0))</f>
        <v/>
      </c>
      <c r="AB246" s="52">
        <f>IF(AA246="","",IF(X246&lt;50,"Selective / Barrier",IF(AA246&gt;=80,"Tier 1 - Pursue",IF(AA246&gt;=70,"Tier 2 - Pursue",IF(AA246&gt;=60,"Tier 3 - Selective","Do Not Pursue")))))</f>
        <v/>
      </c>
      <c r="AC246" s="52">
        <f>IF(C246="","",IF(I246&lt;&gt;"","Named Contact",IF(AA246&gt;0,"Outreach Logged","Cold")))</f>
        <v/>
      </c>
      <c r="AD246" s="52">
        <f>IF(B246="","",COUNTIF('Outreach Log'!$C:$C,B246))</f>
        <v/>
      </c>
      <c r="AE246" s="52">
        <f>IF(A246="","",IF(OR(K246="Rejected",K246="Closed"),IF(L246&lt;&gt;"",L246-A246,TODAY()-A246),TODAY()-A246))</f>
        <v/>
      </c>
      <c r="AF246" s="52">
        <f>IF(C246="","",IF(AND(AA246&gt;=70,AC246="Cold"),"High-fit but cold",IF(AND(AA246&lt;60,K246="Applied"),"Low-fit application",IF(AND(AA246&gt;=70,OR(AC246="Named Contact",AC246="Outreach Logged")),"Targeted pursuit","Review"))))</f>
        <v/>
      </c>
    </row>
    <row r="247" ht="15" customHeight="1" s="44">
      <c r="A247" s="53" t="n">
        <v>46238</v>
      </c>
      <c r="B247" s="48" t="inlineStr">
        <is>
          <t>Loblaw Digital</t>
        </is>
      </c>
      <c r="C247" s="48" t="inlineStr">
        <is>
          <t>Senior Product Manager, AI-Enabled Digital Health Platform</t>
        </is>
      </c>
      <c r="D247" s="48" t="inlineStr">
        <is>
          <t>Senior Manager</t>
        </is>
      </c>
      <c r="E247" s="48" t="inlineStr">
        <is>
          <t>Canada</t>
        </is>
      </c>
      <c r="F247" s="48" t="inlineStr">
        <is>
          <t>Toronto</t>
        </is>
      </c>
      <c r="G247" s="48" t="n">
        <v>68</v>
      </c>
      <c r="H247" s="48" t="inlineStr">
        <is>
          <t>Cold Portal</t>
        </is>
      </c>
      <c r="I247" s="48" t="n"/>
      <c r="J247" s="48" t="inlineStr">
        <is>
          <t>No</t>
        </is>
      </c>
      <c r="K247" s="49" t="inlineStr">
        <is>
          <t>Rejected</t>
        </is>
      </c>
      <c r="L247" s="50" t="n">
        <v>46246</v>
      </c>
      <c r="M247" s="48">
        <f>IF(OR(L141="",A141=""),"",L141-A141)</f>
        <v/>
      </c>
      <c r="N247" s="48" t="n"/>
      <c r="O247" s="48" t="n"/>
      <c r="P247" s="51" t="inlineStr">
        <is>
          <t>Tailored resume incl. Oko Solutions AI product-building experience. IC role (shift from Director track), real gap: healthcare/digital-health domain (strongly preferred). Link: https://careers.loblaw.ca/senior-product-manager-ai-digital-health-platform/job/PAF-LCL-1788A1E8-C30C-4B6E-822B-AB9F5DC1D594_7580_1785359404_0 | Rejected 2026-08-12 via Loblaw automated recruiting assistant. Encouraged to apply to other roles.</t>
        </is>
      </c>
      <c r="Q247" s="48" t="n"/>
      <c r="R247" s="48" t="n"/>
      <c r="S247" s="51" t="n"/>
      <c r="T247" s="52">
        <f>IF(G247="","",G247)</f>
        <v/>
      </c>
      <c r="U247" s="52">
        <f>IF(C247="","",IF(OR(ISNUMBER(SEARCH("Director",C247)),ISNUMBER(SEARCH("Lead",C247)),ISNUMBER(SEARCH("Senior",C247)),ISNUMBER(SEARCH("Sr.",C247))),90,IF(OR(ISNUMBER(SEARCH("Manager",C247)),ISNUMBER(SEARCH("Program",C247)),ISNUMBER(SEARCH("Portfolio",C247))),80,60)))</f>
        <v/>
      </c>
      <c r="V247" s="52">
        <f>IF(C247="","",IF(OR(ISNUMBER(SEARCH("AI",C247)),ISNUMBER(SEARCH("Data",C247)),ISNUMBER(SEARCH("Technology",C247)),ISNUMBER(SEARCH("Technical",C247)),ISNUMBER(SEARCH("Engineering",C247)),ISNUMBER(SEARCH("Platform",C247)),ISNUMBER(SEARCH("Portfolio",C247))),85,65))</f>
        <v/>
      </c>
      <c r="W247" s="52">
        <f>IF(C247="","",MIN(100,50+IF(S247&lt;&gt;"",25,0)+IF(R247&lt;&gt;"",15,0)+IF(P247&lt;&gt;"",10,0)))</f>
        <v/>
      </c>
      <c r="X247" s="52">
        <f>IF(E247="","",IF(OR(E247="Canada",E247="CA"),100,IF(OR(E247="United States",E247="USA",E247="US"),IF(J247="Yes",45,75),65)))</f>
        <v/>
      </c>
      <c r="Y247" s="52">
        <f>IF(C247="","",IF(OR(ISNUMBER(SEARCH("Program",C247)),ISNUMBER(SEARCH("Portfolio",C247)),ISNUMBER(SEARCH("Operations",C247)),ISNUMBER(SEARCH("Transformation",C247))),85,IF(ISNUMBER(SEARCH("Product Manager",C247)),55,70)))</f>
        <v/>
      </c>
      <c r="Z247" s="52">
        <f>IF(C247="","",MIN(100,IF(I247&lt;&gt;"",60,10)+IF(AA247&gt;0,MIN(40,AA247*20),0)))</f>
        <v/>
      </c>
      <c r="AA247" s="52">
        <f>IF(T247="","",ROUND(T247*25%+U247*15%+V247*10%+W247*15%+X247*15%+Y247*10%+Z247*10%,0))</f>
        <v/>
      </c>
      <c r="AB247" s="52">
        <f>IF(AA247="","",IF(X247&lt;50,"Selective / Barrier",IF(AA247&gt;=80,"Tier 1 - Pursue",IF(AA247&gt;=70,"Tier 2 - Pursue",IF(AA247&gt;=60,"Tier 3 - Selective","Do Not Pursue")))))</f>
        <v/>
      </c>
      <c r="AC247" s="52">
        <f>IF(C247="","",IF(I247&lt;&gt;"","Named Contact",IF(AA247&gt;0,"Outreach Logged","Cold")))</f>
        <v/>
      </c>
      <c r="AD247" s="52">
        <f>IF(B247="","",COUNTIF('Outreach Log'!$C:$C,B247))</f>
        <v/>
      </c>
      <c r="AE247" s="52">
        <f>IF(A247="","",IF(OR(K247="Rejected",K247="Closed"),IF(L247&lt;&gt;"",L247-A247,TODAY()-A247),TODAY()-A247))</f>
        <v/>
      </c>
      <c r="AF247" s="52">
        <f>IF(C247="","",IF(AND(AA247&gt;=70,AC247="Cold"),"High-fit but cold",IF(AND(AA247&lt;60,K247="Applied"),"Low-fit application",IF(AND(AA247&gt;=70,OR(AC247="Named Contact",AC247="Outreach Logged")),"Targeted pursuit","Review"))))</f>
        <v/>
      </c>
    </row>
    <row r="248" ht="15" customHeight="1" s="44">
      <c r="A248" s="53" t="n">
        <v>46238</v>
      </c>
      <c r="B248" s="48" t="inlineStr">
        <is>
          <t>Loblaw Digital</t>
        </is>
      </c>
      <c r="C248" s="48" t="inlineStr">
        <is>
          <t>Senior Technical Program Manager</t>
        </is>
      </c>
      <c r="D248" s="48" t="inlineStr">
        <is>
          <t>Senior Manager</t>
        </is>
      </c>
      <c r="E248" s="48" t="inlineStr">
        <is>
          <t>Canada</t>
        </is>
      </c>
      <c r="F248" s="48" t="inlineStr">
        <is>
          <t>Toronto</t>
        </is>
      </c>
      <c r="G248" s="48" t="n">
        <v>82</v>
      </c>
      <c r="H248" s="48" t="inlineStr">
        <is>
          <t>Cold Portal</t>
        </is>
      </c>
      <c r="I248" s="48" t="n"/>
      <c r="J248" s="48" t="inlineStr">
        <is>
          <t>No</t>
        </is>
      </c>
      <c r="K248" s="49" t="inlineStr">
        <is>
          <t>Rejected</t>
        </is>
      </c>
      <c r="L248" s="50" t="n">
        <v>46252</v>
      </c>
      <c r="M248" s="48">
        <f>IF(OR(L142="",A142=""),"",L142-A142)</f>
        <v/>
      </c>
      <c r="N248" s="48" t="n"/>
      <c r="O248" s="48" t="n"/>
      <c r="P248" s="51" t="inlineStr">
        <is>
          <t>Job ID R2000640554. Distinct req from the 04/2026 Senior TPM rejection (different Job ID) and from the Senior Manager, TPM applied earlier today — IC-level Senior TPM role directly matching resume tailored for eCommerce/cross-functional plan management. Link: https://careers.loblaw.ca/senior-technical-program-manager/job/PAF-LCL-20945005-3773-4C81-B51B-894E3AD0C083_7580_1783703404_0 REJECTED 2026-08-18 via Loblaw virtual recruiting assistant ("Alex"): "no longer able to move forward." Standard auto-decline notice.</t>
        </is>
      </c>
      <c r="Q248" s="48" t="n"/>
      <c r="R248" s="48" t="n"/>
      <c r="S248" s="51" t="n"/>
      <c r="T248" s="52">
        <f>IF(G248="","",G248)</f>
        <v/>
      </c>
      <c r="U248" s="52">
        <f>IF(C248="","",IF(OR(ISNUMBER(SEARCH("Director",C248)),ISNUMBER(SEARCH("Lead",C248)),ISNUMBER(SEARCH("Senior",C248)),ISNUMBER(SEARCH("Sr.",C248))),90,IF(OR(ISNUMBER(SEARCH("Manager",C248)),ISNUMBER(SEARCH("Program",C248)),ISNUMBER(SEARCH("Portfolio",C248))),80,60)))</f>
        <v/>
      </c>
      <c r="V248" s="52">
        <f>IF(C248="","",IF(OR(ISNUMBER(SEARCH("AI",C248)),ISNUMBER(SEARCH("Data",C248)),ISNUMBER(SEARCH("Technology",C248)),ISNUMBER(SEARCH("Technical",C248)),ISNUMBER(SEARCH("Engineering",C248)),ISNUMBER(SEARCH("Platform",C248)),ISNUMBER(SEARCH("Portfolio",C248))),85,65))</f>
        <v/>
      </c>
      <c r="W248" s="52">
        <f>IF(C248="","",MIN(100,50+IF(S248&lt;&gt;"",25,0)+IF(R248&lt;&gt;"",15,0)+IF(P248&lt;&gt;"",10,0)))</f>
        <v/>
      </c>
      <c r="X248" s="52">
        <f>IF(E248="","",IF(OR(E248="Canada",E248="CA"),100,IF(OR(E248="United States",E248="USA",E248="US"),IF(J248="Yes",45,75),65)))</f>
        <v/>
      </c>
      <c r="Y248" s="52">
        <f>IF(C248="","",IF(OR(ISNUMBER(SEARCH("Program",C248)),ISNUMBER(SEARCH("Portfolio",C248)),ISNUMBER(SEARCH("Operations",C248)),ISNUMBER(SEARCH("Transformation",C248))),85,IF(ISNUMBER(SEARCH("Product Manager",C248)),55,70)))</f>
        <v/>
      </c>
      <c r="Z248" s="52">
        <f>IF(C248="","",MIN(100,IF(I248&lt;&gt;"",60,10)+IF(AA248&gt;0,MIN(40,AA248*20),0)))</f>
        <v/>
      </c>
      <c r="AA248" s="52">
        <f>IF(T248="","",ROUND(T248*25%+U248*15%+V248*10%+W248*15%+X248*15%+Y248*10%+Z248*10%,0))</f>
        <v/>
      </c>
      <c r="AB248" s="52">
        <f>IF(AA248="","",IF(X248&lt;50,"Selective / Barrier",IF(AA248&gt;=80,"Tier 1 - Pursue",IF(AA248&gt;=70,"Tier 2 - Pursue",IF(AA248&gt;=60,"Tier 3 - Selective","Do Not Pursue")))))</f>
        <v/>
      </c>
      <c r="AC248" s="52">
        <f>IF(C248="","",IF(I248&lt;&gt;"","Named Contact",IF(AA248&gt;0,"Outreach Logged","Cold")))</f>
        <v/>
      </c>
      <c r="AD248" s="52">
        <f>IF(B248="","",COUNTIF('Outreach Log'!$C:$C,B248))</f>
        <v/>
      </c>
      <c r="AE248" s="52">
        <f>IF(A248="","",IF(OR(K248="Rejected",K248="Closed"),IF(L248&lt;&gt;"",L248-A248,TODAY()-A248),TODAY()-A248))</f>
        <v/>
      </c>
      <c r="AF248" s="52">
        <f>IF(C248="","",IF(AND(AA248&gt;=70,AC248="Cold"),"High-fit but cold",IF(AND(AA248&lt;60,K248="Applied"),"Low-fit application",IF(AND(AA248&gt;=70,OR(AC248="Named Contact",AC248="Outreach Logged")),"Targeted pursuit","Review"))))</f>
        <v/>
      </c>
    </row>
    <row r="249" ht="15" customHeight="1" s="44">
      <c r="A249" s="53" t="n">
        <v>46238</v>
      </c>
      <c r="B249" s="48" t="inlineStr">
        <is>
          <t>ServiceNow</t>
        </is>
      </c>
      <c r="C249" s="48" t="inlineStr">
        <is>
          <t>Dir, Expert Services Mgmt</t>
        </is>
      </c>
      <c r="D249" s="48" t="inlineStr">
        <is>
          <t>Director</t>
        </is>
      </c>
      <c r="E249" s="48" t="inlineStr">
        <is>
          <t>Canada</t>
        </is>
      </c>
      <c r="F249" s="48" t="inlineStr">
        <is>
          <t>Toronto</t>
        </is>
      </c>
      <c r="G249" s="48" t="n">
        <v>60</v>
      </c>
      <c r="H249" s="48" t="inlineStr">
        <is>
          <t>Cold Portal</t>
        </is>
      </c>
      <c r="I249" s="48" t="n"/>
      <c r="J249" s="48" t="inlineStr">
        <is>
          <t>No</t>
        </is>
      </c>
      <c r="K249" s="49" t="inlineStr">
        <is>
          <t>Rejected</t>
        </is>
      </c>
      <c r="L249" s="50" t="n">
        <v>46239</v>
      </c>
      <c r="M249" s="48">
        <f>IF(OR(L143="",A143=""),"",L143-A143)</f>
        <v/>
      </c>
      <c r="N249" s="48" t="n"/>
      <c r="O249" s="48" t="n"/>
      <c r="P249" s="51" t="inlineStr">
        <is>
          <t>5th ServiceNow application. Confirmed via SmartRecruiters email 08/04. Distinct from Director, Engagement Management, Canada (row 72) and prior TPM Director applications (rows 8, 14, 33). Location corrected to Toronto, Canada per user confirmation. Rejection email received 08/05: "decided to move forward with another candidate."</t>
        </is>
      </c>
      <c r="Q249" s="48" t="n"/>
      <c r="R249" s="48" t="n"/>
      <c r="S249" s="51" t="n"/>
      <c r="T249" s="52">
        <f>IF(G249="","",G249)</f>
        <v/>
      </c>
      <c r="U249" s="52">
        <f>IF(C249="","",IF(OR(ISNUMBER(SEARCH("Director",C249)),ISNUMBER(SEARCH("Lead",C249)),ISNUMBER(SEARCH("Senior",C249)),ISNUMBER(SEARCH("Sr.",C249))),90,IF(OR(ISNUMBER(SEARCH("Manager",C249)),ISNUMBER(SEARCH("Program",C249)),ISNUMBER(SEARCH("Portfolio",C249))),80,60)))</f>
        <v/>
      </c>
      <c r="V249" s="52">
        <f>IF(C249="","",IF(OR(ISNUMBER(SEARCH("AI",C249)),ISNUMBER(SEARCH("Data",C249)),ISNUMBER(SEARCH("Technology",C249)),ISNUMBER(SEARCH("Technical",C249)),ISNUMBER(SEARCH("Engineering",C249)),ISNUMBER(SEARCH("Platform",C249)),ISNUMBER(SEARCH("Portfolio",C249))),85,65))</f>
        <v/>
      </c>
      <c r="W249" s="52">
        <f>IF(C249="","",MIN(100,50+IF(S249&lt;&gt;"",25,0)+IF(R249&lt;&gt;"",15,0)+IF(P249&lt;&gt;"",10,0)))</f>
        <v/>
      </c>
      <c r="X249" s="52">
        <f>IF(E249="","",IF(OR(E249="Canada",E249="CA"),100,IF(OR(E249="United States",E249="USA",E249="US"),IF(J249="Yes",45,75),65)))</f>
        <v/>
      </c>
      <c r="Y249" s="52">
        <f>IF(C249="","",IF(OR(ISNUMBER(SEARCH("Program",C249)),ISNUMBER(SEARCH("Portfolio",C249)),ISNUMBER(SEARCH("Operations",C249)),ISNUMBER(SEARCH("Transformation",C249))),85,IF(ISNUMBER(SEARCH("Product Manager",C249)),55,70)))</f>
        <v/>
      </c>
      <c r="Z249" s="52">
        <f>IF(C249="","",MIN(100,IF(I249&lt;&gt;"",60,10)+IF(AA249&gt;0,MIN(40,AA249*20),0)))</f>
        <v/>
      </c>
      <c r="AA249" s="52">
        <f>IF(T249="","",ROUND(T249*25%+U249*15%+V249*10%+W249*15%+X249*15%+Y249*10%+Z249*10%,0))</f>
        <v/>
      </c>
      <c r="AB249" s="52">
        <f>IF(AA249="","",IF(X249&lt;50,"Selective / Barrier",IF(AA249&gt;=80,"Tier 1 - Pursue",IF(AA249&gt;=70,"Tier 2 - Pursue",IF(AA249&gt;=60,"Tier 3 - Selective","Do Not Pursue")))))</f>
        <v/>
      </c>
      <c r="AC249" s="52">
        <f>IF(C249="","",IF(I249&lt;&gt;"","Named Contact",IF(AA249&gt;0,"Outreach Logged","Cold")))</f>
        <v/>
      </c>
      <c r="AD249" s="52">
        <f>IF(B249="","",COUNTIF('Outreach Log'!$C:$C,B249))</f>
        <v/>
      </c>
      <c r="AE249" s="52">
        <f>IF(A249="","",IF(OR(K249="Rejected",K249="Closed"),IF(L249&lt;&gt;"",L249-A249,TODAY()-A249),TODAY()-A249))</f>
        <v/>
      </c>
      <c r="AF249" s="52">
        <f>IF(C249="","",IF(AND(AA249&gt;=70,AC249="Cold"),"High-fit but cold",IF(AND(AA249&lt;60,K249="Applied"),"Low-fit application",IF(AND(AA249&gt;=70,OR(AC249="Named Contact",AC249="Outreach Logged")),"Targeted pursuit","Review"))))</f>
        <v/>
      </c>
    </row>
    <row r="250" ht="15" customHeight="1" s="44">
      <c r="A250" s="53" t="n">
        <v>46238</v>
      </c>
      <c r="B250" s="48" t="inlineStr">
        <is>
          <t>Etsy</t>
        </is>
      </c>
      <c r="C250" s="48" t="inlineStr">
        <is>
          <t>Senior Technical Program Manager</t>
        </is>
      </c>
      <c r="D250" s="48" t="inlineStr">
        <is>
          <t>Sr TPM</t>
        </is>
      </c>
      <c r="E250" s="48" t="inlineStr">
        <is>
          <t>US</t>
        </is>
      </c>
      <c r="F250" s="48" t="inlineStr">
        <is>
          <t>Brooklyn, NY</t>
        </is>
      </c>
      <c r="G250" s="48" t="n">
        <v>78</v>
      </c>
      <c r="H250" s="48" t="inlineStr">
        <is>
          <t>Cold Portal</t>
        </is>
      </c>
      <c r="I250" s="48" t="n"/>
      <c r="J250" s="48" t="inlineStr">
        <is>
          <t>Yes</t>
        </is>
      </c>
      <c r="K250" s="55" t="inlineStr">
        <is>
          <t>Applied</t>
        </is>
      </c>
      <c r="L250" s="48" t="n"/>
      <c r="M250" s="48">
        <f>IF(OR(L144="",A144=""),"",L144-A144)</f>
        <v/>
      </c>
      <c r="N250" s="48" t="n"/>
      <c r="O250" s="48" t="n"/>
      <c r="P250" s="51" t="inlineStr">
        <is>
          <t>JR5748-1. Cross-functional TPM role spanning Infrastructure, ML, Apps, Payments, Search. Salary $144K-$186K. Etsy states visa sponsorship support but notes it may be limited to certain roles/skills — confirm with recruiter given TN eligibility. Resume tailored to emphasize technical fluency (former developer) and Amazon marketplace experience.</t>
        </is>
      </c>
      <c r="Q250" s="48" t="n"/>
      <c r="R250" s="48" t="n"/>
      <c r="S250" s="51" t="n"/>
      <c r="T250" s="52">
        <f>IF(G250="","",G250)</f>
        <v/>
      </c>
      <c r="U250" s="52">
        <f>IF(C250="","",IF(OR(ISNUMBER(SEARCH("Director",C250)),ISNUMBER(SEARCH("Lead",C250)),ISNUMBER(SEARCH("Senior",C250)),ISNUMBER(SEARCH("Sr.",C250))),90,IF(OR(ISNUMBER(SEARCH("Manager",C250)),ISNUMBER(SEARCH("Program",C250)),ISNUMBER(SEARCH("Portfolio",C250))),80,60)))</f>
        <v/>
      </c>
      <c r="V250" s="52">
        <f>IF(C250="","",IF(OR(ISNUMBER(SEARCH("AI",C250)),ISNUMBER(SEARCH("Data",C250)),ISNUMBER(SEARCH("Technology",C250)),ISNUMBER(SEARCH("Technical",C250)),ISNUMBER(SEARCH("Engineering",C250)),ISNUMBER(SEARCH("Platform",C250)),ISNUMBER(SEARCH("Portfolio",C250))),85,65))</f>
        <v/>
      </c>
      <c r="W250" s="52">
        <f>IF(C250="","",MIN(100,50+IF(S250&lt;&gt;"",25,0)+IF(R250&lt;&gt;"",15,0)+IF(P250&lt;&gt;"",10,0)))</f>
        <v/>
      </c>
      <c r="X250" s="52">
        <f>IF(E250="","",IF(OR(E250="Canada",E250="CA"),100,IF(OR(E250="United States",E250="USA",E250="US"),IF(J250="Yes",45,75),65)))</f>
        <v/>
      </c>
      <c r="Y250" s="52">
        <f>IF(C250="","",IF(OR(ISNUMBER(SEARCH("Program",C250)),ISNUMBER(SEARCH("Portfolio",C250)),ISNUMBER(SEARCH("Operations",C250)),ISNUMBER(SEARCH("Transformation",C250))),85,IF(ISNUMBER(SEARCH("Product Manager",C250)),55,70)))</f>
        <v/>
      </c>
      <c r="Z250" s="52">
        <f>IF(C250="","",MIN(100,IF(I250&lt;&gt;"",60,10)+IF(AA250&gt;0,MIN(40,AA250*20),0)))</f>
        <v/>
      </c>
      <c r="AA250" s="52">
        <f>IF(T250="","",ROUND(T250*25%+U250*15%+V250*10%+W250*15%+X250*15%+Y250*10%+Z250*10%,0))</f>
        <v/>
      </c>
      <c r="AB250" s="52">
        <f>IF(AA250="","",IF(X250&lt;50,"Selective / Barrier",IF(AA250&gt;=80,"Tier 1 - Pursue",IF(AA250&gt;=70,"Tier 2 - Pursue",IF(AA250&gt;=60,"Tier 3 - Selective","Do Not Pursue")))))</f>
        <v/>
      </c>
      <c r="AC250" s="52">
        <f>IF(C250="","",IF(I250&lt;&gt;"","Named Contact",IF(AA250&gt;0,"Outreach Logged","Cold")))</f>
        <v/>
      </c>
      <c r="AD250" s="52">
        <f>IF(B250="","",COUNTIF('Outreach Log'!$C:$C,B250))</f>
        <v/>
      </c>
      <c r="AE250" s="52">
        <f>IF(A250="","",IF(OR(K250="Rejected",K250="Closed"),IF(L250&lt;&gt;"",L250-A250,TODAY()-A250),TODAY()-A250))</f>
        <v/>
      </c>
      <c r="AF250" s="52">
        <f>IF(C250="","",IF(AND(AA250&gt;=70,AC250="Cold"),"High-fit but cold",IF(AND(AA250&lt;60,K250="Applied"),"Low-fit application",IF(AND(AA250&gt;=70,OR(AC250="Named Contact",AC250="Outreach Logged")),"Targeted pursuit","Review"))))</f>
        <v/>
      </c>
    </row>
    <row r="251" ht="15" customHeight="1" s="44">
      <c r="A251" s="53" t="n">
        <v>46238</v>
      </c>
      <c r="B251" s="48" t="inlineStr">
        <is>
          <t>Moneris</t>
        </is>
      </c>
      <c r="C251" s="48" t="inlineStr">
        <is>
          <t>Senior Business Transformation Manager</t>
        </is>
      </c>
      <c r="D251" s="48" t="n"/>
      <c r="E251" s="48" t="n"/>
      <c r="F251" s="48" t="n"/>
      <c r="G251" s="48" t="n"/>
      <c r="H251" s="48" t="n"/>
      <c r="I251" s="48" t="n"/>
      <c r="J251" s="48" t="n"/>
      <c r="K251" s="49" t="inlineStr">
        <is>
          <t>Rejected</t>
        </is>
      </c>
      <c r="L251" s="48" t="n"/>
      <c r="M251" s="48" t="n"/>
      <c r="N251" s="48" t="n"/>
      <c r="O251" s="48" t="n"/>
      <c r="P251" s="51" t="inlineStr">
        <is>
          <t>Rejected (per Greenhouse portal review, Sep 20 2026). Moving forward with other candidates</t>
        </is>
      </c>
      <c r="Q251" s="48" t="n"/>
      <c r="R251" s="48" t="n"/>
      <c r="S251" s="51" t="n"/>
      <c r="T251" s="52">
        <f>IF(G251="","",G251)</f>
        <v/>
      </c>
      <c r="U251" s="52">
        <f>IF(C251="","",IF(OR(ISNUMBER(SEARCH("Director",C251)),ISNUMBER(SEARCH("Lead",C251)),ISNUMBER(SEARCH("Senior",C251)),ISNUMBER(SEARCH("Sr.",C251))),90,IF(OR(ISNUMBER(SEARCH("Manager",C251)),ISNUMBER(SEARCH("Program",C251)),ISNUMBER(SEARCH("Portfolio",C251))),80,60)))</f>
        <v/>
      </c>
      <c r="V251" s="52">
        <f>IF(C251="","",IF(OR(ISNUMBER(SEARCH("AI",C251)),ISNUMBER(SEARCH("Data",C251)),ISNUMBER(SEARCH("Technology",C251)),ISNUMBER(SEARCH("Technical",C251)),ISNUMBER(SEARCH("Engineering",C251)),ISNUMBER(SEARCH("Platform",C251)),ISNUMBER(SEARCH("Portfolio",C251))),85,65))</f>
        <v/>
      </c>
      <c r="W251" s="52">
        <f>IF(C251="","",MIN(100,50+IF(S251&lt;&gt;"",25,0)+IF(R251&lt;&gt;"",15,0)+IF(P251&lt;&gt;"",10,0)))</f>
        <v/>
      </c>
      <c r="X251" s="52">
        <f>IF(E251="","",IF(OR(E251="Canada",E251="CA"),100,IF(OR(E251="United States",E251="USA",E251="US"),IF(J251="Yes",45,75),65)))</f>
        <v/>
      </c>
      <c r="Y251" s="52">
        <f>IF(C251="","",IF(OR(ISNUMBER(SEARCH("Program",C251)),ISNUMBER(SEARCH("Portfolio",C251)),ISNUMBER(SEARCH("Operations",C251)),ISNUMBER(SEARCH("Transformation",C251))),85,IF(ISNUMBER(SEARCH("Product Manager",C251)),55,70)))</f>
        <v/>
      </c>
      <c r="Z251" s="52">
        <f>IF(C251="","",MIN(100,IF(I251&lt;&gt;"",60,10)+IF(AA251&gt;0,MIN(40,AA251*20),0)))</f>
        <v/>
      </c>
      <c r="AA251" s="52">
        <f>IF(T251="","",ROUND(T251*25%+U251*15%+V251*10%+W251*15%+X251*15%+Y251*10%+Z251*10%,0))</f>
        <v/>
      </c>
      <c r="AB251" s="52">
        <f>IF(AA251="","",IF(X251&lt;50,"Selective / Barrier",IF(AA251&gt;=80,"Tier 1 - Pursue",IF(AA251&gt;=70,"Tier 2 - Pursue",IF(AA251&gt;=60,"Tier 3 - Selective","Do Not Pursue")))))</f>
        <v/>
      </c>
      <c r="AC251" s="52">
        <f>IF(C251="","",IF(I251&lt;&gt;"","Named Contact",IF(AA251&gt;0,"Outreach Logged","Cold")))</f>
        <v/>
      </c>
      <c r="AD251" s="52">
        <f>IF(B251="","",COUNTIF('Outreach Log'!$C:$C,B251))</f>
        <v/>
      </c>
      <c r="AE251" s="52">
        <f>IF(A251="","",IF(OR(K251="Rejected",K251="Closed"),IF(L251&lt;&gt;"",L251-A251,TODAY()-A251),TODAY()-A251))</f>
        <v/>
      </c>
      <c r="AF251" s="52">
        <f>IF(C251="","",IF(AND(AA251&gt;=70,AC251="Cold"),"High-fit but cold",IF(AND(AA251&lt;60,K251="Applied"),"Low-fit application",IF(AND(AA251&gt;=70,OR(AC251="Named Contact",AC251="Outreach Logged")),"Targeted pursuit","Review"))))</f>
        <v/>
      </c>
    </row>
    <row r="252" ht="15" customHeight="1" s="44">
      <c r="A252" s="53" t="n">
        <v>46238</v>
      </c>
      <c r="B252" s="48" t="inlineStr">
        <is>
          <t>NVIDIA</t>
        </is>
      </c>
      <c r="C252" s="48" t="inlineStr">
        <is>
          <t>Senior Project Delivery Manager (JR2018267)</t>
        </is>
      </c>
      <c r="D252" s="48" t="n"/>
      <c r="E252" s="48" t="n"/>
      <c r="F252" s="48" t="n"/>
      <c r="G252" s="48" t="n"/>
      <c r="H252" s="48" t="n"/>
      <c r="I252" s="48" t="n"/>
      <c r="J252" s="48" t="n"/>
      <c r="K252" s="49" t="inlineStr">
        <is>
          <t>Rejected</t>
        </is>
      </c>
      <c r="L252" s="48" t="n"/>
      <c r="M252" s="48" t="n"/>
      <c r="N252" s="48" t="n"/>
      <c r="O252" s="48" t="n"/>
      <c r="P252" s="51" t="inlineStr">
        <is>
          <t xml:space="preserve">Rejected (per Greenhouse portal review, Sep 20 2026). </t>
        </is>
      </c>
      <c r="Q252" s="48" t="n"/>
      <c r="R252" s="48" t="n"/>
      <c r="S252" s="51" t="n"/>
      <c r="T252" s="52">
        <f>IF(G252="","",G252)</f>
        <v/>
      </c>
      <c r="U252" s="52">
        <f>IF(C252="","",IF(OR(ISNUMBER(SEARCH("Director",C252)),ISNUMBER(SEARCH("Lead",C252)),ISNUMBER(SEARCH("Senior",C252)),ISNUMBER(SEARCH("Sr.",C252))),90,IF(OR(ISNUMBER(SEARCH("Manager",C252)),ISNUMBER(SEARCH("Program",C252)),ISNUMBER(SEARCH("Portfolio",C252))),80,60)))</f>
        <v/>
      </c>
      <c r="V252" s="52">
        <f>IF(C252="","",IF(OR(ISNUMBER(SEARCH("AI",C252)),ISNUMBER(SEARCH("Data",C252)),ISNUMBER(SEARCH("Technology",C252)),ISNUMBER(SEARCH("Technical",C252)),ISNUMBER(SEARCH("Engineering",C252)),ISNUMBER(SEARCH("Platform",C252)),ISNUMBER(SEARCH("Portfolio",C252))),85,65))</f>
        <v/>
      </c>
      <c r="W252" s="52">
        <f>IF(C252="","",MIN(100,50+IF(S252&lt;&gt;"",25,0)+IF(R252&lt;&gt;"",15,0)+IF(P252&lt;&gt;"",10,0)))</f>
        <v/>
      </c>
      <c r="X252" s="52">
        <f>IF(E252="","",IF(OR(E252="Canada",E252="CA"),100,IF(OR(E252="United States",E252="USA",E252="US"),IF(J252="Yes",45,75),65)))</f>
        <v/>
      </c>
      <c r="Y252" s="52">
        <f>IF(C252="","",IF(OR(ISNUMBER(SEARCH("Program",C252)),ISNUMBER(SEARCH("Portfolio",C252)),ISNUMBER(SEARCH("Operations",C252)),ISNUMBER(SEARCH("Transformation",C252))),85,IF(ISNUMBER(SEARCH("Product Manager",C252)),55,70)))</f>
        <v/>
      </c>
      <c r="Z252" s="52">
        <f>IF(C252="","",MIN(100,IF(I252&lt;&gt;"",60,10)+IF(AA252&gt;0,MIN(40,AA252*20),0)))</f>
        <v/>
      </c>
      <c r="AA252" s="52">
        <f>IF(T252="","",ROUND(T252*25%+U252*15%+V252*10%+W252*15%+X252*15%+Y252*10%+Z252*10%,0))</f>
        <v/>
      </c>
      <c r="AB252" s="52">
        <f>IF(AA252="","",IF(X252&lt;50,"Selective / Barrier",IF(AA252&gt;=80,"Tier 1 - Pursue",IF(AA252&gt;=70,"Tier 2 - Pursue",IF(AA252&gt;=60,"Tier 3 - Selective","Do Not Pursue")))))</f>
        <v/>
      </c>
      <c r="AC252" s="52">
        <f>IF(C252="","",IF(I252&lt;&gt;"","Named Contact",IF(AA252&gt;0,"Outreach Logged","Cold")))</f>
        <v/>
      </c>
      <c r="AD252" s="52">
        <f>IF(B252="","",COUNTIF('Outreach Log'!$C:$C,B252))</f>
        <v/>
      </c>
      <c r="AE252" s="52">
        <f>IF(A252="","",IF(OR(K252="Rejected",K252="Closed"),IF(L252&lt;&gt;"",L252-A252,TODAY()-A252),TODAY()-A252))</f>
        <v/>
      </c>
      <c r="AF252" s="52">
        <f>IF(C252="","",IF(AND(AA252&gt;=70,AC252="Cold"),"High-fit but cold",IF(AND(AA252&lt;60,K252="Applied"),"Low-fit application",IF(AND(AA252&gt;=70,OR(AC252="Named Contact",AC252="Outreach Logged")),"Targeted pursuit","Review"))))</f>
        <v/>
      </c>
    </row>
    <row r="253" ht="15" customHeight="1" s="44">
      <c r="A253" s="53" t="n">
        <v>46239</v>
      </c>
      <c r="B253" s="48" t="inlineStr">
        <is>
          <t>RBC</t>
        </is>
      </c>
      <c r="C253" s="48" t="inlineStr">
        <is>
          <t>Director, AI Program Management</t>
        </is>
      </c>
      <c r="D253" s="48" t="inlineStr">
        <is>
          <t>Director</t>
        </is>
      </c>
      <c r="E253" s="48" t="inlineStr">
        <is>
          <t>Canada</t>
        </is>
      </c>
      <c r="F253" s="48" t="inlineStr">
        <is>
          <t>Toronto</t>
        </is>
      </c>
      <c r="G253" s="48" t="n">
        <v>80</v>
      </c>
      <c r="H253" s="48" t="inlineStr">
        <is>
          <t>Cold Portal</t>
        </is>
      </c>
      <c r="I253" s="48" t="n"/>
      <c r="J253" s="48" t="inlineStr">
        <is>
          <t>No</t>
        </is>
      </c>
      <c r="K253" s="55" t="inlineStr">
        <is>
          <t>Applied</t>
        </is>
      </c>
      <c r="L253" s="48" t="n"/>
      <c r="M253" s="48">
        <f>IF(OR(L145="",A145=""),"",L145-A145)</f>
        <v/>
      </c>
      <c r="N253" s="48" t="n"/>
      <c r="O253" s="48" t="n"/>
      <c r="P253" s="51" t="inlineStr">
        <is>
          <t>Req ID R-0000158448. Confirmed via Workday email 02/25/2026 — discovered when Workday portal flagged "already applied" during a later application attempt. Not currently visible on the 7 active RBC applications shown in candidate portal screenshots (08/05), so likely closed/inactive on RBC's end despite no rejection email received. Strong fit: AI Program Management director-level role directly matching Bell Canada AI portfolio experience. Date updated to 08/05/2026 per user instruction; original Workday confirmation email on file is dated 02/25/2026.</t>
        </is>
      </c>
      <c r="Q253" s="48" t="n"/>
      <c r="R253" s="48" t="n"/>
      <c r="S253" s="51" t="n"/>
      <c r="T253" s="52">
        <f>IF(G253="","",G253)</f>
        <v/>
      </c>
      <c r="U253" s="52">
        <f>IF(C253="","",IF(OR(ISNUMBER(SEARCH("Director",C253)),ISNUMBER(SEARCH("Lead",C253)),ISNUMBER(SEARCH("Senior",C253)),ISNUMBER(SEARCH("Sr.",C253))),90,IF(OR(ISNUMBER(SEARCH("Manager",C253)),ISNUMBER(SEARCH("Program",C253)),ISNUMBER(SEARCH("Portfolio",C253))),80,60)))</f>
        <v/>
      </c>
      <c r="V253" s="52">
        <f>IF(C253="","",IF(OR(ISNUMBER(SEARCH("AI",C253)),ISNUMBER(SEARCH("Data",C253)),ISNUMBER(SEARCH("Technology",C253)),ISNUMBER(SEARCH("Technical",C253)),ISNUMBER(SEARCH("Engineering",C253)),ISNUMBER(SEARCH("Platform",C253)),ISNUMBER(SEARCH("Portfolio",C253))),85,65))</f>
        <v/>
      </c>
      <c r="W253" s="52">
        <f>IF(C253="","",MIN(100,50+IF(S253&lt;&gt;"",25,0)+IF(R253&lt;&gt;"",15,0)+IF(P253&lt;&gt;"",10,0)))</f>
        <v/>
      </c>
      <c r="X253" s="52">
        <f>IF(E253="","",IF(OR(E253="Canada",E253="CA"),100,IF(OR(E253="United States",E253="USA",E253="US"),IF(J253="Yes",45,75),65)))</f>
        <v/>
      </c>
      <c r="Y253" s="52">
        <f>IF(C253="","",IF(OR(ISNUMBER(SEARCH("Program",C253)),ISNUMBER(SEARCH("Portfolio",C253)),ISNUMBER(SEARCH("Operations",C253)),ISNUMBER(SEARCH("Transformation",C253))),85,IF(ISNUMBER(SEARCH("Product Manager",C253)),55,70)))</f>
        <v/>
      </c>
      <c r="Z253" s="52">
        <f>IF(C253="","",MIN(100,IF(I253&lt;&gt;"",60,10)+IF(AA253&gt;0,MIN(40,AA253*20),0)))</f>
        <v/>
      </c>
      <c r="AA253" s="52">
        <f>IF(T253="","",ROUND(T253*25%+U253*15%+V253*10%+W253*15%+X253*15%+Y253*10%+Z253*10%,0))</f>
        <v/>
      </c>
      <c r="AB253" s="52">
        <f>IF(AA253="","",IF(X253&lt;50,"Selective / Barrier",IF(AA253&gt;=80,"Tier 1 - Pursue",IF(AA253&gt;=70,"Tier 2 - Pursue",IF(AA253&gt;=60,"Tier 3 - Selective","Do Not Pursue")))))</f>
        <v/>
      </c>
      <c r="AC253" s="52">
        <f>IF(C253="","",IF(I253&lt;&gt;"","Named Contact",IF(AA253&gt;0,"Outreach Logged","Cold")))</f>
        <v/>
      </c>
      <c r="AD253" s="52">
        <f>IF(B253="","",COUNTIF('Outreach Log'!$C:$C,B253))</f>
        <v/>
      </c>
      <c r="AE253" s="52">
        <f>IF(A253="","",IF(OR(K253="Rejected",K253="Closed"),IF(L253&lt;&gt;"",L253-A253,TODAY()-A253),TODAY()-A253))</f>
        <v/>
      </c>
      <c r="AF253" s="52">
        <f>IF(C253="","",IF(AND(AA253&gt;=70,AC253="Cold"),"High-fit but cold",IF(AND(AA253&lt;60,K253="Applied"),"Low-fit application",IF(AND(AA253&gt;=70,OR(AC253="Named Contact",AC253="Outreach Logged")),"Targeted pursuit","Review"))))</f>
        <v/>
      </c>
    </row>
    <row r="254" ht="15" customHeight="1" s="44">
      <c r="A254" s="53" t="n">
        <v>46239</v>
      </c>
      <c r="B254" s="48" t="inlineStr">
        <is>
          <t>S.i. Systems (staffing agency)</t>
        </is>
      </c>
      <c r="C254" s="48" t="inlineStr">
        <is>
          <t>Senior Project Manager - Data, AI &amp; Technology Transformation</t>
        </is>
      </c>
      <c r="D254" s="48" t="inlineStr">
        <is>
          <t>Sr PM</t>
        </is>
      </c>
      <c r="E254" s="48" t="inlineStr">
        <is>
          <t>Canada</t>
        </is>
      </c>
      <c r="F254" s="48" t="inlineStr">
        <is>
          <t>Toronto</t>
        </is>
      </c>
      <c r="G254" s="48" t="n">
        <v>70</v>
      </c>
      <c r="H254" s="48" t="inlineStr">
        <is>
          <t>Recruiter</t>
        </is>
      </c>
      <c r="I254" s="48" t="n"/>
      <c r="J254" s="48" t="inlineStr">
        <is>
          <t>No</t>
        </is>
      </c>
      <c r="K254" s="55" t="inlineStr">
        <is>
          <t>Applied</t>
        </is>
      </c>
      <c r="L254" s="48" t="n"/>
      <c r="M254" s="48">
        <f>IF(OR(L146="",A146=""),"",L146-A146)</f>
        <v/>
      </c>
      <c r="N254" s="48" t="n"/>
      <c r="O254" s="48" t="n"/>
      <c r="P254" s="51" t="inlineStr">
        <is>
          <t>Job 154285, req 17068 — 10+ yrs PM leading data/AI/tech transformation using SDLC frameworks. Applicant #11 per confirmation email 08/05. S.i. Systems is a Canadian IT staffing/consulting firm placing candidates with an undisclosed end client; company/city TBD once matched. Est. fit: strong on data/AI transformation + SDLC delivery, contract/staffing placement (not direct-hire).</t>
        </is>
      </c>
      <c r="Q254" s="48" t="n"/>
      <c r="R254" s="48" t="n"/>
      <c r="S254" s="51" t="n"/>
      <c r="T254" s="52">
        <f>IF(G254="","",G254)</f>
        <v/>
      </c>
      <c r="U254" s="52">
        <f>IF(C254="","",IF(OR(ISNUMBER(SEARCH("Director",C254)),ISNUMBER(SEARCH("Lead",C254)),ISNUMBER(SEARCH("Senior",C254)),ISNUMBER(SEARCH("Sr.",C254))),90,IF(OR(ISNUMBER(SEARCH("Manager",C254)),ISNUMBER(SEARCH("Program",C254)),ISNUMBER(SEARCH("Portfolio",C254))),80,60)))</f>
        <v/>
      </c>
      <c r="V254" s="52">
        <f>IF(C254="","",IF(OR(ISNUMBER(SEARCH("AI",C254)),ISNUMBER(SEARCH("Data",C254)),ISNUMBER(SEARCH("Technology",C254)),ISNUMBER(SEARCH("Technical",C254)),ISNUMBER(SEARCH("Engineering",C254)),ISNUMBER(SEARCH("Platform",C254)),ISNUMBER(SEARCH("Portfolio",C254))),85,65))</f>
        <v/>
      </c>
      <c r="W254" s="52">
        <f>IF(C254="","",MIN(100,50+IF(S254&lt;&gt;"",25,0)+IF(R254&lt;&gt;"",15,0)+IF(P254&lt;&gt;"",10,0)))</f>
        <v/>
      </c>
      <c r="X254" s="52">
        <f>IF(E254="","",IF(OR(E254="Canada",E254="CA"),100,IF(OR(E254="United States",E254="USA",E254="US"),IF(J254="Yes",45,75),65)))</f>
        <v/>
      </c>
      <c r="Y254" s="52">
        <f>IF(C254="","",IF(OR(ISNUMBER(SEARCH("Program",C254)),ISNUMBER(SEARCH("Portfolio",C254)),ISNUMBER(SEARCH("Operations",C254)),ISNUMBER(SEARCH("Transformation",C254))),85,IF(ISNUMBER(SEARCH("Product Manager",C254)),55,70)))</f>
        <v/>
      </c>
      <c r="Z254" s="52">
        <f>IF(C254="","",MIN(100,IF(I254&lt;&gt;"",60,10)+IF(AA254&gt;0,MIN(40,AA254*20),0)))</f>
        <v/>
      </c>
      <c r="AA254" s="52">
        <f>IF(T254="","",ROUND(T254*25%+U254*15%+V254*10%+W254*15%+X254*15%+Y254*10%+Z254*10%,0))</f>
        <v/>
      </c>
      <c r="AB254" s="52">
        <f>IF(AA254="","",IF(X254&lt;50,"Selective / Barrier",IF(AA254&gt;=80,"Tier 1 - Pursue",IF(AA254&gt;=70,"Tier 2 - Pursue",IF(AA254&gt;=60,"Tier 3 - Selective","Do Not Pursue")))))</f>
        <v/>
      </c>
      <c r="AC254" s="52">
        <f>IF(C254="","",IF(I254&lt;&gt;"","Named Contact",IF(AA254&gt;0,"Outreach Logged","Cold")))</f>
        <v/>
      </c>
      <c r="AD254" s="52">
        <f>IF(B254="","",COUNTIF('Outreach Log'!$C:$C,B254))</f>
        <v/>
      </c>
      <c r="AE254" s="52">
        <f>IF(A254="","",IF(OR(K254="Rejected",K254="Closed"),IF(L254&lt;&gt;"",L254-A254,TODAY()-A254),TODAY()-A254))</f>
        <v/>
      </c>
      <c r="AF254" s="52">
        <f>IF(C254="","",IF(AND(AA254&gt;=70,AC254="Cold"),"High-fit but cold",IF(AND(AA254&lt;60,K254="Applied"),"Low-fit application",IF(AND(AA254&gt;=70,OR(AC254="Named Contact",AC254="Outreach Logged")),"Targeted pursuit","Review"))))</f>
        <v/>
      </c>
    </row>
    <row r="255" ht="15" customHeight="1" s="44">
      <c r="A255" s="53" t="n">
        <v>46239</v>
      </c>
      <c r="B255" s="48" t="inlineStr">
        <is>
          <t>RBC</t>
        </is>
      </c>
      <c r="C255" s="48" t="inlineStr">
        <is>
          <t>Senior Manager, Project &amp; Program Delivery</t>
        </is>
      </c>
      <c r="D255" s="48" t="inlineStr">
        <is>
          <t>Senior Manager</t>
        </is>
      </c>
      <c r="E255" s="48" t="inlineStr">
        <is>
          <t>Canada</t>
        </is>
      </c>
      <c r="F255" s="48" t="inlineStr">
        <is>
          <t>Toronto</t>
        </is>
      </c>
      <c r="G255" s="48" t="n">
        <v>76</v>
      </c>
      <c r="H255" s="48" t="inlineStr">
        <is>
          <t>Cold Portal</t>
        </is>
      </c>
      <c r="I255" s="48" t="n"/>
      <c r="J255" s="48" t="inlineStr">
        <is>
          <t>No</t>
        </is>
      </c>
      <c r="K255" s="55" t="inlineStr">
        <is>
          <t>Applied</t>
        </is>
      </c>
      <c r="L255" s="48" t="n"/>
      <c r="M255" s="48">
        <f>IF(OR(L147="",A147=""),"",L147-A147)</f>
        <v/>
      </c>
      <c r="N255" s="48" t="n"/>
      <c r="O255" s="48" t="n"/>
      <c r="P255" s="51" t="inlineStr">
        <is>
          <t>Req ID R-0000174888. Confirmed via Workday email 08/05. Link provided by user (RBC Workday candidate portal, requires login).</t>
        </is>
      </c>
      <c r="Q255" s="48" t="n"/>
      <c r="R255" s="48" t="n"/>
      <c r="S255" s="51" t="n"/>
      <c r="T255" s="52">
        <f>IF(G255="","",G255)</f>
        <v/>
      </c>
      <c r="U255" s="52">
        <f>IF(C255="","",IF(OR(ISNUMBER(SEARCH("Director",C255)),ISNUMBER(SEARCH("Lead",C255)),ISNUMBER(SEARCH("Senior",C255)),ISNUMBER(SEARCH("Sr.",C255))),90,IF(OR(ISNUMBER(SEARCH("Manager",C255)),ISNUMBER(SEARCH("Program",C255)),ISNUMBER(SEARCH("Portfolio",C255))),80,60)))</f>
        <v/>
      </c>
      <c r="V255" s="52">
        <f>IF(C255="","",IF(OR(ISNUMBER(SEARCH("AI",C255)),ISNUMBER(SEARCH("Data",C255)),ISNUMBER(SEARCH("Technology",C255)),ISNUMBER(SEARCH("Technical",C255)),ISNUMBER(SEARCH("Engineering",C255)),ISNUMBER(SEARCH("Platform",C255)),ISNUMBER(SEARCH("Portfolio",C255))),85,65))</f>
        <v/>
      </c>
      <c r="W255" s="52">
        <f>IF(C255="","",MIN(100,50+IF(S255&lt;&gt;"",25,0)+IF(R255&lt;&gt;"",15,0)+IF(P255&lt;&gt;"",10,0)))</f>
        <v/>
      </c>
      <c r="X255" s="52">
        <f>IF(E255="","",IF(OR(E255="Canada",E255="CA"),100,IF(OR(E255="United States",E255="USA",E255="US"),IF(J255="Yes",45,75),65)))</f>
        <v/>
      </c>
      <c r="Y255" s="52">
        <f>IF(C255="","",IF(OR(ISNUMBER(SEARCH("Program",C255)),ISNUMBER(SEARCH("Portfolio",C255)),ISNUMBER(SEARCH("Operations",C255)),ISNUMBER(SEARCH("Transformation",C255))),85,IF(ISNUMBER(SEARCH("Product Manager",C255)),55,70)))</f>
        <v/>
      </c>
      <c r="Z255" s="52">
        <f>IF(C255="","",MIN(100,IF(I255&lt;&gt;"",60,10)+IF(AA255&gt;0,MIN(40,AA255*20),0)))</f>
        <v/>
      </c>
      <c r="AA255" s="52">
        <f>IF(T255="","",ROUND(T255*25%+U255*15%+V255*10%+W255*15%+X255*15%+Y255*10%+Z255*10%,0))</f>
        <v/>
      </c>
      <c r="AB255" s="52">
        <f>IF(AA255="","",IF(X255&lt;50,"Selective / Barrier",IF(AA255&gt;=80,"Tier 1 - Pursue",IF(AA255&gt;=70,"Tier 2 - Pursue",IF(AA255&gt;=60,"Tier 3 - Selective","Do Not Pursue")))))</f>
        <v/>
      </c>
      <c r="AC255" s="52">
        <f>IF(C255="","",IF(I255&lt;&gt;"","Named Contact",IF(AA255&gt;0,"Outreach Logged","Cold")))</f>
        <v/>
      </c>
      <c r="AD255" s="52">
        <f>IF(B255="","",COUNTIF('Outreach Log'!$C:$C,B255))</f>
        <v/>
      </c>
      <c r="AE255" s="52">
        <f>IF(A255="","",IF(OR(K255="Rejected",K255="Closed"),IF(L255&lt;&gt;"",L255-A255,TODAY()-A255),TODAY()-A255))</f>
        <v/>
      </c>
      <c r="AF255" s="52">
        <f>IF(C255="","",IF(AND(AA255&gt;=70,AC255="Cold"),"High-fit but cold",IF(AND(AA255&lt;60,K255="Applied"),"Low-fit application",IF(AND(AA255&gt;=70,OR(AC255="Named Contact",AC255="Outreach Logged")),"Targeted pursuit","Review"))))</f>
        <v/>
      </c>
    </row>
    <row r="256" ht="15" customHeight="1" s="44">
      <c r="A256" s="53" t="n">
        <v>46239</v>
      </c>
      <c r="B256" s="48" t="inlineStr">
        <is>
          <t>S.i. Systems (staffing agency)</t>
        </is>
      </c>
      <c r="C256" s="48" t="inlineStr">
        <is>
          <t>Scrum Master II (5+ years) - AI-led cybersecurity initiatives</t>
        </is>
      </c>
      <c r="D256" s="48" t="inlineStr">
        <is>
          <t>Scrum Master</t>
        </is>
      </c>
      <c r="E256" s="48" t="inlineStr">
        <is>
          <t>Canada</t>
        </is>
      </c>
      <c r="F256" s="48" t="inlineStr">
        <is>
          <t>Toronto</t>
        </is>
      </c>
      <c r="G256" s="48" t="n">
        <v>45</v>
      </c>
      <c r="H256" s="48" t="inlineStr">
        <is>
          <t>Recruiter</t>
        </is>
      </c>
      <c r="I256" s="48" t="n"/>
      <c r="J256" s="48" t="inlineStr">
        <is>
          <t>No</t>
        </is>
      </c>
      <c r="K256" s="49" t="inlineStr">
        <is>
          <t>Rejected</t>
        </is>
      </c>
      <c r="L256" s="50" t="n">
        <v>46239</v>
      </c>
      <c r="M256" s="48">
        <f>IF(OR(L148="",A148=""),"",L148-A148)</f>
        <v/>
      </c>
      <c r="N256" s="48" t="n"/>
      <c r="O256" s="48" t="n"/>
      <c r="P256" s="51" t="inlineStr">
        <is>
          <t>Req 58299. Applied and rejected same day 08/05 ("client selected another candidate"). Contract placement via staffing agency; end client undisclosed. Est. fit: below her seniority level and outside core program/portfolio management focus (Scrum Master IC role).</t>
        </is>
      </c>
      <c r="Q256" s="48" t="n"/>
      <c r="R256" s="48" t="n"/>
      <c r="S256" s="51" t="n"/>
      <c r="T256" s="52">
        <f>IF(G256="","",G256)</f>
        <v/>
      </c>
      <c r="U256" s="52">
        <f>IF(C256="","",IF(OR(ISNUMBER(SEARCH("Director",C256)),ISNUMBER(SEARCH("Lead",C256)),ISNUMBER(SEARCH("Senior",C256)),ISNUMBER(SEARCH("Sr.",C256))),90,IF(OR(ISNUMBER(SEARCH("Manager",C256)),ISNUMBER(SEARCH("Program",C256)),ISNUMBER(SEARCH("Portfolio",C256))),80,60)))</f>
        <v/>
      </c>
      <c r="V256" s="52">
        <f>IF(C256="","",IF(OR(ISNUMBER(SEARCH("AI",C256)),ISNUMBER(SEARCH("Data",C256)),ISNUMBER(SEARCH("Technology",C256)),ISNUMBER(SEARCH("Technical",C256)),ISNUMBER(SEARCH("Engineering",C256)),ISNUMBER(SEARCH("Platform",C256)),ISNUMBER(SEARCH("Portfolio",C256))),85,65))</f>
        <v/>
      </c>
      <c r="W256" s="52">
        <f>IF(C256="","",MIN(100,50+IF(S256&lt;&gt;"",25,0)+IF(R256&lt;&gt;"",15,0)+IF(P256&lt;&gt;"",10,0)))</f>
        <v/>
      </c>
      <c r="X256" s="52">
        <f>IF(E256="","",IF(OR(E256="Canada",E256="CA"),100,IF(OR(E256="United States",E256="USA",E256="US"),IF(J256="Yes",45,75),65)))</f>
        <v/>
      </c>
      <c r="Y256" s="52">
        <f>IF(C256="","",IF(OR(ISNUMBER(SEARCH("Program",C256)),ISNUMBER(SEARCH("Portfolio",C256)),ISNUMBER(SEARCH("Operations",C256)),ISNUMBER(SEARCH("Transformation",C256))),85,IF(ISNUMBER(SEARCH("Product Manager",C256)),55,70)))</f>
        <v/>
      </c>
      <c r="Z256" s="52">
        <f>IF(C256="","",MIN(100,IF(I256&lt;&gt;"",60,10)+IF(AA256&gt;0,MIN(40,AA256*20),0)))</f>
        <v/>
      </c>
      <c r="AA256" s="52">
        <f>IF(T256="","",ROUND(T256*25%+U256*15%+V256*10%+W256*15%+X256*15%+Y256*10%+Z256*10%,0))</f>
        <v/>
      </c>
      <c r="AB256" s="52">
        <f>IF(AA256="","",IF(X256&lt;50,"Selective / Barrier",IF(AA256&gt;=80,"Tier 1 - Pursue",IF(AA256&gt;=70,"Tier 2 - Pursue",IF(AA256&gt;=60,"Tier 3 - Selective","Do Not Pursue")))))</f>
        <v/>
      </c>
      <c r="AC256" s="52">
        <f>IF(C256="","",IF(I256&lt;&gt;"","Named Contact",IF(AA256&gt;0,"Outreach Logged","Cold")))</f>
        <v/>
      </c>
      <c r="AD256" s="52">
        <f>IF(B256="","",COUNTIF('Outreach Log'!$C:$C,B256))</f>
        <v/>
      </c>
      <c r="AE256" s="52">
        <f>IF(A256="","",IF(OR(K256="Rejected",K256="Closed"),IF(L256&lt;&gt;"",L256-A256,TODAY()-A256),TODAY()-A256))</f>
        <v/>
      </c>
      <c r="AF256" s="52">
        <f>IF(C256="","",IF(AND(AA256&gt;=70,AC256="Cold"),"High-fit but cold",IF(AND(AA256&lt;60,K256="Applied"),"Low-fit application",IF(AND(AA256&gt;=70,OR(AC256="Named Contact",AC256="Outreach Logged")),"Targeted pursuit","Review"))))</f>
        <v/>
      </c>
    </row>
    <row r="257" ht="15" customHeight="1" s="44">
      <c r="A257" s="53" t="n">
        <v>46239</v>
      </c>
      <c r="B257" s="48" t="inlineStr">
        <is>
          <t>RBC</t>
        </is>
      </c>
      <c r="C257" s="48" t="inlineStr">
        <is>
          <t>(role title not stated in confirmation email)</t>
        </is>
      </c>
      <c r="D257" s="48" t="n"/>
      <c r="E257" s="48" t="inlineStr">
        <is>
          <t>Canada</t>
        </is>
      </c>
      <c r="F257" s="48" t="inlineStr">
        <is>
          <t>Toronto</t>
        </is>
      </c>
      <c r="G257" s="48" t="n"/>
      <c r="H257" s="48" t="inlineStr">
        <is>
          <t>Cold Portal</t>
        </is>
      </c>
      <c r="I257" s="48" t="n"/>
      <c r="J257" s="48" t="inlineStr">
        <is>
          <t>No</t>
        </is>
      </c>
      <c r="K257" s="55" t="inlineStr">
        <is>
          <t>Applied</t>
        </is>
      </c>
      <c r="L257" s="48" t="n"/>
      <c r="M257" s="48">
        <f>IF(OR(L149="",A149=""),"",L149-A149)</f>
        <v/>
      </c>
      <c r="N257" s="48" t="n"/>
      <c r="O257" s="48" t="n"/>
      <c r="P257" s="51" t="inlineStr">
        <is>
          <t>Workday confirmation received 08/05 7:12pm ET (rbc@myworkday.com). Generic auto-reply does not name the role - please confirm exact posting title. FIT SCORE NOT ASSIGNED: cannot score responsibly without a role title — RBC has multiple concurrent open reqs at very different levels (Director, Senior Manager, AI &amp; Digital Transformation, etc. — see rows 2, 19, 20, 30, 36, 38). Please provide the job title or posting link and I will score it.</t>
        </is>
      </c>
      <c r="Q257" s="48" t="n"/>
      <c r="R257" s="48" t="n"/>
      <c r="S257" s="51" t="n"/>
      <c r="T257" s="52">
        <f>IF(G257="","",G257)</f>
        <v/>
      </c>
      <c r="U257" s="52">
        <f>IF(C257="","",IF(OR(ISNUMBER(SEARCH("Director",C257)),ISNUMBER(SEARCH("Lead",C257)),ISNUMBER(SEARCH("Senior",C257)),ISNUMBER(SEARCH("Sr.",C257))),90,IF(OR(ISNUMBER(SEARCH("Manager",C257)),ISNUMBER(SEARCH("Program",C257)),ISNUMBER(SEARCH("Portfolio",C257))),80,60)))</f>
        <v/>
      </c>
      <c r="V257" s="52">
        <f>IF(C257="","",IF(OR(ISNUMBER(SEARCH("AI",C257)),ISNUMBER(SEARCH("Data",C257)),ISNUMBER(SEARCH("Technology",C257)),ISNUMBER(SEARCH("Technical",C257)),ISNUMBER(SEARCH("Engineering",C257)),ISNUMBER(SEARCH("Platform",C257)),ISNUMBER(SEARCH("Portfolio",C257))),85,65))</f>
        <v/>
      </c>
      <c r="W257" s="52">
        <f>IF(C257="","",MIN(100,50+IF(S257&lt;&gt;"",25,0)+IF(R257&lt;&gt;"",15,0)+IF(P257&lt;&gt;"",10,0)))</f>
        <v/>
      </c>
      <c r="X257" s="52">
        <f>IF(E257="","",IF(OR(E257="Canada",E257="CA"),100,IF(OR(E257="United States",E257="USA",E257="US"),IF(J257="Yes",45,75),65)))</f>
        <v/>
      </c>
      <c r="Y257" s="52">
        <f>IF(C257="","",IF(OR(ISNUMBER(SEARCH("Program",C257)),ISNUMBER(SEARCH("Portfolio",C257)),ISNUMBER(SEARCH("Operations",C257)),ISNUMBER(SEARCH("Transformation",C257))),85,IF(ISNUMBER(SEARCH("Product Manager",C257)),55,70)))</f>
        <v/>
      </c>
      <c r="Z257" s="52">
        <f>IF(C257="","",MIN(100,IF(I257&lt;&gt;"",60,10)+IF(AA257&gt;0,MIN(40,AA257*20),0)))</f>
        <v/>
      </c>
      <c r="AA257" s="52">
        <f>IF(T257="","",ROUND(T257*25%+U257*15%+V257*10%+W257*15%+X257*15%+Y257*10%+Z257*10%,0))</f>
        <v/>
      </c>
      <c r="AB257" s="52">
        <f>IF(AA257="","",IF(X257&lt;50,"Selective / Barrier",IF(AA257&gt;=80,"Tier 1 - Pursue",IF(AA257&gt;=70,"Tier 2 - Pursue",IF(AA257&gt;=60,"Tier 3 - Selective","Do Not Pursue")))))</f>
        <v/>
      </c>
      <c r="AC257" s="52">
        <f>IF(C257="","",IF(I257&lt;&gt;"","Named Contact",IF(AA257&gt;0,"Outreach Logged","Cold")))</f>
        <v/>
      </c>
      <c r="AD257" s="52">
        <f>IF(B257="","",COUNTIF('Outreach Log'!$C:$C,B257))</f>
        <v/>
      </c>
      <c r="AE257" s="52">
        <f>IF(A257="","",IF(OR(K257="Rejected",K257="Closed"),IF(L257&lt;&gt;"",L257-A257,TODAY()-A257),TODAY()-A257))</f>
        <v/>
      </c>
      <c r="AF257" s="52">
        <f>IF(C257="","",IF(AND(AA257&gt;=70,AC257="Cold"),"High-fit but cold",IF(AND(AA257&lt;60,K257="Applied"),"Low-fit application",IF(AND(AA257&gt;=70,OR(AC257="Named Contact",AC257="Outreach Logged")),"Targeted pursuit","Review"))))</f>
        <v/>
      </c>
    </row>
    <row r="258" ht="15" customHeight="1" s="44">
      <c r="A258" s="53" t="n">
        <v>46239</v>
      </c>
      <c r="B258" s="48" t="inlineStr">
        <is>
          <t>RBC</t>
        </is>
      </c>
      <c r="C258" s="48" t="inlineStr">
        <is>
          <t>(role unspecified)</t>
        </is>
      </c>
      <c r="D258" s="48" t="n"/>
      <c r="E258" s="48" t="n"/>
      <c r="F258" s="48" t="n"/>
      <c r="G258" s="48" t="n"/>
      <c r="H258" s="48" t="n"/>
      <c r="I258" s="48" t="n"/>
      <c r="J258" s="48" t="n"/>
      <c r="K258" s="55" t="inlineStr">
        <is>
          <t>Applied</t>
        </is>
      </c>
      <c r="L258" s="48" t="n"/>
      <c r="M258" s="48" t="n"/>
      <c r="N258" s="48" t="n"/>
      <c r="O258" s="48" t="n"/>
      <c r="P258" s="51" t="n"/>
      <c r="Q258" s="48" t="n"/>
      <c r="R258" s="48" t="n"/>
      <c r="S258" s="51" t="n"/>
      <c r="T258" s="52">
        <f>IF(G258="","",G258)</f>
        <v/>
      </c>
      <c r="U258" s="52">
        <f>IF(C258="","",IF(OR(ISNUMBER(SEARCH("Director",C258)),ISNUMBER(SEARCH("Lead",C258)),ISNUMBER(SEARCH("Senior",C258)),ISNUMBER(SEARCH("Sr.",C258))),90,IF(OR(ISNUMBER(SEARCH("Manager",C258)),ISNUMBER(SEARCH("Program",C258)),ISNUMBER(SEARCH("Portfolio",C258))),80,60)))</f>
        <v/>
      </c>
      <c r="V258" s="52">
        <f>IF(C258="","",IF(OR(ISNUMBER(SEARCH("AI",C258)),ISNUMBER(SEARCH("Data",C258)),ISNUMBER(SEARCH("Technology",C258)),ISNUMBER(SEARCH("Technical",C258)),ISNUMBER(SEARCH("Engineering",C258)),ISNUMBER(SEARCH("Platform",C258)),ISNUMBER(SEARCH("Portfolio",C258))),85,65))</f>
        <v/>
      </c>
      <c r="W258" s="52">
        <f>IF(C258="","",MIN(100,50+IF(S258&lt;&gt;"",25,0)+IF(R258&lt;&gt;"",15,0)+IF(P258&lt;&gt;"",10,0)))</f>
        <v/>
      </c>
      <c r="X258" s="52">
        <f>IF(E258="","",IF(OR(E258="Canada",E258="CA"),100,IF(OR(E258="United States",E258="USA",E258="US"),IF(J258="Yes",45,75),65)))</f>
        <v/>
      </c>
      <c r="Y258" s="52">
        <f>IF(C258="","",IF(OR(ISNUMBER(SEARCH("Program",C258)),ISNUMBER(SEARCH("Portfolio",C258)),ISNUMBER(SEARCH("Operations",C258)),ISNUMBER(SEARCH("Transformation",C258))),85,IF(ISNUMBER(SEARCH("Product Manager",C258)),55,70)))</f>
        <v/>
      </c>
      <c r="Z258" s="52">
        <f>IF(C258="","",MIN(100,IF(I258&lt;&gt;"",60,10)+IF(AA258&gt;0,MIN(40,AA258*20),0)))</f>
        <v/>
      </c>
      <c r="AA258" s="52">
        <f>IF(T258="","",ROUND(T258*25%+U258*15%+V258*10%+W258*15%+X258*15%+Y258*10%+Z258*10%,0))</f>
        <v/>
      </c>
      <c r="AB258" s="52">
        <f>IF(AA258="","",IF(X258&lt;50,"Selective / Barrier",IF(AA258&gt;=80,"Tier 1 - Pursue",IF(AA258&gt;=70,"Tier 2 - Pursue",IF(AA258&gt;=60,"Tier 3 - Selective","Do Not Pursue")))))</f>
        <v/>
      </c>
      <c r="AC258" s="52">
        <f>IF(C258="","",IF(I258&lt;&gt;"","Named Contact",IF(AA258&gt;0,"Outreach Logged","Cold")))</f>
        <v/>
      </c>
      <c r="AD258" s="52">
        <f>IF(B258="","",COUNTIF('Outreach Log'!$C:$C,B258))</f>
        <v/>
      </c>
      <c r="AE258" s="52">
        <f>IF(A258="","",IF(OR(K258="Rejected",K258="Closed"),IF(L258&lt;&gt;"",L258-A258,TODAY()-A258),TODAY()-A258))</f>
        <v/>
      </c>
      <c r="AF258" s="52">
        <f>IF(C258="","",IF(AND(AA258&gt;=70,AC258="Cold"),"High-fit but cold",IF(AND(AA258&lt;60,K258="Applied"),"Low-fit application",IF(AND(AA258&gt;=70,OR(AC258="Named Contact",AC258="Outreach Logged")),"Targeted pursuit","Review"))))</f>
        <v/>
      </c>
    </row>
    <row r="259" ht="15" customHeight="1" s="44">
      <c r="A259" s="53" t="n">
        <v>46239</v>
      </c>
      <c r="B259" s="48" t="inlineStr">
        <is>
          <t>Everforth Apex</t>
        </is>
      </c>
      <c r="C259" s="48" t="inlineStr">
        <is>
          <t>Technical Program Manager (Jersey City area, contract)</t>
        </is>
      </c>
      <c r="D259" s="48" t="n"/>
      <c r="E259" s="48" t="n"/>
      <c r="F259" s="48" t="n"/>
      <c r="G259" s="48" t="n"/>
      <c r="H259" s="48" t="n"/>
      <c r="I259" s="48" t="n"/>
      <c r="J259" s="48" t="n"/>
      <c r="K259" s="55" t="inlineStr">
        <is>
          <t>Applied</t>
        </is>
      </c>
      <c r="L259" s="48" t="n"/>
      <c r="M259" s="48" t="n"/>
      <c r="N259" s="48" t="n"/>
      <c r="O259" s="48" t="n"/>
      <c r="P259" s="51" t="n"/>
      <c r="Q259" s="48" t="n"/>
      <c r="R259" s="48" t="n"/>
      <c r="S259" s="51" t="n"/>
      <c r="T259" s="52">
        <f>IF(G259="","",G259)</f>
        <v/>
      </c>
      <c r="U259" s="52">
        <f>IF(C259="","",IF(OR(ISNUMBER(SEARCH("Director",C259)),ISNUMBER(SEARCH("Lead",C259)),ISNUMBER(SEARCH("Senior",C259)),ISNUMBER(SEARCH("Sr.",C259))),90,IF(OR(ISNUMBER(SEARCH("Manager",C259)),ISNUMBER(SEARCH("Program",C259)),ISNUMBER(SEARCH("Portfolio",C259))),80,60)))</f>
        <v/>
      </c>
      <c r="V259" s="52">
        <f>IF(C259="","",IF(OR(ISNUMBER(SEARCH("AI",C259)),ISNUMBER(SEARCH("Data",C259)),ISNUMBER(SEARCH("Technology",C259)),ISNUMBER(SEARCH("Technical",C259)),ISNUMBER(SEARCH("Engineering",C259)),ISNUMBER(SEARCH("Platform",C259)),ISNUMBER(SEARCH("Portfolio",C259))),85,65))</f>
        <v/>
      </c>
      <c r="W259" s="52">
        <f>IF(C259="","",MIN(100,50+IF(S259&lt;&gt;"",25,0)+IF(R259&lt;&gt;"",15,0)+IF(P259&lt;&gt;"",10,0)))</f>
        <v/>
      </c>
      <c r="X259" s="52">
        <f>IF(E259="","",IF(OR(E259="Canada",E259="CA"),100,IF(OR(E259="United States",E259="USA",E259="US"),IF(J259="Yes",45,75),65)))</f>
        <v/>
      </c>
      <c r="Y259" s="52">
        <f>IF(C259="","",IF(OR(ISNUMBER(SEARCH("Program",C259)),ISNUMBER(SEARCH("Portfolio",C259)),ISNUMBER(SEARCH("Operations",C259)),ISNUMBER(SEARCH("Transformation",C259))),85,IF(ISNUMBER(SEARCH("Product Manager",C259)),55,70)))</f>
        <v/>
      </c>
      <c r="Z259" s="52">
        <f>IF(C259="","",MIN(100,IF(I259&lt;&gt;"",60,10)+IF(AA259&gt;0,MIN(40,AA259*20),0)))</f>
        <v/>
      </c>
      <c r="AA259" s="52">
        <f>IF(T259="","",ROUND(T259*25%+U259*15%+V259*10%+W259*15%+X259*15%+Y259*10%+Z259*10%,0))</f>
        <v/>
      </c>
      <c r="AB259" s="52">
        <f>IF(AA259="","",IF(X259&lt;50,"Selective / Barrier",IF(AA259&gt;=80,"Tier 1 - Pursue",IF(AA259&gt;=70,"Tier 2 - Pursue",IF(AA259&gt;=60,"Tier 3 - Selective","Do Not Pursue")))))</f>
        <v/>
      </c>
      <c r="AC259" s="52">
        <f>IF(C259="","",IF(I259&lt;&gt;"","Named Contact",IF(AA259&gt;0,"Outreach Logged","Cold")))</f>
        <v/>
      </c>
      <c r="AD259" s="52">
        <f>IF(B259="","",COUNTIF('Outreach Log'!$C:$C,B259))</f>
        <v/>
      </c>
      <c r="AE259" s="52">
        <f>IF(A259="","",IF(OR(K259="Rejected",K259="Closed"),IF(L259&lt;&gt;"",L259-A259,TODAY()-A259),TODAY()-A259))</f>
        <v/>
      </c>
      <c r="AF259" s="52">
        <f>IF(C259="","",IF(AND(AA259&gt;=70,AC259="Cold"),"High-fit but cold",IF(AND(AA259&lt;60,K259="Applied"),"Low-fit application",IF(AND(AA259&gt;=70,OR(AC259="Named Contact",AC259="Outreach Logged")),"Targeted pursuit","Review"))))</f>
        <v/>
      </c>
    </row>
    <row r="260" ht="15" customHeight="1" s="44">
      <c r="A260" s="53" t="n">
        <v>46239</v>
      </c>
      <c r="B260" s="48" t="inlineStr">
        <is>
          <t>SI Systems (contract)</t>
        </is>
      </c>
      <c r="C260" s="48" t="inlineStr">
        <is>
          <t>Senior Project Manager, Data/AI/Tech Transformation (154285)</t>
        </is>
      </c>
      <c r="D260" s="48" t="n"/>
      <c r="E260" s="48" t="n"/>
      <c r="F260" s="48" t="n"/>
      <c r="G260" s="48" t="n"/>
      <c r="H260" s="48" t="n"/>
      <c r="I260" s="48" t="n"/>
      <c r="J260" s="48" t="n"/>
      <c r="K260" s="55" t="inlineStr">
        <is>
          <t>Applied</t>
        </is>
      </c>
      <c r="L260" s="48" t="n"/>
      <c r="M260" s="48" t="n"/>
      <c r="N260" s="48" t="n"/>
      <c r="O260" s="48" t="n"/>
      <c r="P260" s="51" t="n"/>
      <c r="Q260" s="48" t="n"/>
      <c r="R260" s="48" t="n"/>
      <c r="S260" s="51" t="n"/>
      <c r="T260" s="52">
        <f>IF(G260="","",G260)</f>
        <v/>
      </c>
      <c r="U260" s="52">
        <f>IF(C260="","",IF(OR(ISNUMBER(SEARCH("Director",C260)),ISNUMBER(SEARCH("Lead",C260)),ISNUMBER(SEARCH("Senior",C260)),ISNUMBER(SEARCH("Sr.",C260))),90,IF(OR(ISNUMBER(SEARCH("Manager",C260)),ISNUMBER(SEARCH("Program",C260)),ISNUMBER(SEARCH("Portfolio",C260))),80,60)))</f>
        <v/>
      </c>
      <c r="V260" s="52">
        <f>IF(C260="","",IF(OR(ISNUMBER(SEARCH("AI",C260)),ISNUMBER(SEARCH("Data",C260)),ISNUMBER(SEARCH("Technology",C260)),ISNUMBER(SEARCH("Technical",C260)),ISNUMBER(SEARCH("Engineering",C260)),ISNUMBER(SEARCH("Platform",C260)),ISNUMBER(SEARCH("Portfolio",C260))),85,65))</f>
        <v/>
      </c>
      <c r="W260" s="52">
        <f>IF(C260="","",MIN(100,50+IF(S260&lt;&gt;"",25,0)+IF(R260&lt;&gt;"",15,0)+IF(P260&lt;&gt;"",10,0)))</f>
        <v/>
      </c>
      <c r="X260" s="52">
        <f>IF(E260="","",IF(OR(E260="Canada",E260="CA"),100,IF(OR(E260="United States",E260="USA",E260="US"),IF(J260="Yes",45,75),65)))</f>
        <v/>
      </c>
      <c r="Y260" s="52">
        <f>IF(C260="","",IF(OR(ISNUMBER(SEARCH("Program",C260)),ISNUMBER(SEARCH("Portfolio",C260)),ISNUMBER(SEARCH("Operations",C260)),ISNUMBER(SEARCH("Transformation",C260))),85,IF(ISNUMBER(SEARCH("Product Manager",C260)),55,70)))</f>
        <v/>
      </c>
      <c r="Z260" s="52">
        <f>IF(C260="","",MIN(100,IF(I260&lt;&gt;"",60,10)+IF(AA260&gt;0,MIN(40,AA260*20),0)))</f>
        <v/>
      </c>
      <c r="AA260" s="52">
        <f>IF(T260="","",ROUND(T260*25%+U260*15%+V260*10%+W260*15%+X260*15%+Y260*10%+Z260*10%,0))</f>
        <v/>
      </c>
      <c r="AB260" s="52">
        <f>IF(AA260="","",IF(X260&lt;50,"Selective / Barrier",IF(AA260&gt;=80,"Tier 1 - Pursue",IF(AA260&gt;=70,"Tier 2 - Pursue",IF(AA260&gt;=60,"Tier 3 - Selective","Do Not Pursue")))))</f>
        <v/>
      </c>
      <c r="AC260" s="52">
        <f>IF(C260="","",IF(I260&lt;&gt;"","Named Contact",IF(AA260&gt;0,"Outreach Logged","Cold")))</f>
        <v/>
      </c>
      <c r="AD260" s="52">
        <f>IF(B260="","",COUNTIF('Outreach Log'!$C:$C,B260))</f>
        <v/>
      </c>
      <c r="AE260" s="52">
        <f>IF(A260="","",IF(OR(K260="Rejected",K260="Closed"),IF(L260&lt;&gt;"",L260-A260,TODAY()-A260),TODAY()-A260))</f>
        <v/>
      </c>
      <c r="AF260" s="52">
        <f>IF(C260="","",IF(AND(AA260&gt;=70,AC260="Cold"),"High-fit but cold",IF(AND(AA260&lt;60,K260="Applied"),"Low-fit application",IF(AND(AA260&gt;=70,OR(AC260="Named Contact",AC260="Outreach Logged")),"Targeted pursuit","Review"))))</f>
        <v/>
      </c>
    </row>
    <row r="261" ht="15" customHeight="1" s="44">
      <c r="A261" s="53" t="n">
        <v>46240</v>
      </c>
      <c r="B261" s="48" t="inlineStr">
        <is>
          <t>Headway</t>
        </is>
      </c>
      <c r="C261" s="48" t="inlineStr">
        <is>
          <t>Senior Technical Program Manager, Insurance (exact posting title unconfirmed)</t>
        </is>
      </c>
      <c r="D261" s="48" t="inlineStr">
        <is>
          <t>Sr TPM</t>
        </is>
      </c>
      <c r="E261" s="48" t="inlineStr">
        <is>
          <t>US</t>
        </is>
      </c>
      <c r="F261" s="48" t="inlineStr">
        <is>
          <t>Remote</t>
        </is>
      </c>
      <c r="G261" s="48" t="n">
        <v>85</v>
      </c>
      <c r="H261" s="48" t="inlineStr">
        <is>
          <t>Cold Portal</t>
        </is>
      </c>
      <c r="I261" s="48" t="n"/>
      <c r="J261" s="48" t="inlineStr">
        <is>
          <t>Yes</t>
        </is>
      </c>
      <c r="K261" s="55" t="inlineStr">
        <is>
          <t>Applied</t>
        </is>
      </c>
      <c r="L261" s="48" t="n"/>
      <c r="M261" s="48">
        <f>IF(OR(L150="",A150=""),"",L150-A150)</f>
        <v/>
      </c>
      <c r="N261" s="48" t="n"/>
      <c r="O261" s="48" t="n"/>
      <c r="P261" s="51" t="inlineStr">
        <is>
          <t>Mental healthcare platform; JD emphasizes financial remediation, data rearchitecture, and Insurance-vertical program ownership. Used Loblaw-based Senior TPM resume, retailored toward financial remediation/data rearchitecture/playbook language. Channel and exact posting title assumed — please confirm.</t>
        </is>
      </c>
      <c r="Q261" s="48" t="n"/>
      <c r="R261" s="48" t="n"/>
      <c r="S261" s="51" t="n"/>
      <c r="T261" s="52">
        <f>IF(G261="","",G261)</f>
        <v/>
      </c>
      <c r="U261" s="52">
        <f>IF(C261="","",IF(OR(ISNUMBER(SEARCH("Director",C261)),ISNUMBER(SEARCH("Lead",C261)),ISNUMBER(SEARCH("Senior",C261)),ISNUMBER(SEARCH("Sr.",C261))),90,IF(OR(ISNUMBER(SEARCH("Manager",C261)),ISNUMBER(SEARCH("Program",C261)),ISNUMBER(SEARCH("Portfolio",C261))),80,60)))</f>
        <v/>
      </c>
      <c r="V261" s="52">
        <f>IF(C261="","",IF(OR(ISNUMBER(SEARCH("AI",C261)),ISNUMBER(SEARCH("Data",C261)),ISNUMBER(SEARCH("Technology",C261)),ISNUMBER(SEARCH("Technical",C261)),ISNUMBER(SEARCH("Engineering",C261)),ISNUMBER(SEARCH("Platform",C261)),ISNUMBER(SEARCH("Portfolio",C261))),85,65))</f>
        <v/>
      </c>
      <c r="W261" s="52">
        <f>IF(C261="","",MIN(100,50+IF(S261&lt;&gt;"",25,0)+IF(R261&lt;&gt;"",15,0)+IF(P261&lt;&gt;"",10,0)))</f>
        <v/>
      </c>
      <c r="X261" s="52">
        <f>IF(E261="","",IF(OR(E261="Canada",E261="CA"),100,IF(OR(E261="United States",E261="USA",E261="US"),IF(J261="Yes",45,75),65)))</f>
        <v/>
      </c>
      <c r="Y261" s="52">
        <f>IF(C261="","",IF(OR(ISNUMBER(SEARCH("Program",C261)),ISNUMBER(SEARCH("Portfolio",C261)),ISNUMBER(SEARCH("Operations",C261)),ISNUMBER(SEARCH("Transformation",C261))),85,IF(ISNUMBER(SEARCH("Product Manager",C261)),55,70)))</f>
        <v/>
      </c>
      <c r="Z261" s="52">
        <f>IF(C261="","",MIN(100,IF(I261&lt;&gt;"",60,10)+IF(AA261&gt;0,MIN(40,AA261*20),0)))</f>
        <v/>
      </c>
      <c r="AA261" s="52">
        <f>IF(T261="","",ROUND(T261*25%+U261*15%+V261*10%+W261*15%+X261*15%+Y261*10%+Z261*10%,0))</f>
        <v/>
      </c>
      <c r="AB261" s="52">
        <f>IF(AA261="","",IF(X261&lt;50,"Selective / Barrier",IF(AA261&gt;=80,"Tier 1 - Pursue",IF(AA261&gt;=70,"Tier 2 - Pursue",IF(AA261&gt;=60,"Tier 3 - Selective","Do Not Pursue")))))</f>
        <v/>
      </c>
      <c r="AC261" s="52">
        <f>IF(C261="","",IF(I261&lt;&gt;"","Named Contact",IF(AA261&gt;0,"Outreach Logged","Cold")))</f>
        <v/>
      </c>
      <c r="AD261" s="52">
        <f>IF(B261="","",COUNTIF('Outreach Log'!$C:$C,B261))</f>
        <v/>
      </c>
      <c r="AE261" s="52">
        <f>IF(A261="","",IF(OR(K261="Rejected",K261="Closed"),IF(L261&lt;&gt;"",L261-A261,TODAY()-A261),TODAY()-A261))</f>
        <v/>
      </c>
      <c r="AF261" s="52">
        <f>IF(C261="","",IF(AND(AA261&gt;=70,AC261="Cold"),"High-fit but cold",IF(AND(AA261&lt;60,K261="Applied"),"Low-fit application",IF(AND(AA261&gt;=70,OR(AC261="Named Contact",AC261="Outreach Logged")),"Targeted pursuit","Review"))))</f>
        <v/>
      </c>
    </row>
    <row r="262" ht="15" customHeight="1" s="44">
      <c r="A262" s="53" t="n">
        <v>46240</v>
      </c>
      <c r="B262" s="48" t="inlineStr">
        <is>
          <t>Shopify</t>
        </is>
      </c>
      <c r="C262" s="48" t="inlineStr">
        <is>
          <t>Product Manager</t>
        </is>
      </c>
      <c r="D262" s="48" t="inlineStr">
        <is>
          <t>Sr Manager</t>
        </is>
      </c>
      <c r="E262" s="48" t="inlineStr">
        <is>
          <t>Canada</t>
        </is>
      </c>
      <c r="F262" s="48" t="inlineStr">
        <is>
          <t>Toronto</t>
        </is>
      </c>
      <c r="G262" s="48" t="n">
        <v>50</v>
      </c>
      <c r="H262" s="48" t="inlineStr">
        <is>
          <t>Cold Portal</t>
        </is>
      </c>
      <c r="I262" s="48" t="n"/>
      <c r="J262" s="48" t="inlineStr">
        <is>
          <t>No</t>
        </is>
      </c>
      <c r="K262" s="49" t="inlineStr">
        <is>
          <t>Rejected</t>
        </is>
      </c>
      <c r="L262" s="50" t="n">
        <v>46246</v>
      </c>
      <c r="M262" s="48">
        <f>IF(OR(L151="",A151=""),"",L151-A151)</f>
        <v/>
      </c>
      <c r="N262" s="48" t="n"/>
      <c r="O262" s="48" t="n"/>
      <c r="P262" s="51" t="inlineStr">
        <is>
          <t>Confirmed via Shopify auto-reply (recruiting@talent.shopify.com) received 08/06 3:55pm ET, subject "Good move" - generic confirmation, does not name specific req/title. Used Product Manager resume version (Product Owner-style framing, not TPM). Domain switch from core TPM/Program Manager profile - PM title vs her typical Sr TPM/Portfolio Manager roles. | Rejected 2026-08-12 via Ashby (Shopify "Skip the Line" update). Submission reviewed against current needs; not moving forward.</t>
        </is>
      </c>
      <c r="Q262" s="48" t="n"/>
      <c r="R262" s="48" t="n"/>
      <c r="S262" s="51" t="n"/>
      <c r="T262" s="52">
        <f>IF(G262="","",G262)</f>
        <v/>
      </c>
      <c r="U262" s="52">
        <f>IF(C262="","",IF(OR(ISNUMBER(SEARCH("Director",C262)),ISNUMBER(SEARCH("Lead",C262)),ISNUMBER(SEARCH("Senior",C262)),ISNUMBER(SEARCH("Sr.",C262))),90,IF(OR(ISNUMBER(SEARCH("Manager",C262)),ISNUMBER(SEARCH("Program",C262)),ISNUMBER(SEARCH("Portfolio",C262))),80,60)))</f>
        <v/>
      </c>
      <c r="V262" s="52">
        <f>IF(C262="","",IF(OR(ISNUMBER(SEARCH("AI",C262)),ISNUMBER(SEARCH("Data",C262)),ISNUMBER(SEARCH("Technology",C262)),ISNUMBER(SEARCH("Technical",C262)),ISNUMBER(SEARCH("Engineering",C262)),ISNUMBER(SEARCH("Platform",C262)),ISNUMBER(SEARCH("Portfolio",C262))),85,65))</f>
        <v/>
      </c>
      <c r="W262" s="52">
        <f>IF(C262="","",MIN(100,50+IF(S262&lt;&gt;"",25,0)+IF(R262&lt;&gt;"",15,0)+IF(P262&lt;&gt;"",10,0)))</f>
        <v/>
      </c>
      <c r="X262" s="52">
        <f>IF(E262="","",IF(OR(E262="Canada",E262="CA"),100,IF(OR(E262="United States",E262="USA",E262="US"),IF(J262="Yes",45,75),65)))</f>
        <v/>
      </c>
      <c r="Y262" s="52">
        <f>IF(C262="","",IF(OR(ISNUMBER(SEARCH("Program",C262)),ISNUMBER(SEARCH("Portfolio",C262)),ISNUMBER(SEARCH("Operations",C262)),ISNUMBER(SEARCH("Transformation",C262))),85,IF(ISNUMBER(SEARCH("Product Manager",C262)),55,70)))</f>
        <v/>
      </c>
      <c r="Z262" s="52">
        <f>IF(C262="","",MIN(100,IF(I262&lt;&gt;"",60,10)+IF(AA262&gt;0,MIN(40,AA262*20),0)))</f>
        <v/>
      </c>
      <c r="AA262" s="52">
        <f>IF(T262="","",ROUND(T262*25%+U262*15%+V262*10%+W262*15%+X262*15%+Y262*10%+Z262*10%,0))</f>
        <v/>
      </c>
      <c r="AB262" s="52">
        <f>IF(AA262="","",IF(X262&lt;50,"Selective / Barrier",IF(AA262&gt;=80,"Tier 1 - Pursue",IF(AA262&gt;=70,"Tier 2 - Pursue",IF(AA262&gt;=60,"Tier 3 - Selective","Do Not Pursue")))))</f>
        <v/>
      </c>
      <c r="AC262" s="52">
        <f>IF(C262="","",IF(I262&lt;&gt;"","Named Contact",IF(AA262&gt;0,"Outreach Logged","Cold")))</f>
        <v/>
      </c>
      <c r="AD262" s="52">
        <f>IF(B262="","",COUNTIF('Outreach Log'!$C:$C,B262))</f>
        <v/>
      </c>
      <c r="AE262" s="52">
        <f>IF(A262="","",IF(OR(K262="Rejected",K262="Closed"),IF(L262&lt;&gt;"",L262-A262,TODAY()-A262),TODAY()-A262))</f>
        <v/>
      </c>
      <c r="AF262" s="52">
        <f>IF(C262="","",IF(AND(AA262&gt;=70,AC262="Cold"),"High-fit but cold",IF(AND(AA262&lt;60,K262="Applied"),"Low-fit application",IF(AND(AA262&gt;=70,OR(AC262="Named Contact",AC262="Outreach Logged")),"Targeted pursuit","Review"))))</f>
        <v/>
      </c>
    </row>
    <row r="263" ht="15" customHeight="1" s="44">
      <c r="A263" s="53" t="n">
        <v>46240</v>
      </c>
      <c r="B263" s="48" t="inlineStr">
        <is>
          <t>Headway</t>
        </is>
      </c>
      <c r="C263" s="48" t="inlineStr">
        <is>
          <t>Staff Technical Program Manager</t>
        </is>
      </c>
      <c r="D263" s="48" t="inlineStr">
        <is>
          <t>Staff</t>
        </is>
      </c>
      <c r="E263" s="48" t="inlineStr">
        <is>
          <t>US</t>
        </is>
      </c>
      <c r="F263" s="48" t="inlineStr">
        <is>
          <t>Remote</t>
        </is>
      </c>
      <c r="G263" s="48" t="n">
        <v>60</v>
      </c>
      <c r="H263" s="48" t="inlineStr">
        <is>
          <t>Cold Portal</t>
        </is>
      </c>
      <c r="I263" s="48" t="n"/>
      <c r="J263" s="48" t="inlineStr">
        <is>
          <t>Yes</t>
        </is>
      </c>
      <c r="K263" s="49" t="inlineStr">
        <is>
          <t>Rejected</t>
        </is>
      </c>
      <c r="L263" s="50" t="n">
        <v>46251</v>
      </c>
      <c r="M263" s="48">
        <f>IF(OR(L152="",A152=""),"",L152-A152)</f>
        <v/>
      </c>
      <c r="N263" s="48" t="n"/>
      <c r="O263" s="48" t="n"/>
      <c r="P263" s="51" t="inlineStr">
        <is>
          <t>Ashby confirmation 08/06 9:46pm ET. NOTE: possible duplicate/related to row 117 (Headway Sr TPM Insurance, logged 08/06) - confirm whether these are two distinct reqs or one. REJECTED via Ashby 2026-08-17 4:27pm ET (no-reply@ashbyhq.com) - generic "not the best match" notice, no req ID given. Rejection could plausibly apply to this row OR row 58 (same title, applied 07/21) since Headway has two "Staff Technical Program Manager" entries and the email doesn't distinguish them - applying rejection to this row (more recent application, also via Ashby) as the more likely match; please confirm against your own records if you can.</t>
        </is>
      </c>
      <c r="Q263" s="48" t="n"/>
      <c r="R263" s="48" t="n"/>
      <c r="S263" s="51" t="n"/>
      <c r="T263" s="52">
        <f>IF(G263="","",G263)</f>
        <v/>
      </c>
      <c r="U263" s="52">
        <f>IF(C263="","",IF(OR(ISNUMBER(SEARCH("Director",C263)),ISNUMBER(SEARCH("Lead",C263)),ISNUMBER(SEARCH("Senior",C263)),ISNUMBER(SEARCH("Sr.",C263))),90,IF(OR(ISNUMBER(SEARCH("Manager",C263)),ISNUMBER(SEARCH("Program",C263)),ISNUMBER(SEARCH("Portfolio",C263))),80,60)))</f>
        <v/>
      </c>
      <c r="V263" s="52">
        <f>IF(C263="","",IF(OR(ISNUMBER(SEARCH("AI",C263)),ISNUMBER(SEARCH("Data",C263)),ISNUMBER(SEARCH("Technology",C263)),ISNUMBER(SEARCH("Technical",C263)),ISNUMBER(SEARCH("Engineering",C263)),ISNUMBER(SEARCH("Platform",C263)),ISNUMBER(SEARCH("Portfolio",C263))),85,65))</f>
        <v/>
      </c>
      <c r="W263" s="52">
        <f>IF(C263="","",MIN(100,50+IF(S263&lt;&gt;"",25,0)+IF(R263&lt;&gt;"",15,0)+IF(P263&lt;&gt;"",10,0)))</f>
        <v/>
      </c>
      <c r="X263" s="52">
        <f>IF(E263="","",IF(OR(E263="Canada",E263="CA"),100,IF(OR(E263="United States",E263="USA",E263="US"),IF(J263="Yes",45,75),65)))</f>
        <v/>
      </c>
      <c r="Y263" s="52">
        <f>IF(C263="","",IF(OR(ISNUMBER(SEARCH("Program",C263)),ISNUMBER(SEARCH("Portfolio",C263)),ISNUMBER(SEARCH("Operations",C263)),ISNUMBER(SEARCH("Transformation",C263))),85,IF(ISNUMBER(SEARCH("Product Manager",C263)),55,70)))</f>
        <v/>
      </c>
      <c r="Z263" s="52">
        <f>IF(C263="","",MIN(100,IF(I263&lt;&gt;"",60,10)+IF(AA263&gt;0,MIN(40,AA263*20),0)))</f>
        <v/>
      </c>
      <c r="AA263" s="52">
        <f>IF(T263="","",ROUND(T263*25%+U263*15%+V263*10%+W263*15%+X263*15%+Y263*10%+Z263*10%,0))</f>
        <v/>
      </c>
      <c r="AB263" s="52">
        <f>IF(AA263="","",IF(X263&lt;50,"Selective / Barrier",IF(AA263&gt;=80,"Tier 1 - Pursue",IF(AA263&gt;=70,"Tier 2 - Pursue",IF(AA263&gt;=60,"Tier 3 - Selective","Do Not Pursue")))))</f>
        <v/>
      </c>
      <c r="AC263" s="52">
        <f>IF(C263="","",IF(I263&lt;&gt;"","Named Contact",IF(AA263&gt;0,"Outreach Logged","Cold")))</f>
        <v/>
      </c>
      <c r="AD263" s="52">
        <f>IF(B263="","",COUNTIF('Outreach Log'!$C:$C,B263))</f>
        <v/>
      </c>
      <c r="AE263" s="52">
        <f>IF(A263="","",IF(OR(K263="Rejected",K263="Closed"),IF(L263&lt;&gt;"",L263-A263,TODAY()-A263),TODAY()-A263))</f>
        <v/>
      </c>
      <c r="AF263" s="52">
        <f>IF(C263="","",IF(AND(AA263&gt;=70,AC263="Cold"),"High-fit but cold",IF(AND(AA263&lt;60,K263="Applied"),"Low-fit application",IF(AND(AA263&gt;=70,OR(AC263="Named Contact",AC263="Outreach Logged")),"Targeted pursuit","Review"))))</f>
        <v/>
      </c>
    </row>
    <row r="264" ht="15" customHeight="1" s="44">
      <c r="A264" s="53" t="n">
        <v>46240</v>
      </c>
      <c r="B264" s="48" t="inlineStr">
        <is>
          <t>Shopify</t>
        </is>
      </c>
      <c r="C264" s="48" t="inlineStr">
        <is>
          <t>(role unspecified)</t>
        </is>
      </c>
      <c r="D264" s="48" t="n"/>
      <c r="E264" s="48" t="n"/>
      <c r="F264" s="48" t="n"/>
      <c r="G264" s="48" t="n"/>
      <c r="H264" s="48" t="n"/>
      <c r="I264" s="48" t="n"/>
      <c r="J264" s="48" t="n"/>
      <c r="K264" s="55" t="inlineStr">
        <is>
          <t>Applied</t>
        </is>
      </c>
      <c r="L264" s="48" t="n"/>
      <c r="M264" s="48" t="n"/>
      <c r="N264" s="48" t="n"/>
      <c r="O264" s="48" t="n"/>
      <c r="P264" s="51" t="n"/>
      <c r="Q264" s="48" t="n"/>
      <c r="R264" s="48" t="n"/>
      <c r="S264" s="51" t="n"/>
      <c r="T264" s="52">
        <f>IF(G264="","",G264)</f>
        <v/>
      </c>
      <c r="U264" s="52">
        <f>IF(C264="","",IF(OR(ISNUMBER(SEARCH("Director",C264)),ISNUMBER(SEARCH("Lead",C264)),ISNUMBER(SEARCH("Senior",C264)),ISNUMBER(SEARCH("Sr.",C264))),90,IF(OR(ISNUMBER(SEARCH("Manager",C264)),ISNUMBER(SEARCH("Program",C264)),ISNUMBER(SEARCH("Portfolio",C264))),80,60)))</f>
        <v/>
      </c>
      <c r="V264" s="52">
        <f>IF(C264="","",IF(OR(ISNUMBER(SEARCH("AI",C264)),ISNUMBER(SEARCH("Data",C264)),ISNUMBER(SEARCH("Technology",C264)),ISNUMBER(SEARCH("Technical",C264)),ISNUMBER(SEARCH("Engineering",C264)),ISNUMBER(SEARCH("Platform",C264)),ISNUMBER(SEARCH("Portfolio",C264))),85,65))</f>
        <v/>
      </c>
      <c r="W264" s="52">
        <f>IF(C264="","",MIN(100,50+IF(S264&lt;&gt;"",25,0)+IF(R264&lt;&gt;"",15,0)+IF(P264&lt;&gt;"",10,0)))</f>
        <v/>
      </c>
      <c r="X264" s="52">
        <f>IF(E264="","",IF(OR(E264="Canada",E264="CA"),100,IF(OR(E264="United States",E264="USA",E264="US"),IF(J264="Yes",45,75),65)))</f>
        <v/>
      </c>
      <c r="Y264" s="52">
        <f>IF(C264="","",IF(OR(ISNUMBER(SEARCH("Program",C264)),ISNUMBER(SEARCH("Portfolio",C264)),ISNUMBER(SEARCH("Operations",C264)),ISNUMBER(SEARCH("Transformation",C264))),85,IF(ISNUMBER(SEARCH("Product Manager",C264)),55,70)))</f>
        <v/>
      </c>
      <c r="Z264" s="52">
        <f>IF(C264="","",MIN(100,IF(I264&lt;&gt;"",60,10)+IF(AA264&gt;0,MIN(40,AA264*20),0)))</f>
        <v/>
      </c>
      <c r="AA264" s="52">
        <f>IF(T264="","",ROUND(T264*25%+U264*15%+V264*10%+W264*15%+X264*15%+Y264*10%+Z264*10%,0))</f>
        <v/>
      </c>
      <c r="AB264" s="52">
        <f>IF(AA264="","",IF(X264&lt;50,"Selective / Barrier",IF(AA264&gt;=80,"Tier 1 - Pursue",IF(AA264&gt;=70,"Tier 2 - Pursue",IF(AA264&gt;=60,"Tier 3 - Selective","Do Not Pursue")))))</f>
        <v/>
      </c>
      <c r="AC264" s="52">
        <f>IF(C264="","",IF(I264&lt;&gt;"","Named Contact",IF(AA264&gt;0,"Outreach Logged","Cold")))</f>
        <v/>
      </c>
      <c r="AD264" s="52">
        <f>IF(B264="","",COUNTIF('Outreach Log'!$C:$C,B264))</f>
        <v/>
      </c>
      <c r="AE264" s="52">
        <f>IF(A264="","",IF(OR(K264="Rejected",K264="Closed"),IF(L264&lt;&gt;"",L264-A264,TODAY()-A264),TODAY()-A264))</f>
        <v/>
      </c>
      <c r="AF264" s="52">
        <f>IF(C264="","",IF(AND(AA264&gt;=70,AC264="Cold"),"High-fit but cold",IF(AND(AA264&lt;60,K264="Applied"),"Low-fit application",IF(AND(AA264&gt;=70,OR(AC264="Named Contact",AC264="Outreach Logged")),"Targeted pursuit","Review"))))</f>
        <v/>
      </c>
    </row>
    <row r="265" ht="15" customHeight="1" s="44">
      <c r="A265" s="53" t="n">
        <v>46241</v>
      </c>
      <c r="B265" s="48" t="inlineStr">
        <is>
          <t>Procom / Client Connections</t>
        </is>
      </c>
      <c r="C265" s="48" t="inlineStr">
        <is>
          <t>Junior Program Manager x2</t>
        </is>
      </c>
      <c r="D265" s="48" t="inlineStr">
        <is>
          <t>Junior</t>
        </is>
      </c>
      <c r="E265" s="48" t="inlineStr">
        <is>
          <t>Canada</t>
        </is>
      </c>
      <c r="F265" s="48" t="inlineStr">
        <is>
          <t>Toronto</t>
        </is>
      </c>
      <c r="G265" s="48" t="n">
        <v>25</v>
      </c>
      <c r="H265" s="48" t="inlineStr">
        <is>
          <t>Recruiter</t>
        </is>
      </c>
      <c r="I265" s="48" t="n"/>
      <c r="J265" s="48" t="inlineStr">
        <is>
          <t>No</t>
        </is>
      </c>
      <c r="K265" s="55" t="inlineStr">
        <is>
          <t>Applied</t>
        </is>
      </c>
      <c r="L265" s="48" t="n"/>
      <c r="M265" s="48">
        <f>IF(OR(L153="",A153=""),"",L153-A153)</f>
        <v/>
      </c>
      <c r="N265" s="48" t="n"/>
      <c r="O265" s="48" t="n"/>
      <c r="P265" s="51" t="inlineStr">
        <is>
          <t>Two confirmations 08/07: auto-submit receipt (Frankie/clientconnections.com) + virtualrecruiter@procomservices.com inviting a Virtual Recruiter screen. NOTE: Junior-level role - far below target profile (Director/Sr Manager). Flagging as significant seniority mismatch.</t>
        </is>
      </c>
      <c r="Q265" s="48" t="n"/>
      <c r="R265" s="48" t="n"/>
      <c r="S265" s="51" t="n"/>
      <c r="T265" s="52">
        <f>IF(G265="","",G265)</f>
        <v/>
      </c>
      <c r="U265" s="52">
        <f>IF(C265="","",IF(OR(ISNUMBER(SEARCH("Director",C265)),ISNUMBER(SEARCH("Lead",C265)),ISNUMBER(SEARCH("Senior",C265)),ISNUMBER(SEARCH("Sr.",C265))),90,IF(OR(ISNUMBER(SEARCH("Manager",C265)),ISNUMBER(SEARCH("Program",C265)),ISNUMBER(SEARCH("Portfolio",C265))),80,60)))</f>
        <v/>
      </c>
      <c r="V265" s="52">
        <f>IF(C265="","",IF(OR(ISNUMBER(SEARCH("AI",C265)),ISNUMBER(SEARCH("Data",C265)),ISNUMBER(SEARCH("Technology",C265)),ISNUMBER(SEARCH("Technical",C265)),ISNUMBER(SEARCH("Engineering",C265)),ISNUMBER(SEARCH("Platform",C265)),ISNUMBER(SEARCH("Portfolio",C265))),85,65))</f>
        <v/>
      </c>
      <c r="W265" s="52">
        <f>IF(C265="","",MIN(100,50+IF(S265&lt;&gt;"",25,0)+IF(R265&lt;&gt;"",15,0)+IF(P265&lt;&gt;"",10,0)))</f>
        <v/>
      </c>
      <c r="X265" s="52">
        <f>IF(E265="","",IF(OR(E265="Canada",E265="CA"),100,IF(OR(E265="United States",E265="USA",E265="US"),IF(J265="Yes",45,75),65)))</f>
        <v/>
      </c>
      <c r="Y265" s="52">
        <f>IF(C265="","",IF(OR(ISNUMBER(SEARCH("Program",C265)),ISNUMBER(SEARCH("Portfolio",C265)),ISNUMBER(SEARCH("Operations",C265)),ISNUMBER(SEARCH("Transformation",C265))),85,IF(ISNUMBER(SEARCH("Product Manager",C265)),55,70)))</f>
        <v/>
      </c>
      <c r="Z265" s="52">
        <f>IF(C265="","",MIN(100,IF(I265&lt;&gt;"",60,10)+IF(AA265&gt;0,MIN(40,AA265*20),0)))</f>
        <v/>
      </c>
      <c r="AA265" s="52">
        <f>IF(T265="","",ROUND(T265*25%+U265*15%+V265*10%+W265*15%+X265*15%+Y265*10%+Z265*10%,0))</f>
        <v/>
      </c>
      <c r="AB265" s="52">
        <f>IF(AA265="","",IF(X265&lt;50,"Selective / Barrier",IF(AA265&gt;=80,"Tier 1 - Pursue",IF(AA265&gt;=70,"Tier 2 - Pursue",IF(AA265&gt;=60,"Tier 3 - Selective","Do Not Pursue")))))</f>
        <v/>
      </c>
      <c r="AC265" s="52">
        <f>IF(C265="","",IF(I265&lt;&gt;"","Named Contact",IF(AA265&gt;0,"Outreach Logged","Cold")))</f>
        <v/>
      </c>
      <c r="AD265" s="52">
        <f>IF(B265="","",COUNTIF('Outreach Log'!$C:$C,B265))</f>
        <v/>
      </c>
      <c r="AE265" s="52">
        <f>IF(A265="","",IF(OR(K265="Rejected",K265="Closed"),IF(L265&lt;&gt;"",L265-A265,TODAY()-A265),TODAY()-A265))</f>
        <v/>
      </c>
      <c r="AF265" s="52">
        <f>IF(C265="","",IF(AND(AA265&gt;=70,AC265="Cold"),"High-fit but cold",IF(AND(AA265&lt;60,K265="Applied"),"Low-fit application",IF(AND(AA265&gt;=70,OR(AC265="Named Contact",AC265="Outreach Logged")),"Targeted pursuit","Review"))))</f>
        <v/>
      </c>
    </row>
    <row r="266" ht="15" customHeight="1" s="44">
      <c r="A266" s="53" t="n">
        <v>46241</v>
      </c>
      <c r="B266" s="48" t="inlineStr">
        <is>
          <t>Procom / Client Connections</t>
        </is>
      </c>
      <c r="C266" s="48" t="inlineStr">
        <is>
          <t>Senior Business Analyst</t>
        </is>
      </c>
      <c r="D266" s="48" t="inlineStr">
        <is>
          <t>Senior BA</t>
        </is>
      </c>
      <c r="E266" s="48" t="inlineStr">
        <is>
          <t>Canada</t>
        </is>
      </c>
      <c r="F266" s="48" t="inlineStr">
        <is>
          <t>Toronto</t>
        </is>
      </c>
      <c r="G266" s="48" t="n">
        <v>45</v>
      </c>
      <c r="H266" s="48" t="inlineStr">
        <is>
          <t>Recruiter</t>
        </is>
      </c>
      <c r="I266" s="48" t="n"/>
      <c r="J266" s="48" t="inlineStr">
        <is>
          <t>No</t>
        </is>
      </c>
      <c r="K266" s="55" t="inlineStr">
        <is>
          <t>Applied</t>
        </is>
      </c>
      <c r="L266" s="48" t="n"/>
      <c r="M266" s="48">
        <f>IF(OR(L154="",A154=""),"",L154-A154)</f>
        <v/>
      </c>
      <c r="N266" s="48" t="n"/>
      <c r="O266" s="48" t="n"/>
      <c r="P266" s="51" t="inlineStr">
        <is>
          <t>Auto-submit confirmation 08/07 (Frankie/clientconnections.com). Likely Ontario Health RQ00756 Sr BA contract (recruiter outreach from Nataly Cheng 08/06). Hard must-have: 8 yrs BA experience on electronic health/EHR projects - potential screen-out risk.</t>
        </is>
      </c>
      <c r="Q266" s="48" t="n"/>
      <c r="R266" s="48" t="n"/>
      <c r="S266" s="51" t="n"/>
      <c r="T266" s="52">
        <f>IF(G266="","",G266)</f>
        <v/>
      </c>
      <c r="U266" s="52">
        <f>IF(C266="","",IF(OR(ISNUMBER(SEARCH("Director",C266)),ISNUMBER(SEARCH("Lead",C266)),ISNUMBER(SEARCH("Senior",C266)),ISNUMBER(SEARCH("Sr.",C266))),90,IF(OR(ISNUMBER(SEARCH("Manager",C266)),ISNUMBER(SEARCH("Program",C266)),ISNUMBER(SEARCH("Portfolio",C266))),80,60)))</f>
        <v/>
      </c>
      <c r="V266" s="52">
        <f>IF(C266="","",IF(OR(ISNUMBER(SEARCH("AI",C266)),ISNUMBER(SEARCH("Data",C266)),ISNUMBER(SEARCH("Technology",C266)),ISNUMBER(SEARCH("Technical",C266)),ISNUMBER(SEARCH("Engineering",C266)),ISNUMBER(SEARCH("Platform",C266)),ISNUMBER(SEARCH("Portfolio",C266))),85,65))</f>
        <v/>
      </c>
      <c r="W266" s="52">
        <f>IF(C266="","",MIN(100,50+IF(S266&lt;&gt;"",25,0)+IF(R266&lt;&gt;"",15,0)+IF(P266&lt;&gt;"",10,0)))</f>
        <v/>
      </c>
      <c r="X266" s="52">
        <f>IF(E266="","",IF(OR(E266="Canada",E266="CA"),100,IF(OR(E266="United States",E266="USA",E266="US"),IF(J266="Yes",45,75),65)))</f>
        <v/>
      </c>
      <c r="Y266" s="52">
        <f>IF(C266="","",IF(OR(ISNUMBER(SEARCH("Program",C266)),ISNUMBER(SEARCH("Portfolio",C266)),ISNUMBER(SEARCH("Operations",C266)),ISNUMBER(SEARCH("Transformation",C266))),85,IF(ISNUMBER(SEARCH("Product Manager",C266)),55,70)))</f>
        <v/>
      </c>
      <c r="Z266" s="52">
        <f>IF(C266="","",MIN(100,IF(I266&lt;&gt;"",60,10)+IF(AA266&gt;0,MIN(40,AA266*20),0)))</f>
        <v/>
      </c>
      <c r="AA266" s="52">
        <f>IF(T266="","",ROUND(T266*25%+U266*15%+V266*10%+W266*15%+X266*15%+Y266*10%+Z266*10%,0))</f>
        <v/>
      </c>
      <c r="AB266" s="52">
        <f>IF(AA266="","",IF(X266&lt;50,"Selective / Barrier",IF(AA266&gt;=80,"Tier 1 - Pursue",IF(AA266&gt;=70,"Tier 2 - Pursue",IF(AA266&gt;=60,"Tier 3 - Selective","Do Not Pursue")))))</f>
        <v/>
      </c>
      <c r="AC266" s="52">
        <f>IF(C266="","",IF(I266&lt;&gt;"","Named Contact",IF(AA266&gt;0,"Outreach Logged","Cold")))</f>
        <v/>
      </c>
      <c r="AD266" s="52">
        <f>IF(B266="","",COUNTIF('Outreach Log'!$C:$C,B266))</f>
        <v/>
      </c>
      <c r="AE266" s="52">
        <f>IF(A266="","",IF(OR(K266="Rejected",K266="Closed"),IF(L266&lt;&gt;"",L266-A266,TODAY()-A266),TODAY()-A266))</f>
        <v/>
      </c>
      <c r="AF266" s="52">
        <f>IF(C266="","",IF(AND(AA266&gt;=70,AC266="Cold"),"High-fit but cold",IF(AND(AA266&lt;60,K266="Applied"),"Low-fit application",IF(AND(AA266&gt;=70,OR(AC266="Named Contact",AC266="Outreach Logged")),"Targeted pursuit","Review"))))</f>
        <v/>
      </c>
    </row>
    <row r="267" ht="15" customHeight="1" s="44">
      <c r="A267" s="53" t="n">
        <v>46241</v>
      </c>
      <c r="B267" s="48" t="inlineStr">
        <is>
          <t>ProCom Services</t>
        </is>
      </c>
      <c r="C267" s="48" t="inlineStr">
        <is>
          <t>Junior Program Manager x2</t>
        </is>
      </c>
      <c r="D267" s="48" t="n"/>
      <c r="E267" s="48" t="n"/>
      <c r="F267" s="48" t="n"/>
      <c r="G267" s="48" t="n"/>
      <c r="H267" s="48" t="n"/>
      <c r="I267" s="48" t="n"/>
      <c r="J267" s="48" t="n"/>
      <c r="K267" s="57" t="inlineStr">
        <is>
          <t>Screening</t>
        </is>
      </c>
      <c r="L267" s="48" t="n"/>
      <c r="M267" s="48" t="n"/>
      <c r="N267" s="48" t="n"/>
      <c r="O267" s="48" t="n"/>
      <c r="P267" s="51" t="n"/>
      <c r="Q267" s="48" t="n"/>
      <c r="R267" s="48" t="n"/>
      <c r="S267" s="51" t="n"/>
      <c r="T267" s="52">
        <f>IF(G267="","",G267)</f>
        <v/>
      </c>
      <c r="U267" s="52">
        <f>IF(C267="","",IF(OR(ISNUMBER(SEARCH("Director",C267)),ISNUMBER(SEARCH("Lead",C267)),ISNUMBER(SEARCH("Senior",C267)),ISNUMBER(SEARCH("Sr.",C267))),90,IF(OR(ISNUMBER(SEARCH("Manager",C267)),ISNUMBER(SEARCH("Program",C267)),ISNUMBER(SEARCH("Portfolio",C267))),80,60)))</f>
        <v/>
      </c>
      <c r="V267" s="52">
        <f>IF(C267="","",IF(OR(ISNUMBER(SEARCH("AI",C267)),ISNUMBER(SEARCH("Data",C267)),ISNUMBER(SEARCH("Technology",C267)),ISNUMBER(SEARCH("Technical",C267)),ISNUMBER(SEARCH("Engineering",C267)),ISNUMBER(SEARCH("Platform",C267)),ISNUMBER(SEARCH("Portfolio",C267))),85,65))</f>
        <v/>
      </c>
      <c r="W267" s="52">
        <f>IF(C267="","",MIN(100,50+IF(S267&lt;&gt;"",25,0)+IF(R267&lt;&gt;"",15,0)+IF(P267&lt;&gt;"",10,0)))</f>
        <v/>
      </c>
      <c r="X267" s="52">
        <f>IF(E267="","",IF(OR(E267="Canada",E267="CA"),100,IF(OR(E267="United States",E267="USA",E267="US"),IF(J267="Yes",45,75),65)))</f>
        <v/>
      </c>
      <c r="Y267" s="52">
        <f>IF(C267="","",IF(OR(ISNUMBER(SEARCH("Program",C267)),ISNUMBER(SEARCH("Portfolio",C267)),ISNUMBER(SEARCH("Operations",C267)),ISNUMBER(SEARCH("Transformation",C267))),85,IF(ISNUMBER(SEARCH("Product Manager",C267)),55,70)))</f>
        <v/>
      </c>
      <c r="Z267" s="52">
        <f>IF(C267="","",MIN(100,IF(I267&lt;&gt;"",60,10)+IF(AA267&gt;0,MIN(40,AA267*20),0)))</f>
        <v/>
      </c>
      <c r="AA267" s="52">
        <f>IF(T267="","",ROUND(T267*25%+U267*15%+V267*10%+W267*15%+X267*15%+Y267*10%+Z267*10%,0))</f>
        <v/>
      </c>
      <c r="AB267" s="52">
        <f>IF(AA267="","",IF(X267&lt;50,"Selective / Barrier",IF(AA267&gt;=80,"Tier 1 - Pursue",IF(AA267&gt;=70,"Tier 2 - Pursue",IF(AA267&gt;=60,"Tier 3 - Selective","Do Not Pursue")))))</f>
        <v/>
      </c>
      <c r="AC267" s="52">
        <f>IF(C267="","",IF(I267&lt;&gt;"","Named Contact",IF(AA267&gt;0,"Outreach Logged","Cold")))</f>
        <v/>
      </c>
      <c r="AD267" s="52">
        <f>IF(B267="","",COUNTIF('Outreach Log'!$C:$C,B267))</f>
        <v/>
      </c>
      <c r="AE267" s="52">
        <f>IF(A267="","",IF(OR(K267="Rejected",K267="Closed"),IF(L267&lt;&gt;"",L267-A267,TODAY()-A267),TODAY()-A267))</f>
        <v/>
      </c>
      <c r="AF267" s="52">
        <f>IF(C267="","",IF(AND(AA267&gt;=70,AC267="Cold"),"High-fit but cold",IF(AND(AA267&lt;60,K267="Applied"),"Low-fit application",IF(AND(AA267&gt;=70,OR(AC267="Named Contact",AC267="Outreach Logged")),"Targeted pursuit","Review"))))</f>
        <v/>
      </c>
    </row>
    <row r="268" ht="15" customHeight="1" s="44">
      <c r="A268" s="53" t="n">
        <v>46241</v>
      </c>
      <c r="B268" s="48" t="inlineStr">
        <is>
          <t>ProCom Services</t>
        </is>
      </c>
      <c r="C268" s="48" t="inlineStr">
        <is>
          <t>Senior Business Analyst</t>
        </is>
      </c>
      <c r="D268" s="48" t="n"/>
      <c r="E268" s="48" t="n"/>
      <c r="F268" s="48" t="n"/>
      <c r="G268" s="48" t="n"/>
      <c r="H268" s="48" t="n"/>
      <c r="I268" s="48" t="n"/>
      <c r="J268" s="48" t="n"/>
      <c r="K268" s="57" t="inlineStr">
        <is>
          <t>Screening</t>
        </is>
      </c>
      <c r="L268" s="48" t="n"/>
      <c r="M268" s="48" t="n"/>
      <c r="N268" s="48" t="n"/>
      <c r="O268" s="48" t="n"/>
      <c r="P268" s="51" t="n"/>
      <c r="Q268" s="48" t="n"/>
      <c r="R268" s="48" t="n"/>
      <c r="S268" s="51" t="n"/>
      <c r="T268" s="52">
        <f>IF(G268="","",G268)</f>
        <v/>
      </c>
      <c r="U268" s="52">
        <f>IF(C268="","",IF(OR(ISNUMBER(SEARCH("Director",C268)),ISNUMBER(SEARCH("Lead",C268)),ISNUMBER(SEARCH("Senior",C268)),ISNUMBER(SEARCH("Sr.",C268))),90,IF(OR(ISNUMBER(SEARCH("Manager",C268)),ISNUMBER(SEARCH("Program",C268)),ISNUMBER(SEARCH("Portfolio",C268))),80,60)))</f>
        <v/>
      </c>
      <c r="V268" s="52">
        <f>IF(C268="","",IF(OR(ISNUMBER(SEARCH("AI",C268)),ISNUMBER(SEARCH("Data",C268)),ISNUMBER(SEARCH("Technology",C268)),ISNUMBER(SEARCH("Technical",C268)),ISNUMBER(SEARCH("Engineering",C268)),ISNUMBER(SEARCH("Platform",C268)),ISNUMBER(SEARCH("Portfolio",C268))),85,65))</f>
        <v/>
      </c>
      <c r="W268" s="52">
        <f>IF(C268="","",MIN(100,50+IF(S268&lt;&gt;"",25,0)+IF(R268&lt;&gt;"",15,0)+IF(P268&lt;&gt;"",10,0)))</f>
        <v/>
      </c>
      <c r="X268" s="52">
        <f>IF(E268="","",IF(OR(E268="Canada",E268="CA"),100,IF(OR(E268="United States",E268="USA",E268="US"),IF(J268="Yes",45,75),65)))</f>
        <v/>
      </c>
      <c r="Y268" s="52">
        <f>IF(C268="","",IF(OR(ISNUMBER(SEARCH("Program",C268)),ISNUMBER(SEARCH("Portfolio",C268)),ISNUMBER(SEARCH("Operations",C268)),ISNUMBER(SEARCH("Transformation",C268))),85,IF(ISNUMBER(SEARCH("Product Manager",C268)),55,70)))</f>
        <v/>
      </c>
      <c r="Z268" s="52">
        <f>IF(C268="","",MIN(100,IF(I268&lt;&gt;"",60,10)+IF(AA268&gt;0,MIN(40,AA268*20),0)))</f>
        <v/>
      </c>
      <c r="AA268" s="52">
        <f>IF(T268="","",ROUND(T268*25%+U268*15%+V268*10%+W268*15%+X268*15%+Y268*10%+Z268*10%,0))</f>
        <v/>
      </c>
      <c r="AB268" s="52">
        <f>IF(AA268="","",IF(X268&lt;50,"Selective / Barrier",IF(AA268&gt;=80,"Tier 1 - Pursue",IF(AA268&gt;=70,"Tier 2 - Pursue",IF(AA268&gt;=60,"Tier 3 - Selective","Do Not Pursue")))))</f>
        <v/>
      </c>
      <c r="AC268" s="52">
        <f>IF(C268="","",IF(I268&lt;&gt;"","Named Contact",IF(AA268&gt;0,"Outreach Logged","Cold")))</f>
        <v/>
      </c>
      <c r="AD268" s="52">
        <f>IF(B268="","",COUNTIF('Outreach Log'!$C:$C,B268))</f>
        <v/>
      </c>
      <c r="AE268" s="52">
        <f>IF(A268="","",IF(OR(K268="Rejected",K268="Closed"),IF(L268&lt;&gt;"",L268-A268,TODAY()-A268),TODAY()-A268))</f>
        <v/>
      </c>
      <c r="AF268" s="52">
        <f>IF(C268="","",IF(AND(AA268&gt;=70,AC268="Cold"),"High-fit but cold",IF(AND(AA268&lt;60,K268="Applied"),"Low-fit application",IF(AND(AA268&gt;=70,OR(AC268="Named Contact",AC268="Outreach Logged")),"Targeted pursuit","Review"))))</f>
        <v/>
      </c>
    </row>
    <row r="269" ht="15" customHeight="1" s="44">
      <c r="A269" s="53" t="n">
        <v>46241</v>
      </c>
      <c r="B269" s="48" t="inlineStr">
        <is>
          <t>Client Connections</t>
        </is>
      </c>
      <c r="C269" s="48" t="inlineStr">
        <is>
          <t>Junior Program Manager x2</t>
        </is>
      </c>
      <c r="D269" s="48" t="n"/>
      <c r="E269" s="48" t="n"/>
      <c r="F269" s="48" t="n"/>
      <c r="G269" s="48" t="n"/>
      <c r="H269" s="48" t="n"/>
      <c r="I269" s="48" t="n"/>
      <c r="J269" s="48" t="n"/>
      <c r="K269" s="55" t="inlineStr">
        <is>
          <t>Applied</t>
        </is>
      </c>
      <c r="L269" s="48" t="n"/>
      <c r="M269" s="48" t="n"/>
      <c r="N269" s="48" t="n"/>
      <c r="O269" s="48" t="n"/>
      <c r="P269" s="51" t="n"/>
      <c r="Q269" s="48" t="n"/>
      <c r="R269" s="48" t="n"/>
      <c r="S269" s="51" t="n"/>
      <c r="T269" s="52">
        <f>IF(G269="","",G269)</f>
        <v/>
      </c>
      <c r="U269" s="52">
        <f>IF(C269="","",IF(OR(ISNUMBER(SEARCH("Director",C269)),ISNUMBER(SEARCH("Lead",C269)),ISNUMBER(SEARCH("Senior",C269)),ISNUMBER(SEARCH("Sr.",C269))),90,IF(OR(ISNUMBER(SEARCH("Manager",C269)),ISNUMBER(SEARCH("Program",C269)),ISNUMBER(SEARCH("Portfolio",C269))),80,60)))</f>
        <v/>
      </c>
      <c r="V269" s="52">
        <f>IF(C269="","",IF(OR(ISNUMBER(SEARCH("AI",C269)),ISNUMBER(SEARCH("Data",C269)),ISNUMBER(SEARCH("Technology",C269)),ISNUMBER(SEARCH("Technical",C269)),ISNUMBER(SEARCH("Engineering",C269)),ISNUMBER(SEARCH("Platform",C269)),ISNUMBER(SEARCH("Portfolio",C269))),85,65))</f>
        <v/>
      </c>
      <c r="W269" s="52">
        <f>IF(C269="","",MIN(100,50+IF(S269&lt;&gt;"",25,0)+IF(R269&lt;&gt;"",15,0)+IF(P269&lt;&gt;"",10,0)))</f>
        <v/>
      </c>
      <c r="X269" s="52">
        <f>IF(E269="","",IF(OR(E269="Canada",E269="CA"),100,IF(OR(E269="United States",E269="USA",E269="US"),IF(J269="Yes",45,75),65)))</f>
        <v/>
      </c>
      <c r="Y269" s="52">
        <f>IF(C269="","",IF(OR(ISNUMBER(SEARCH("Program",C269)),ISNUMBER(SEARCH("Portfolio",C269)),ISNUMBER(SEARCH("Operations",C269)),ISNUMBER(SEARCH("Transformation",C269))),85,IF(ISNUMBER(SEARCH("Product Manager",C269)),55,70)))</f>
        <v/>
      </c>
      <c r="Z269" s="52">
        <f>IF(C269="","",MIN(100,IF(I269&lt;&gt;"",60,10)+IF(AA269&gt;0,MIN(40,AA269*20),0)))</f>
        <v/>
      </c>
      <c r="AA269" s="52">
        <f>IF(T269="","",ROUND(T269*25%+U269*15%+V269*10%+W269*15%+X269*15%+Y269*10%+Z269*10%,0))</f>
        <v/>
      </c>
      <c r="AB269" s="52">
        <f>IF(AA269="","",IF(X269&lt;50,"Selective / Barrier",IF(AA269&gt;=80,"Tier 1 - Pursue",IF(AA269&gt;=70,"Tier 2 - Pursue",IF(AA269&gt;=60,"Tier 3 - Selective","Do Not Pursue")))))</f>
        <v/>
      </c>
      <c r="AC269" s="52">
        <f>IF(C269="","",IF(I269&lt;&gt;"","Named Contact",IF(AA269&gt;0,"Outreach Logged","Cold")))</f>
        <v/>
      </c>
      <c r="AD269" s="52">
        <f>IF(B269="","",COUNTIF('Outreach Log'!$C:$C,B269))</f>
        <v/>
      </c>
      <c r="AE269" s="52">
        <f>IF(A269="","",IF(OR(K269="Rejected",K269="Closed"),IF(L269&lt;&gt;"",L269-A269,TODAY()-A269),TODAY()-A269))</f>
        <v/>
      </c>
      <c r="AF269" s="52">
        <f>IF(C269="","",IF(AND(AA269&gt;=70,AC269="Cold"),"High-fit but cold",IF(AND(AA269&lt;60,K269="Applied"),"Low-fit application",IF(AND(AA269&gt;=70,OR(AC269="Named Contact",AC269="Outreach Logged")),"Targeted pursuit","Review"))))</f>
        <v/>
      </c>
    </row>
    <row r="270" ht="15" customHeight="1" s="44">
      <c r="A270" s="53" t="n">
        <v>46241</v>
      </c>
      <c r="B270" s="48" t="inlineStr">
        <is>
          <t>Client Connections</t>
        </is>
      </c>
      <c r="C270" s="48" t="inlineStr">
        <is>
          <t>Senior Business Analyst</t>
        </is>
      </c>
      <c r="D270" s="48" t="n"/>
      <c r="E270" s="48" t="n"/>
      <c r="F270" s="48" t="n"/>
      <c r="G270" s="48" t="n"/>
      <c r="H270" s="48" t="n"/>
      <c r="I270" s="48" t="n"/>
      <c r="J270" s="48" t="n"/>
      <c r="K270" s="55" t="inlineStr">
        <is>
          <t>Applied</t>
        </is>
      </c>
      <c r="L270" s="48" t="n"/>
      <c r="M270" s="48" t="n"/>
      <c r="N270" s="48" t="n"/>
      <c r="O270" s="48" t="n"/>
      <c r="P270" s="51" t="n"/>
      <c r="Q270" s="48" t="n"/>
      <c r="R270" s="48" t="n"/>
      <c r="S270" s="51" t="n"/>
      <c r="T270" s="52">
        <f>IF(G270="","",G270)</f>
        <v/>
      </c>
      <c r="U270" s="52">
        <f>IF(C270="","",IF(OR(ISNUMBER(SEARCH("Director",C270)),ISNUMBER(SEARCH("Lead",C270)),ISNUMBER(SEARCH("Senior",C270)),ISNUMBER(SEARCH("Sr.",C270))),90,IF(OR(ISNUMBER(SEARCH("Manager",C270)),ISNUMBER(SEARCH("Program",C270)),ISNUMBER(SEARCH("Portfolio",C270))),80,60)))</f>
        <v/>
      </c>
      <c r="V270" s="52">
        <f>IF(C270="","",IF(OR(ISNUMBER(SEARCH("AI",C270)),ISNUMBER(SEARCH("Data",C270)),ISNUMBER(SEARCH("Technology",C270)),ISNUMBER(SEARCH("Technical",C270)),ISNUMBER(SEARCH("Engineering",C270)),ISNUMBER(SEARCH("Platform",C270)),ISNUMBER(SEARCH("Portfolio",C270))),85,65))</f>
        <v/>
      </c>
      <c r="W270" s="52">
        <f>IF(C270="","",MIN(100,50+IF(S270&lt;&gt;"",25,0)+IF(R270&lt;&gt;"",15,0)+IF(P270&lt;&gt;"",10,0)))</f>
        <v/>
      </c>
      <c r="X270" s="52">
        <f>IF(E270="","",IF(OR(E270="Canada",E270="CA"),100,IF(OR(E270="United States",E270="USA",E270="US"),IF(J270="Yes",45,75),65)))</f>
        <v/>
      </c>
      <c r="Y270" s="52">
        <f>IF(C270="","",IF(OR(ISNUMBER(SEARCH("Program",C270)),ISNUMBER(SEARCH("Portfolio",C270)),ISNUMBER(SEARCH("Operations",C270)),ISNUMBER(SEARCH("Transformation",C270))),85,IF(ISNUMBER(SEARCH("Product Manager",C270)),55,70)))</f>
        <v/>
      </c>
      <c r="Z270" s="52">
        <f>IF(C270="","",MIN(100,IF(I270&lt;&gt;"",60,10)+IF(AA270&gt;0,MIN(40,AA270*20),0)))</f>
        <v/>
      </c>
      <c r="AA270" s="52">
        <f>IF(T270="","",ROUND(T270*25%+U270*15%+V270*10%+W270*15%+X270*15%+Y270*10%+Z270*10%,0))</f>
        <v/>
      </c>
      <c r="AB270" s="52">
        <f>IF(AA270="","",IF(X270&lt;50,"Selective / Barrier",IF(AA270&gt;=80,"Tier 1 - Pursue",IF(AA270&gt;=70,"Tier 2 - Pursue",IF(AA270&gt;=60,"Tier 3 - Selective","Do Not Pursue")))))</f>
        <v/>
      </c>
      <c r="AC270" s="52">
        <f>IF(C270="","",IF(I270&lt;&gt;"","Named Contact",IF(AA270&gt;0,"Outreach Logged","Cold")))</f>
        <v/>
      </c>
      <c r="AD270" s="52">
        <f>IF(B270="","",COUNTIF('Outreach Log'!$C:$C,B270))</f>
        <v/>
      </c>
      <c r="AE270" s="52">
        <f>IF(A270="","",IF(OR(K270="Rejected",K270="Closed"),IF(L270&lt;&gt;"",L270-A270,TODAY()-A270),TODAY()-A270))</f>
        <v/>
      </c>
      <c r="AF270" s="52">
        <f>IF(C270="","",IF(AND(AA270&gt;=70,AC270="Cold"),"High-fit but cold",IF(AND(AA270&lt;60,K270="Applied"),"Low-fit application",IF(AND(AA270&gt;=70,OR(AC270="Named Contact",AC270="Outreach Logged")),"Targeted pursuit","Review"))))</f>
        <v/>
      </c>
    </row>
    <row r="271" ht="15" customHeight="1" s="44">
      <c r="A271" s="53" t="n">
        <v>46243</v>
      </c>
      <c r="B271" s="48" t="inlineStr">
        <is>
          <t>Y Combinator (Pyxaris)</t>
        </is>
      </c>
      <c r="C271" s="48" t="inlineStr">
        <is>
          <t>Fall 2026 batch application</t>
        </is>
      </c>
      <c r="D271" s="48" t="n"/>
      <c r="E271" s="48" t="n"/>
      <c r="F271" s="48" t="n"/>
      <c r="G271" s="48" t="n"/>
      <c r="H271" s="48" t="n"/>
      <c r="I271" s="48" t="n"/>
      <c r="J271" s="48" t="n"/>
      <c r="K271" s="55" t="inlineStr">
        <is>
          <t>Applied</t>
        </is>
      </c>
      <c r="L271" s="48" t="n"/>
      <c r="M271" s="48" t="n"/>
      <c r="N271" s="48" t="n"/>
      <c r="O271" s="48" t="n"/>
      <c r="P271" s="51" t="inlineStr">
        <is>
          <t>Submitted; see Aug 29 rejection</t>
        </is>
      </c>
      <c r="Q271" s="48" t="n"/>
      <c r="R271" s="48" t="n"/>
      <c r="S271" s="51" t="n"/>
      <c r="T271" s="52">
        <f>IF(G271="","",G271)</f>
        <v/>
      </c>
      <c r="U271" s="52">
        <f>IF(C271="","",IF(OR(ISNUMBER(SEARCH("Director",C271)),ISNUMBER(SEARCH("Lead",C271)),ISNUMBER(SEARCH("Senior",C271)),ISNUMBER(SEARCH("Sr.",C271))),90,IF(OR(ISNUMBER(SEARCH("Manager",C271)),ISNUMBER(SEARCH("Program",C271)),ISNUMBER(SEARCH("Portfolio",C271))),80,60)))</f>
        <v/>
      </c>
      <c r="V271" s="52">
        <f>IF(C271="","",IF(OR(ISNUMBER(SEARCH("AI",C271)),ISNUMBER(SEARCH("Data",C271)),ISNUMBER(SEARCH("Technology",C271)),ISNUMBER(SEARCH("Technical",C271)),ISNUMBER(SEARCH("Engineering",C271)),ISNUMBER(SEARCH("Platform",C271)),ISNUMBER(SEARCH("Portfolio",C271))),85,65))</f>
        <v/>
      </c>
      <c r="W271" s="52">
        <f>IF(C271="","",MIN(100,50+IF(S271&lt;&gt;"",25,0)+IF(R271&lt;&gt;"",15,0)+IF(P271&lt;&gt;"",10,0)))</f>
        <v/>
      </c>
      <c r="X271" s="52">
        <f>IF(E271="","",IF(OR(E271="Canada",E271="CA"),100,IF(OR(E271="United States",E271="USA",E271="US"),IF(J271="Yes",45,75),65)))</f>
        <v/>
      </c>
      <c r="Y271" s="52">
        <f>IF(C271="","",IF(OR(ISNUMBER(SEARCH("Program",C271)),ISNUMBER(SEARCH("Portfolio",C271)),ISNUMBER(SEARCH("Operations",C271)),ISNUMBER(SEARCH("Transformation",C271))),85,IF(ISNUMBER(SEARCH("Product Manager",C271)),55,70)))</f>
        <v/>
      </c>
      <c r="Z271" s="52">
        <f>IF(C271="","",MIN(100,IF(I271&lt;&gt;"",60,10)+IF(AA271&gt;0,MIN(40,AA271*20),0)))</f>
        <v/>
      </c>
      <c r="AA271" s="52">
        <f>IF(T271="","",ROUND(T271*25%+U271*15%+V271*10%+W271*15%+X271*15%+Y271*10%+Z271*10%,0))</f>
        <v/>
      </c>
      <c r="AB271" s="52">
        <f>IF(AA271="","",IF(X271&lt;50,"Selective / Barrier",IF(AA271&gt;=80,"Tier 1 - Pursue",IF(AA271&gt;=70,"Tier 2 - Pursue",IF(AA271&gt;=60,"Tier 3 - Selective","Do Not Pursue")))))</f>
        <v/>
      </c>
      <c r="AC271" s="52">
        <f>IF(C271="","",IF(I271&lt;&gt;"","Named Contact",IF(AA271&gt;0,"Outreach Logged","Cold")))</f>
        <v/>
      </c>
      <c r="AD271" s="52">
        <f>IF(B271="","",COUNTIF('Outreach Log'!$C:$C,B271))</f>
        <v/>
      </c>
      <c r="AE271" s="52">
        <f>IF(A271="","",IF(OR(K271="Rejected",K271="Closed"),IF(L271&lt;&gt;"",L271-A271,TODAY()-A271),TODAY()-A271))</f>
        <v/>
      </c>
      <c r="AF271" s="52">
        <f>IF(C271="","",IF(AND(AA271&gt;=70,AC271="Cold"),"High-fit but cold",IF(AND(AA271&lt;60,K271="Applied"),"Low-fit application",IF(AND(AA271&gt;=70,OR(AC271="Named Contact",AC271="Outreach Logged")),"Targeted pursuit","Review"))))</f>
        <v/>
      </c>
    </row>
    <row r="272" ht="15" customHeight="1" s="44">
      <c r="A272" s="53" t="n">
        <v>46244</v>
      </c>
      <c r="B272" s="48" t="inlineStr">
        <is>
          <t>AstraZeneca</t>
        </is>
      </c>
      <c r="C272" s="48" t="inlineStr">
        <is>
          <t>Director, AI/Digital Product Governance</t>
        </is>
      </c>
      <c r="D272" s="48" t="inlineStr">
        <is>
          <t>Director</t>
        </is>
      </c>
      <c r="E272" s="48" t="inlineStr">
        <is>
          <t>Canada</t>
        </is>
      </c>
      <c r="F272" s="48" t="inlineStr">
        <is>
          <t>Toronto</t>
        </is>
      </c>
      <c r="G272" s="48" t="n">
        <v>78</v>
      </c>
      <c r="H272" s="48" t="inlineStr">
        <is>
          <t>Cold Portal</t>
        </is>
      </c>
      <c r="I272" s="48" t="n"/>
      <c r="J272" s="48" t="inlineStr">
        <is>
          <t>No</t>
        </is>
      </c>
      <c r="K272" s="49" t="inlineStr">
        <is>
          <t>Rejected</t>
        </is>
      </c>
      <c r="L272" s="50" t="n">
        <v>46251</v>
      </c>
      <c r="M272" s="48">
        <f>IF(OR(L155="",A155=""),"",L155-A155)</f>
        <v/>
      </c>
      <c r="N272" s="48" t="n"/>
      <c r="O272" s="48" t="n"/>
      <c r="P272" s="51" t="inlineStr">
        <is>
          <t>Regulatory function - portfolio governance + digital product ownership dual role. Strong match on SAFe LPM/LeanIX portfolio governance, IBM Product Owner backlog experience, Bell TCO AI product on Vertex AI. Gap: no bio-pharma/drug regulatory domain - addressed via regulated-industry thread (telecom, financial services, public-sector health) and IBM Watson Health state/federal engagements. Used new AstraZeneca-tailored resume incl. corrected IBM TPM website-team bullets and restored IBM Senior Consultant GBS role. Location assumed Canada/Mississauga - verify against posting. REJECTED 2026-08-17 6:49pm ET via Workday (astrazeneca@myworkday.com), req R-248709: "chosen to interview other candidates." Follow-up status notice received 2026-08-18 (az-recruitment.com).</t>
        </is>
      </c>
      <c r="Q272" s="48" t="n"/>
      <c r="R272" s="48" t="n"/>
      <c r="S272" s="51" t="n"/>
      <c r="T272" s="52">
        <f>IF(G272="","",G272)</f>
        <v/>
      </c>
      <c r="U272" s="52">
        <f>IF(C272="","",IF(OR(ISNUMBER(SEARCH("Director",C272)),ISNUMBER(SEARCH("Lead",C272)),ISNUMBER(SEARCH("Senior",C272)),ISNUMBER(SEARCH("Sr.",C272))),90,IF(OR(ISNUMBER(SEARCH("Manager",C272)),ISNUMBER(SEARCH("Program",C272)),ISNUMBER(SEARCH("Portfolio",C272))),80,60)))</f>
        <v/>
      </c>
      <c r="V272" s="52">
        <f>IF(C272="","",IF(OR(ISNUMBER(SEARCH("AI",C272)),ISNUMBER(SEARCH("Data",C272)),ISNUMBER(SEARCH("Technology",C272)),ISNUMBER(SEARCH("Technical",C272)),ISNUMBER(SEARCH("Engineering",C272)),ISNUMBER(SEARCH("Platform",C272)),ISNUMBER(SEARCH("Portfolio",C272))),85,65))</f>
        <v/>
      </c>
      <c r="W272" s="52">
        <f>IF(C272="","",MIN(100,50+IF(S272&lt;&gt;"",25,0)+IF(R272&lt;&gt;"",15,0)+IF(P272&lt;&gt;"",10,0)))</f>
        <v/>
      </c>
      <c r="X272" s="52">
        <f>IF(E272="","",IF(OR(E272="Canada",E272="CA"),100,IF(OR(E272="United States",E272="USA",E272="US"),IF(J272="Yes",45,75),65)))</f>
        <v/>
      </c>
      <c r="Y272" s="52">
        <f>IF(C272="","",IF(OR(ISNUMBER(SEARCH("Program",C272)),ISNUMBER(SEARCH("Portfolio",C272)),ISNUMBER(SEARCH("Operations",C272)),ISNUMBER(SEARCH("Transformation",C272))),85,IF(ISNUMBER(SEARCH("Product Manager",C272)),55,70)))</f>
        <v/>
      </c>
      <c r="Z272" s="52">
        <f>IF(C272="","",MIN(100,IF(I272&lt;&gt;"",60,10)+IF(AA272&gt;0,MIN(40,AA272*20),0)))</f>
        <v/>
      </c>
      <c r="AA272" s="52">
        <f>IF(T272="","",ROUND(T272*25%+U272*15%+V272*10%+W272*15%+X272*15%+Y272*10%+Z272*10%,0))</f>
        <v/>
      </c>
      <c r="AB272" s="52">
        <f>IF(AA272="","",IF(X272&lt;50,"Selective / Barrier",IF(AA272&gt;=80,"Tier 1 - Pursue",IF(AA272&gt;=70,"Tier 2 - Pursue",IF(AA272&gt;=60,"Tier 3 - Selective","Do Not Pursue")))))</f>
        <v/>
      </c>
      <c r="AC272" s="52">
        <f>IF(C272="","",IF(I272&lt;&gt;"","Named Contact",IF(AA272&gt;0,"Outreach Logged","Cold")))</f>
        <v/>
      </c>
      <c r="AD272" s="52">
        <f>IF(B272="","",COUNTIF('Outreach Log'!$C:$C,B272))</f>
        <v/>
      </c>
      <c r="AE272" s="52">
        <f>IF(A272="","",IF(OR(K272="Rejected",K272="Closed"),IF(L272&lt;&gt;"",L272-A272,TODAY()-A272),TODAY()-A272))</f>
        <v/>
      </c>
      <c r="AF272" s="52">
        <f>IF(C272="","",IF(AND(AA272&gt;=70,AC272="Cold"),"High-fit but cold",IF(AND(AA272&lt;60,K272="Applied"),"Low-fit application",IF(AND(AA272&gt;=70,OR(AC272="Named Contact",AC272="Outreach Logged")),"Targeted pursuit","Review"))))</f>
        <v/>
      </c>
    </row>
    <row r="273" ht="15" customHeight="1" s="44">
      <c r="A273" s="53" t="n">
        <v>46244</v>
      </c>
      <c r="B273" s="48" t="inlineStr">
        <is>
          <t>McKesson</t>
        </is>
      </c>
      <c r="C273" s="48" t="inlineStr">
        <is>
          <t>Principal Technology Portfolio Management Leader</t>
        </is>
      </c>
      <c r="D273" s="48" t="inlineStr">
        <is>
          <t>Principal</t>
        </is>
      </c>
      <c r="E273" s="48" t="inlineStr">
        <is>
          <t>Canada</t>
        </is>
      </c>
      <c r="F273" s="48" t="inlineStr">
        <is>
          <t>Toronto</t>
        </is>
      </c>
      <c r="G273" s="48" t="n">
        <v>88</v>
      </c>
      <c r="H273" s="48" t="inlineStr">
        <is>
          <t>Cold Portal</t>
        </is>
      </c>
      <c r="I273" s="48" t="n"/>
      <c r="J273" s="48" t="inlineStr">
        <is>
          <t>No</t>
        </is>
      </c>
      <c r="K273" s="55" t="inlineStr">
        <is>
          <t>Applied</t>
        </is>
      </c>
      <c r="L273" s="48" t="n"/>
      <c r="M273" s="48">
        <f>IF(OR(L156="",A156=""),"",L156-A156)</f>
        <v/>
      </c>
      <c r="N273" s="48" t="n"/>
      <c r="O273" s="48" t="n"/>
      <c r="P273" s="51" t="inlineStr">
        <is>
          <t>Confirmed via McKesson Workday 08/10 9:33am ET. STRONGEST FIT TO DATE (88%). JD asks for portfolio intake/prioritization/sequencing, Finance partnership on budget + benefits realization, enterprise architecture anchoring, VP/SVP/C-suite engagement WITH consulting background, and SAFe cert - all directly matched (Bell portfolio governance + TCO/Finance work, IBM GBS consulting, SAFe LPM). Gap: names Planview/Clarity PPM; Elena has LeanIX (same category, different tool). Used new PortfolioManagement_Director resume. Canada-based role - no sponsorship required.</t>
        </is>
      </c>
      <c r="Q273" s="48" t="n"/>
      <c r="R273" s="48" t="n"/>
      <c r="S273" s="51" t="n"/>
      <c r="T273" s="52">
        <f>IF(G273="","",G273)</f>
        <v/>
      </c>
      <c r="U273" s="52">
        <f>IF(C273="","",IF(OR(ISNUMBER(SEARCH("Director",C273)),ISNUMBER(SEARCH("Lead",C273)),ISNUMBER(SEARCH("Senior",C273)),ISNUMBER(SEARCH("Sr.",C273))),90,IF(OR(ISNUMBER(SEARCH("Manager",C273)),ISNUMBER(SEARCH("Program",C273)),ISNUMBER(SEARCH("Portfolio",C273))),80,60)))</f>
        <v/>
      </c>
      <c r="V273" s="52">
        <f>IF(C273="","",IF(OR(ISNUMBER(SEARCH("AI",C273)),ISNUMBER(SEARCH("Data",C273)),ISNUMBER(SEARCH("Technology",C273)),ISNUMBER(SEARCH("Technical",C273)),ISNUMBER(SEARCH("Engineering",C273)),ISNUMBER(SEARCH("Platform",C273)),ISNUMBER(SEARCH("Portfolio",C273))),85,65))</f>
        <v/>
      </c>
      <c r="W273" s="52">
        <f>IF(C273="","",MIN(100,50+IF(S273&lt;&gt;"",25,0)+IF(R273&lt;&gt;"",15,0)+IF(P273&lt;&gt;"",10,0)))</f>
        <v/>
      </c>
      <c r="X273" s="52">
        <f>IF(E273="","",IF(OR(E273="Canada",E273="CA"),100,IF(OR(E273="United States",E273="USA",E273="US"),IF(J273="Yes",45,75),65)))</f>
        <v/>
      </c>
      <c r="Y273" s="52">
        <f>IF(C273="","",IF(OR(ISNUMBER(SEARCH("Program",C273)),ISNUMBER(SEARCH("Portfolio",C273)),ISNUMBER(SEARCH("Operations",C273)),ISNUMBER(SEARCH("Transformation",C273))),85,IF(ISNUMBER(SEARCH("Product Manager",C273)),55,70)))</f>
        <v/>
      </c>
      <c r="Z273" s="52">
        <f>IF(C273="","",MIN(100,IF(I273&lt;&gt;"",60,10)+IF(AA273&gt;0,MIN(40,AA273*20),0)))</f>
        <v/>
      </c>
      <c r="AA273" s="52">
        <f>IF(T273="","",ROUND(T273*25%+U273*15%+V273*10%+W273*15%+X273*15%+Y273*10%+Z273*10%,0))</f>
        <v/>
      </c>
      <c r="AB273" s="52">
        <f>IF(AA273="","",IF(X273&lt;50,"Selective / Barrier",IF(AA273&gt;=80,"Tier 1 - Pursue",IF(AA273&gt;=70,"Tier 2 - Pursue",IF(AA273&gt;=60,"Tier 3 - Selective","Do Not Pursue")))))</f>
        <v/>
      </c>
      <c r="AC273" s="52">
        <f>IF(C273="","",IF(I273&lt;&gt;"","Named Contact",IF(AA273&gt;0,"Outreach Logged","Cold")))</f>
        <v/>
      </c>
      <c r="AD273" s="52">
        <f>IF(B273="","",COUNTIF('Outreach Log'!$C:$C,B273))</f>
        <v/>
      </c>
      <c r="AE273" s="52">
        <f>IF(A273="","",IF(OR(K273="Rejected",K273="Closed"),IF(L273&lt;&gt;"",L273-A273,TODAY()-A273),TODAY()-A273))</f>
        <v/>
      </c>
      <c r="AF273" s="52">
        <f>IF(C273="","",IF(AND(AA273&gt;=70,AC273="Cold"),"High-fit but cold",IF(AND(AA273&lt;60,K273="Applied"),"Low-fit application",IF(AND(AA273&gt;=70,OR(AC273="Named Contact",AC273="Outreach Logged")),"Targeted pursuit","Review"))))</f>
        <v/>
      </c>
    </row>
    <row r="274" ht="15" customHeight="1" s="44">
      <c r="A274" s="53" t="n">
        <v>46244</v>
      </c>
      <c r="B274" s="48" t="inlineStr">
        <is>
          <t>CentriLogic</t>
        </is>
      </c>
      <c r="C274" s="48" t="inlineStr">
        <is>
          <t>AI - Business Transformation Lead</t>
        </is>
      </c>
      <c r="D274" s="48" t="inlineStr">
        <is>
          <t>Lead</t>
        </is>
      </c>
      <c r="E274" s="48" t="inlineStr">
        <is>
          <t>Canada</t>
        </is>
      </c>
      <c r="F274" s="48" t="inlineStr">
        <is>
          <t>Toronto</t>
        </is>
      </c>
      <c r="G274" s="48" t="n">
        <v>82</v>
      </c>
      <c r="H274" s="48" t="inlineStr">
        <is>
          <t>Cold Portal</t>
        </is>
      </c>
      <c r="I274" s="48" t="n"/>
      <c r="J274" s="48" t="inlineStr">
        <is>
          <t>No</t>
        </is>
      </c>
      <c r="K274" s="55" t="inlineStr">
        <is>
          <t>Applied</t>
        </is>
      </c>
      <c r="L274" s="48" t="n"/>
      <c r="M274" s="48">
        <f>IF(OR(L157="",A157=""),"",L157-A157)</f>
        <v/>
      </c>
      <c r="N274" s="48" t="n"/>
      <c r="O274" s="48" t="n"/>
      <c r="P274" s="51" t="inlineStr">
        <is>
          <t>Confirmed via BambooHR 08/10 10:05am ET. Consulting-flavoured transformation role: TMO/program governance, multi-workstream, executive advisory, multiple concurrent client engagements. Strong match on Bell transformation governance (standards/stage gates/decision forums), 3 concurrent Bell programs, Amazon multi-program balancing, IBM GBS consulting methodology. GAP: client-facing consulting recency - IBM GBS ended 2018; Amazon/Bell work is in-house, not client delivery. Expect probing on this. Used new BusinessTransformationLead resume.</t>
        </is>
      </c>
      <c r="Q274" s="48" t="n"/>
      <c r="R274" s="48" t="n"/>
      <c r="S274" s="51" t="n"/>
      <c r="T274" s="52">
        <f>IF(G274="","",G274)</f>
        <v/>
      </c>
      <c r="U274" s="52">
        <f>IF(C274="","",IF(OR(ISNUMBER(SEARCH("Director",C274)),ISNUMBER(SEARCH("Lead",C274)),ISNUMBER(SEARCH("Senior",C274)),ISNUMBER(SEARCH("Sr.",C274))),90,IF(OR(ISNUMBER(SEARCH("Manager",C274)),ISNUMBER(SEARCH("Program",C274)),ISNUMBER(SEARCH("Portfolio",C274))),80,60)))</f>
        <v/>
      </c>
      <c r="V274" s="52">
        <f>IF(C274="","",IF(OR(ISNUMBER(SEARCH("AI",C274)),ISNUMBER(SEARCH("Data",C274)),ISNUMBER(SEARCH("Technology",C274)),ISNUMBER(SEARCH("Technical",C274)),ISNUMBER(SEARCH("Engineering",C274)),ISNUMBER(SEARCH("Platform",C274)),ISNUMBER(SEARCH("Portfolio",C274))),85,65))</f>
        <v/>
      </c>
      <c r="W274" s="52">
        <f>IF(C274="","",MIN(100,50+IF(S274&lt;&gt;"",25,0)+IF(R274&lt;&gt;"",15,0)+IF(P274&lt;&gt;"",10,0)))</f>
        <v/>
      </c>
      <c r="X274" s="52">
        <f>IF(E274="","",IF(OR(E274="Canada",E274="CA"),100,IF(OR(E274="United States",E274="USA",E274="US"),IF(J274="Yes",45,75),65)))</f>
        <v/>
      </c>
      <c r="Y274" s="52">
        <f>IF(C274="","",IF(OR(ISNUMBER(SEARCH("Program",C274)),ISNUMBER(SEARCH("Portfolio",C274)),ISNUMBER(SEARCH("Operations",C274)),ISNUMBER(SEARCH("Transformation",C274))),85,IF(ISNUMBER(SEARCH("Product Manager",C274)),55,70)))</f>
        <v/>
      </c>
      <c r="Z274" s="52">
        <f>IF(C274="","",MIN(100,IF(I274&lt;&gt;"",60,10)+IF(AA274&gt;0,MIN(40,AA274*20),0)))</f>
        <v/>
      </c>
      <c r="AA274" s="52">
        <f>IF(T274="","",ROUND(T274*25%+U274*15%+V274*10%+W274*15%+X274*15%+Y274*10%+Z274*10%,0))</f>
        <v/>
      </c>
      <c r="AB274" s="52">
        <f>IF(AA274="","",IF(X274&lt;50,"Selective / Barrier",IF(AA274&gt;=80,"Tier 1 - Pursue",IF(AA274&gt;=70,"Tier 2 - Pursue",IF(AA274&gt;=60,"Tier 3 - Selective","Do Not Pursue")))))</f>
        <v/>
      </c>
      <c r="AC274" s="52">
        <f>IF(C274="","",IF(I274&lt;&gt;"","Named Contact",IF(AA274&gt;0,"Outreach Logged","Cold")))</f>
        <v/>
      </c>
      <c r="AD274" s="52">
        <f>IF(B274="","",COUNTIF('Outreach Log'!$C:$C,B274))</f>
        <v/>
      </c>
      <c r="AE274" s="52">
        <f>IF(A274="","",IF(OR(K274="Rejected",K274="Closed"),IF(L274&lt;&gt;"",L274-A274,TODAY()-A274),TODAY()-A274))</f>
        <v/>
      </c>
      <c r="AF274" s="52">
        <f>IF(C274="","",IF(AND(AA274&gt;=70,AC274="Cold"),"High-fit but cold",IF(AND(AA274&lt;60,K274="Applied"),"Low-fit application",IF(AND(AA274&gt;=70,OR(AC274="Named Contact",AC274="Outreach Logged")),"Targeted pursuit","Review"))))</f>
        <v/>
      </c>
    </row>
    <row r="275" ht="15" customHeight="1" s="44">
      <c r="A275" s="53" t="n">
        <v>46244</v>
      </c>
      <c r="B275" s="48" t="inlineStr">
        <is>
          <t>Microsoft</t>
        </is>
      </c>
      <c r="C275" s="48" t="inlineStr">
        <is>
          <t>Principal Project Manager - Industry Solutions Delivery (ISD)</t>
        </is>
      </c>
      <c r="D275" s="48" t="inlineStr">
        <is>
          <t>Principal</t>
        </is>
      </c>
      <c r="E275" s="48" t="inlineStr">
        <is>
          <t>Canada</t>
        </is>
      </c>
      <c r="F275" s="48" t="inlineStr">
        <is>
          <t>Toronto</t>
        </is>
      </c>
      <c r="G275" s="48" t="n">
        <v>76</v>
      </c>
      <c r="H275" s="48" t="inlineStr">
        <is>
          <t>Cold Portal</t>
        </is>
      </c>
      <c r="I275" s="48" t="n"/>
      <c r="J275" s="48" t="inlineStr">
        <is>
          <t>No</t>
        </is>
      </c>
      <c r="K275" s="55" t="inlineStr">
        <is>
          <t>Applied</t>
        </is>
      </c>
      <c r="L275" s="48" t="n"/>
      <c r="M275" s="48">
        <f>IF(OR(L158="",A158=""),"",L158-A158)</f>
        <v/>
      </c>
      <c r="N275" s="48" t="n"/>
      <c r="O275" s="48" t="n"/>
      <c r="P275" s="51" t="inlineStr">
        <is>
          <t>Customer-facing single-threaded delivery leader for large Microsoft transformation programs. Strong on: enterprise transformation ownership, governance structures/operating rhythms, program financials + risk, matrixed orchestration, IBM GBS consulting/SI background (explicitly preferred), AI-powered transformation. GAPS: (1) Microsoft stack - JD names Copilot/Azure AI/Fabric; Elena AI work was Google Vertex AI. (2) Customer-facing delivery recency - client work is IBM GBS ending 2018; Amazon/Bell in-house. (3) French listed as asset - Elena has Russian not French. Used Microsoft_PrincipalPM resume (Vertex AI softened to cloud AI services - state plainly if asked).</t>
        </is>
      </c>
      <c r="Q275" s="48" t="n"/>
      <c r="R275" s="48" t="n"/>
      <c r="S275" s="51" t="n"/>
      <c r="T275" s="52">
        <f>IF(G275="","",G275)</f>
        <v/>
      </c>
      <c r="U275" s="52">
        <f>IF(C275="","",IF(OR(ISNUMBER(SEARCH("Director",C275)),ISNUMBER(SEARCH("Lead",C275)),ISNUMBER(SEARCH("Senior",C275)),ISNUMBER(SEARCH("Sr.",C275))),90,IF(OR(ISNUMBER(SEARCH("Manager",C275)),ISNUMBER(SEARCH("Program",C275)),ISNUMBER(SEARCH("Portfolio",C275))),80,60)))</f>
        <v/>
      </c>
      <c r="V275" s="52">
        <f>IF(C275="","",IF(OR(ISNUMBER(SEARCH("AI",C275)),ISNUMBER(SEARCH("Data",C275)),ISNUMBER(SEARCH("Technology",C275)),ISNUMBER(SEARCH("Technical",C275)),ISNUMBER(SEARCH("Engineering",C275)),ISNUMBER(SEARCH("Platform",C275)),ISNUMBER(SEARCH("Portfolio",C275))),85,65))</f>
        <v/>
      </c>
      <c r="W275" s="52">
        <f>IF(C275="","",MIN(100,50+IF(S275&lt;&gt;"",25,0)+IF(R275&lt;&gt;"",15,0)+IF(P275&lt;&gt;"",10,0)))</f>
        <v/>
      </c>
      <c r="X275" s="52">
        <f>IF(E275="","",IF(OR(E275="Canada",E275="CA"),100,IF(OR(E275="United States",E275="USA",E275="US"),IF(J275="Yes",45,75),65)))</f>
        <v/>
      </c>
      <c r="Y275" s="52">
        <f>IF(C275="","",IF(OR(ISNUMBER(SEARCH("Program",C275)),ISNUMBER(SEARCH("Portfolio",C275)),ISNUMBER(SEARCH("Operations",C275)),ISNUMBER(SEARCH("Transformation",C275))),85,IF(ISNUMBER(SEARCH("Product Manager",C275)),55,70)))</f>
        <v/>
      </c>
      <c r="Z275" s="52">
        <f>IF(C275="","",MIN(100,IF(I275&lt;&gt;"",60,10)+IF(AA275&gt;0,MIN(40,AA275*20),0)))</f>
        <v/>
      </c>
      <c r="AA275" s="52">
        <f>IF(T275="","",ROUND(T275*25%+U275*15%+V275*10%+W275*15%+X275*15%+Y275*10%+Z275*10%,0))</f>
        <v/>
      </c>
      <c r="AB275" s="52">
        <f>IF(AA275="","",IF(X275&lt;50,"Selective / Barrier",IF(AA275&gt;=80,"Tier 1 - Pursue",IF(AA275&gt;=70,"Tier 2 - Pursue",IF(AA275&gt;=60,"Tier 3 - Selective","Do Not Pursue")))))</f>
        <v/>
      </c>
      <c r="AC275" s="52">
        <f>IF(C275="","",IF(I275&lt;&gt;"","Named Contact",IF(AA275&gt;0,"Outreach Logged","Cold")))</f>
        <v/>
      </c>
      <c r="AD275" s="52">
        <f>IF(B275="","",COUNTIF('Outreach Log'!$C:$C,B275))</f>
        <v/>
      </c>
      <c r="AE275" s="52">
        <f>IF(A275="","",IF(OR(K275="Rejected",K275="Closed"),IF(L275&lt;&gt;"",L275-A275,TODAY()-A275),TODAY()-A275))</f>
        <v/>
      </c>
      <c r="AF275" s="52">
        <f>IF(C275="","",IF(AND(AA275&gt;=70,AC275="Cold"),"High-fit but cold",IF(AND(AA275&lt;60,K275="Applied"),"Low-fit application",IF(AND(AA275&gt;=70,OR(AC275="Named Contact",AC275="Outreach Logged")),"Targeted pursuit","Review"))))</f>
        <v/>
      </c>
    </row>
    <row r="276" ht="15" customHeight="1" s="44">
      <c r="A276" s="53" t="n">
        <v>46244</v>
      </c>
      <c r="B276" s="48" t="inlineStr">
        <is>
          <t>Microsoft</t>
        </is>
      </c>
      <c r="C276" s="48" t="inlineStr">
        <is>
          <t>Principal Project Manager</t>
        </is>
      </c>
      <c r="D276" s="48" t="n"/>
      <c r="E276" s="48" t="n"/>
      <c r="F276" s="48" t="n"/>
      <c r="G276" s="48" t="n"/>
      <c r="H276" s="48" t="n"/>
      <c r="I276" s="48" t="n"/>
      <c r="J276" s="48" t="n"/>
      <c r="K276" s="55" t="inlineStr">
        <is>
          <t>Applied</t>
        </is>
      </c>
      <c r="L276" s="48" t="n"/>
      <c r="M276" s="48" t="n"/>
      <c r="N276" s="48" t="n"/>
      <c r="O276" s="48" t="n"/>
      <c r="P276" s="51" t="n"/>
      <c r="Q276" s="48" t="n"/>
      <c r="R276" s="48" t="n"/>
      <c r="S276" s="51" t="n"/>
      <c r="T276" s="52">
        <f>IF(G276="","",G276)</f>
        <v/>
      </c>
      <c r="U276" s="52">
        <f>IF(C276="","",IF(OR(ISNUMBER(SEARCH("Director",C276)),ISNUMBER(SEARCH("Lead",C276)),ISNUMBER(SEARCH("Senior",C276)),ISNUMBER(SEARCH("Sr.",C276))),90,IF(OR(ISNUMBER(SEARCH("Manager",C276)),ISNUMBER(SEARCH("Program",C276)),ISNUMBER(SEARCH("Portfolio",C276))),80,60)))</f>
        <v/>
      </c>
      <c r="V276" s="52">
        <f>IF(C276="","",IF(OR(ISNUMBER(SEARCH("AI",C276)),ISNUMBER(SEARCH("Data",C276)),ISNUMBER(SEARCH("Technology",C276)),ISNUMBER(SEARCH("Technical",C276)),ISNUMBER(SEARCH("Engineering",C276)),ISNUMBER(SEARCH("Platform",C276)),ISNUMBER(SEARCH("Portfolio",C276))),85,65))</f>
        <v/>
      </c>
      <c r="W276" s="52">
        <f>IF(C276="","",MIN(100,50+IF(S276&lt;&gt;"",25,0)+IF(R276&lt;&gt;"",15,0)+IF(P276&lt;&gt;"",10,0)))</f>
        <v/>
      </c>
      <c r="X276" s="52">
        <f>IF(E276="","",IF(OR(E276="Canada",E276="CA"),100,IF(OR(E276="United States",E276="USA",E276="US"),IF(J276="Yes",45,75),65)))</f>
        <v/>
      </c>
      <c r="Y276" s="52">
        <f>IF(C276="","",IF(OR(ISNUMBER(SEARCH("Program",C276)),ISNUMBER(SEARCH("Portfolio",C276)),ISNUMBER(SEARCH("Operations",C276)),ISNUMBER(SEARCH("Transformation",C276))),85,IF(ISNUMBER(SEARCH("Product Manager",C276)),55,70)))</f>
        <v/>
      </c>
      <c r="Z276" s="52">
        <f>IF(C276="","",MIN(100,IF(I276&lt;&gt;"",60,10)+IF(AA276&gt;0,MIN(40,AA276*20),0)))</f>
        <v/>
      </c>
      <c r="AA276" s="52">
        <f>IF(T276="","",ROUND(T276*25%+U276*15%+V276*10%+W276*15%+X276*15%+Y276*10%+Z276*10%,0))</f>
        <v/>
      </c>
      <c r="AB276" s="52">
        <f>IF(AA276="","",IF(X276&lt;50,"Selective / Barrier",IF(AA276&gt;=80,"Tier 1 - Pursue",IF(AA276&gt;=70,"Tier 2 - Pursue",IF(AA276&gt;=60,"Tier 3 - Selective","Do Not Pursue")))))</f>
        <v/>
      </c>
      <c r="AC276" s="52">
        <f>IF(C276="","",IF(I276&lt;&gt;"","Named Contact",IF(AA276&gt;0,"Outreach Logged","Cold")))</f>
        <v/>
      </c>
      <c r="AD276" s="52">
        <f>IF(B276="","",COUNTIF('Outreach Log'!$C:$C,B276))</f>
        <v/>
      </c>
      <c r="AE276" s="52">
        <f>IF(A276="","",IF(OR(K276="Rejected",K276="Closed"),IF(L276&lt;&gt;"",L276-A276,TODAY()-A276),TODAY()-A276))</f>
        <v/>
      </c>
      <c r="AF276" s="52">
        <f>IF(C276="","",IF(AND(AA276&gt;=70,AC276="Cold"),"High-fit but cold",IF(AND(AA276&lt;60,K276="Applied"),"Low-fit application",IF(AND(AA276&gt;=70,OR(AC276="Named Contact",AC276="Outreach Logged")),"Targeted pursuit","Review"))))</f>
        <v/>
      </c>
    </row>
    <row r="277" ht="15" customHeight="1" s="44">
      <c r="A277" s="53" t="n">
        <v>46244</v>
      </c>
      <c r="B277" s="48" t="inlineStr">
        <is>
          <t>NVIDIA</t>
        </is>
      </c>
      <c r="C277" s="48" t="inlineStr">
        <is>
          <t>Sr Technical Program Manager (JR2021406)</t>
        </is>
      </c>
      <c r="D277" s="48" t="n"/>
      <c r="E277" s="48" t="n"/>
      <c r="F277" s="48" t="n"/>
      <c r="G277" s="48" t="n"/>
      <c r="H277" s="48" t="n"/>
      <c r="I277" s="48" t="n"/>
      <c r="J277" s="48" t="n"/>
      <c r="K277" s="49" t="inlineStr">
        <is>
          <t>Rejected</t>
        </is>
      </c>
      <c r="L277" s="48" t="n"/>
      <c r="M277" s="48" t="n"/>
      <c r="N277" s="48" t="n"/>
      <c r="O277" s="48" t="n"/>
      <c r="P277" s="51" t="inlineStr">
        <is>
          <t xml:space="preserve">Rejected (per Greenhouse portal review, Sep 20 2026). </t>
        </is>
      </c>
      <c r="Q277" s="48" t="n"/>
      <c r="R277" s="48" t="n"/>
      <c r="S277" s="51" t="n"/>
      <c r="T277" s="52">
        <f>IF(G277="","",G277)</f>
        <v/>
      </c>
      <c r="U277" s="52">
        <f>IF(C277="","",IF(OR(ISNUMBER(SEARCH("Director",C277)),ISNUMBER(SEARCH("Lead",C277)),ISNUMBER(SEARCH("Senior",C277)),ISNUMBER(SEARCH("Sr.",C277))),90,IF(OR(ISNUMBER(SEARCH("Manager",C277)),ISNUMBER(SEARCH("Program",C277)),ISNUMBER(SEARCH("Portfolio",C277))),80,60)))</f>
        <v/>
      </c>
      <c r="V277" s="52">
        <f>IF(C277="","",IF(OR(ISNUMBER(SEARCH("AI",C277)),ISNUMBER(SEARCH("Data",C277)),ISNUMBER(SEARCH("Technology",C277)),ISNUMBER(SEARCH("Technical",C277)),ISNUMBER(SEARCH("Engineering",C277)),ISNUMBER(SEARCH("Platform",C277)),ISNUMBER(SEARCH("Portfolio",C277))),85,65))</f>
        <v/>
      </c>
      <c r="W277" s="52">
        <f>IF(C277="","",MIN(100,50+IF(S277&lt;&gt;"",25,0)+IF(R277&lt;&gt;"",15,0)+IF(P277&lt;&gt;"",10,0)))</f>
        <v/>
      </c>
      <c r="X277" s="52">
        <f>IF(E277="","",IF(OR(E277="Canada",E277="CA"),100,IF(OR(E277="United States",E277="USA",E277="US"),IF(J277="Yes",45,75),65)))</f>
        <v/>
      </c>
      <c r="Y277" s="52">
        <f>IF(C277="","",IF(OR(ISNUMBER(SEARCH("Program",C277)),ISNUMBER(SEARCH("Portfolio",C277)),ISNUMBER(SEARCH("Operations",C277)),ISNUMBER(SEARCH("Transformation",C277))),85,IF(ISNUMBER(SEARCH("Product Manager",C277)),55,70)))</f>
        <v/>
      </c>
      <c r="Z277" s="52">
        <f>IF(C277="","",MIN(100,IF(I277&lt;&gt;"",60,10)+IF(AA277&gt;0,MIN(40,AA277*20),0)))</f>
        <v/>
      </c>
      <c r="AA277" s="52">
        <f>IF(T277="","",ROUND(T277*25%+U277*15%+V277*10%+W277*15%+X277*15%+Y277*10%+Z277*10%,0))</f>
        <v/>
      </c>
      <c r="AB277" s="52">
        <f>IF(AA277="","",IF(X277&lt;50,"Selective / Barrier",IF(AA277&gt;=80,"Tier 1 - Pursue",IF(AA277&gt;=70,"Tier 2 - Pursue",IF(AA277&gt;=60,"Tier 3 - Selective","Do Not Pursue")))))</f>
        <v/>
      </c>
      <c r="AC277" s="52">
        <f>IF(C277="","",IF(I277&lt;&gt;"","Named Contact",IF(AA277&gt;0,"Outreach Logged","Cold")))</f>
        <v/>
      </c>
      <c r="AD277" s="52">
        <f>IF(B277="","",COUNTIF('Outreach Log'!$C:$C,B277))</f>
        <v/>
      </c>
      <c r="AE277" s="52">
        <f>IF(A277="","",IF(OR(K277="Rejected",K277="Closed"),IF(L277&lt;&gt;"",L277-A277,TODAY()-A277),TODAY()-A277))</f>
        <v/>
      </c>
      <c r="AF277" s="52">
        <f>IF(C277="","",IF(AND(AA277&gt;=70,AC277="Cold"),"High-fit but cold",IF(AND(AA277&lt;60,K277="Applied"),"Low-fit application",IF(AND(AA277&gt;=70,OR(AC277="Named Contact",AC277="Outreach Logged")),"Targeted pursuit","Review"))))</f>
        <v/>
      </c>
    </row>
    <row r="278" ht="15" customHeight="1" s="44">
      <c r="A278" s="53" t="n">
        <v>46245</v>
      </c>
      <c r="B278" s="48" t="inlineStr">
        <is>
          <t>GitHub</t>
        </is>
      </c>
      <c r="C278" s="48" t="inlineStr">
        <is>
          <t>Senior Program Manager (2026-5631)</t>
        </is>
      </c>
      <c r="D278" s="48" t="inlineStr">
        <is>
          <t>Senior</t>
        </is>
      </c>
      <c r="E278" s="48" t="inlineStr">
        <is>
          <t>US</t>
        </is>
      </c>
      <c r="F278" s="48" t="inlineStr">
        <is>
          <t>Remote</t>
        </is>
      </c>
      <c r="G278" s="48" t="n">
        <v>78</v>
      </c>
      <c r="H278" s="48" t="inlineStr">
        <is>
          <t>Cold Portal</t>
        </is>
      </c>
      <c r="I278" s="48" t="n"/>
      <c r="J278" s="48" t="inlineStr">
        <is>
          <t>Yes</t>
        </is>
      </c>
      <c r="K278" s="55" t="inlineStr">
        <is>
          <t>Applied</t>
        </is>
      </c>
      <c r="L278" s="48" t="n"/>
      <c r="M278" s="48">
        <f>IF(OR(L159="",A159=""),"",L159-A159)</f>
        <v/>
      </c>
      <c r="N278" s="48" t="n"/>
      <c r="O278" s="48" t="n"/>
      <c r="P278" s="51" t="inlineStr">
        <is>
          <t>Confirmed via iCIMS 08/11 8:38am ET. Product org, IC role, remote US. KEY REQUIREMENT: 2+ yrs hands-on AI (prototyping, agent development) - JD states "You do not just talk about AI, you build with it." Addressed via Bell Vertex AI TCO product + independent agentic AI venture (added to resume as current role, generic naming due to unresolved Oko/OctopusOne IP question). Sponsorship: cap-exempt H-1B transfer available, not a new lottery.</t>
        </is>
      </c>
      <c r="Q278" s="48" t="n"/>
      <c r="R278" s="48" t="n"/>
      <c r="S278" s="51" t="n"/>
      <c r="T278" s="52">
        <f>IF(G278="","",G278)</f>
        <v/>
      </c>
      <c r="U278" s="52">
        <f>IF(C278="","",IF(OR(ISNUMBER(SEARCH("Director",C278)),ISNUMBER(SEARCH("Lead",C278)),ISNUMBER(SEARCH("Senior",C278)),ISNUMBER(SEARCH("Sr.",C278))),90,IF(OR(ISNUMBER(SEARCH("Manager",C278)),ISNUMBER(SEARCH("Program",C278)),ISNUMBER(SEARCH("Portfolio",C278))),80,60)))</f>
        <v/>
      </c>
      <c r="V278" s="52">
        <f>IF(C278="","",IF(OR(ISNUMBER(SEARCH("AI",C278)),ISNUMBER(SEARCH("Data",C278)),ISNUMBER(SEARCH("Technology",C278)),ISNUMBER(SEARCH("Technical",C278)),ISNUMBER(SEARCH("Engineering",C278)),ISNUMBER(SEARCH("Platform",C278)),ISNUMBER(SEARCH("Portfolio",C278))),85,65))</f>
        <v/>
      </c>
      <c r="W278" s="52">
        <f>IF(C278="","",MIN(100,50+IF(S278&lt;&gt;"",25,0)+IF(R278&lt;&gt;"",15,0)+IF(P278&lt;&gt;"",10,0)))</f>
        <v/>
      </c>
      <c r="X278" s="52">
        <f>IF(E278="","",IF(OR(E278="Canada",E278="CA"),100,IF(OR(E278="United States",E278="USA",E278="US"),IF(J278="Yes",45,75),65)))</f>
        <v/>
      </c>
      <c r="Y278" s="52">
        <f>IF(C278="","",IF(OR(ISNUMBER(SEARCH("Program",C278)),ISNUMBER(SEARCH("Portfolio",C278)),ISNUMBER(SEARCH("Operations",C278)),ISNUMBER(SEARCH("Transformation",C278))),85,IF(ISNUMBER(SEARCH("Product Manager",C278)),55,70)))</f>
        <v/>
      </c>
      <c r="Z278" s="52">
        <f>IF(C278="","",MIN(100,IF(I278&lt;&gt;"",60,10)+IF(AA278&gt;0,MIN(40,AA278*20),0)))</f>
        <v/>
      </c>
      <c r="AA278" s="52">
        <f>IF(T278="","",ROUND(T278*25%+U278*15%+V278*10%+W278*15%+X278*15%+Y278*10%+Z278*10%,0))</f>
        <v/>
      </c>
      <c r="AB278" s="52">
        <f>IF(AA278="","",IF(X278&lt;50,"Selective / Barrier",IF(AA278&gt;=80,"Tier 1 - Pursue",IF(AA278&gt;=70,"Tier 2 - Pursue",IF(AA278&gt;=60,"Tier 3 - Selective","Do Not Pursue")))))</f>
        <v/>
      </c>
      <c r="AC278" s="52">
        <f>IF(C278="","",IF(I278&lt;&gt;"","Named Contact",IF(AA278&gt;0,"Outreach Logged","Cold")))</f>
        <v/>
      </c>
      <c r="AD278" s="52">
        <f>IF(B278="","",COUNTIF('Outreach Log'!$C:$C,B278))</f>
        <v/>
      </c>
      <c r="AE278" s="52">
        <f>IF(A278="","",IF(OR(K278="Rejected",K278="Closed"),IF(L278&lt;&gt;"",L278-A278,TODAY()-A278),TODAY()-A278))</f>
        <v/>
      </c>
      <c r="AF278" s="52">
        <f>IF(C278="","",IF(AND(AA278&gt;=70,AC278="Cold"),"High-fit but cold",IF(AND(AA278&lt;60,K278="Applied"),"Low-fit application",IF(AND(AA278&gt;=70,OR(AC278="Named Contact",AC278="Outreach Logged")),"Targeted pursuit","Review"))))</f>
        <v/>
      </c>
    </row>
    <row r="279" ht="15" customHeight="1" s="44">
      <c r="A279" s="53" t="n">
        <v>46245</v>
      </c>
      <c r="B279" s="48" t="inlineStr">
        <is>
          <t>TMX Group</t>
        </is>
      </c>
      <c r="C279" s="48" t="inlineStr">
        <is>
          <t>Technology Portfolio Manager (Global Technology Solutions) - R-6220</t>
        </is>
      </c>
      <c r="D279" s="48" t="inlineStr">
        <is>
          <t>Manager/Portfolio</t>
        </is>
      </c>
      <c r="E279" s="48" t="inlineStr">
        <is>
          <t>Canada</t>
        </is>
      </c>
      <c r="F279" s="48" t="inlineStr">
        <is>
          <t>Toronto</t>
        </is>
      </c>
      <c r="G279" s="48" t="n">
        <v>85</v>
      </c>
      <c r="H279" s="48" t="inlineStr">
        <is>
          <t>Cold Portal</t>
        </is>
      </c>
      <c r="I279" s="48" t="n"/>
      <c r="J279" s="48" t="inlineStr">
        <is>
          <t>No</t>
        </is>
      </c>
      <c r="K279" s="55" t="inlineStr">
        <is>
          <t>Applied</t>
        </is>
      </c>
      <c r="L279" s="48" t="n"/>
      <c r="M279" s="48">
        <f>IF(OR(L160="",A160=""),"",L160-A160)</f>
        <v/>
      </c>
      <c r="N279" s="48" t="inlineStr">
        <is>
          <t>Monitor Workday portal for status change</t>
        </is>
      </c>
      <c r="O279" s="50" t="n">
        <v>46259</v>
      </c>
      <c r="P279" s="51" t="inlineStr">
        <is>
          <t>Submitted 2026-08-11 via TMX Workday (req R-6220). Status shows "Under Consideration" in candidate portal - past initial screen. Strong fit: technology portfolio management is a direct match to Bell Data &amp; AI portfolio governance work (intake, prioritization, investment oversight) plus SAFe LPM and LeanIX certifications. Toronto-based, no sponsorship required. Candidate portal also shows 2 inactive TMX applications from earlier - not separately logged.</t>
        </is>
      </c>
      <c r="Q279" s="48" t="n"/>
      <c r="R279" s="48" t="n"/>
      <c r="S279" s="51" t="n"/>
      <c r="T279" s="52">
        <f>IF(G279="","",G279)</f>
        <v/>
      </c>
      <c r="U279" s="52">
        <f>IF(C279="","",IF(OR(ISNUMBER(SEARCH("Director",C279)),ISNUMBER(SEARCH("Lead",C279)),ISNUMBER(SEARCH("Senior",C279)),ISNUMBER(SEARCH("Sr.",C279))),90,IF(OR(ISNUMBER(SEARCH("Manager",C279)),ISNUMBER(SEARCH("Program",C279)),ISNUMBER(SEARCH("Portfolio",C279))),80,60)))</f>
        <v/>
      </c>
      <c r="V279" s="52">
        <f>IF(C279="","",IF(OR(ISNUMBER(SEARCH("AI",C279)),ISNUMBER(SEARCH("Data",C279)),ISNUMBER(SEARCH("Technology",C279)),ISNUMBER(SEARCH("Technical",C279)),ISNUMBER(SEARCH("Engineering",C279)),ISNUMBER(SEARCH("Platform",C279)),ISNUMBER(SEARCH("Portfolio",C279))),85,65))</f>
        <v/>
      </c>
      <c r="W279" s="52">
        <f>IF(C279="","",MIN(100,50+IF(S279&lt;&gt;"",25,0)+IF(R279&lt;&gt;"",15,0)+IF(P279&lt;&gt;"",10,0)))</f>
        <v/>
      </c>
      <c r="X279" s="52">
        <f>IF(E279="","",IF(OR(E279="Canada",E279="CA"),100,IF(OR(E279="United States",E279="USA",E279="US"),IF(J279="Yes",45,75),65)))</f>
        <v/>
      </c>
      <c r="Y279" s="52">
        <f>IF(C279="","",IF(OR(ISNUMBER(SEARCH("Program",C279)),ISNUMBER(SEARCH("Portfolio",C279)),ISNUMBER(SEARCH("Operations",C279)),ISNUMBER(SEARCH("Transformation",C279))),85,IF(ISNUMBER(SEARCH("Product Manager",C279)),55,70)))</f>
        <v/>
      </c>
      <c r="Z279" s="52">
        <f>IF(C279="","",MIN(100,IF(I279&lt;&gt;"",60,10)+IF(AA279&gt;0,MIN(40,AA279*20),0)))</f>
        <v/>
      </c>
      <c r="AA279" s="52">
        <f>IF(T279="","",ROUND(T279*25%+U279*15%+V279*10%+W279*15%+X279*15%+Y279*10%+Z279*10%,0))</f>
        <v/>
      </c>
      <c r="AB279" s="52">
        <f>IF(AA279="","",IF(X279&lt;50,"Selective / Barrier",IF(AA279&gt;=80,"Tier 1 - Pursue",IF(AA279&gt;=70,"Tier 2 - Pursue",IF(AA279&gt;=60,"Tier 3 - Selective","Do Not Pursue")))))</f>
        <v/>
      </c>
      <c r="AC279" s="52">
        <f>IF(C279="","",IF(I279&lt;&gt;"","Named Contact",IF(AA279&gt;0,"Outreach Logged","Cold")))</f>
        <v/>
      </c>
      <c r="AD279" s="52">
        <f>IF(B279="","",COUNTIF('Outreach Log'!$C:$C,B279))</f>
        <v/>
      </c>
      <c r="AE279" s="52">
        <f>IF(A279="","",IF(OR(K279="Rejected",K279="Closed"),IF(L279&lt;&gt;"",L279-A279,TODAY()-A279),TODAY()-A279))</f>
        <v/>
      </c>
      <c r="AF279" s="52">
        <f>IF(C279="","",IF(AND(AA279&gt;=70,AC279="Cold"),"High-fit but cold",IF(AND(AA279&lt;60,K279="Applied"),"Low-fit application",IF(AND(AA279&gt;=70,OR(AC279="Named Contact",AC279="Outreach Logged")),"Targeted pursuit","Review"))))</f>
        <v/>
      </c>
    </row>
    <row r="280" ht="15" customHeight="1" s="44">
      <c r="A280" s="53" t="n">
        <v>46246</v>
      </c>
      <c r="B280" s="48" t="inlineStr">
        <is>
          <t>Guidewire Software</t>
        </is>
      </c>
      <c r="C280" s="48" t="inlineStr">
        <is>
          <t>Engagement Manager (GWCP Professional Services)</t>
        </is>
      </c>
      <c r="D280" s="48" t="inlineStr">
        <is>
          <t>Manager</t>
        </is>
      </c>
      <c r="E280" s="48" t="inlineStr">
        <is>
          <t>Canada</t>
        </is>
      </c>
      <c r="F280" s="48" t="inlineStr">
        <is>
          <t>Toronto</t>
        </is>
      </c>
      <c r="G280" s="48" t="n">
        <v>50</v>
      </c>
      <c r="H280" s="48" t="inlineStr">
        <is>
          <t>Cold Portal</t>
        </is>
      </c>
      <c r="I280" s="48" t="n"/>
      <c r="J280" s="48" t="inlineStr">
        <is>
          <t>No</t>
        </is>
      </c>
      <c r="K280" s="55" t="inlineStr">
        <is>
          <t>Applied</t>
        </is>
      </c>
      <c r="L280" s="48" t="n"/>
      <c r="M280" s="48">
        <f>IF(OR(L161="",A161=""),"",L161-A161)</f>
        <v/>
      </c>
      <c r="N280" s="48" t="n"/>
      <c r="O280" s="48" t="n"/>
      <c r="P280" s="51" t="inlineStr">
        <is>
          <t>Confirmed via Guidewire Workday 2026-08-12 8:40am ET. Client-facing engagement lead in professional services: owns customer relationship, engagement P&amp;L (budgeting, forecasting, profitability), drafts SOWs/WOs/RFP estimates, sales support. STRENGTHS: governance frameworks, risk mitigation, exec communication, cross-functional leadership. GAPS: (1) no P&amp;L/profitability ownership, (2) no sales acumen/revenue generation experience, (3) missing 3 stated requirements - Guidewire product certification, AWS certification, P&amp;C insurance domain. NOTE: Guidewire TPM roles JR_14434 (Senior TPM) and JR_15053 (Implementation Lead, AI/GenAI) are materially stronger fits at ~80% - consider applying to those as well.</t>
        </is>
      </c>
      <c r="Q280" s="48" t="n"/>
      <c r="R280" s="48" t="n"/>
      <c r="S280" s="51" t="n"/>
      <c r="T280" s="52">
        <f>IF(G280="","",G280)</f>
        <v/>
      </c>
      <c r="U280" s="52">
        <f>IF(C280="","",IF(OR(ISNUMBER(SEARCH("Director",C280)),ISNUMBER(SEARCH("Lead",C280)),ISNUMBER(SEARCH("Senior",C280)),ISNUMBER(SEARCH("Sr.",C280))),90,IF(OR(ISNUMBER(SEARCH("Manager",C280)),ISNUMBER(SEARCH("Program",C280)),ISNUMBER(SEARCH("Portfolio",C280))),80,60)))</f>
        <v/>
      </c>
      <c r="V280" s="52">
        <f>IF(C280="","",IF(OR(ISNUMBER(SEARCH("AI",C280)),ISNUMBER(SEARCH("Data",C280)),ISNUMBER(SEARCH("Technology",C280)),ISNUMBER(SEARCH("Technical",C280)),ISNUMBER(SEARCH("Engineering",C280)),ISNUMBER(SEARCH("Platform",C280)),ISNUMBER(SEARCH("Portfolio",C280))),85,65))</f>
        <v/>
      </c>
      <c r="W280" s="52">
        <f>IF(C280="","",MIN(100,50+IF(S280&lt;&gt;"",25,0)+IF(R280&lt;&gt;"",15,0)+IF(P280&lt;&gt;"",10,0)))</f>
        <v/>
      </c>
      <c r="X280" s="52">
        <f>IF(E280="","",IF(OR(E280="Canada",E280="CA"),100,IF(OR(E280="United States",E280="USA",E280="US"),IF(J280="Yes",45,75),65)))</f>
        <v/>
      </c>
      <c r="Y280" s="52">
        <f>IF(C280="","",IF(OR(ISNUMBER(SEARCH("Program",C280)),ISNUMBER(SEARCH("Portfolio",C280)),ISNUMBER(SEARCH("Operations",C280)),ISNUMBER(SEARCH("Transformation",C280))),85,IF(ISNUMBER(SEARCH("Product Manager",C280)),55,70)))</f>
        <v/>
      </c>
      <c r="Z280" s="52">
        <f>IF(C280="","",MIN(100,IF(I280&lt;&gt;"",60,10)+IF(AA280&gt;0,MIN(40,AA280*20),0)))</f>
        <v/>
      </c>
      <c r="AA280" s="52">
        <f>IF(T280="","",ROUND(T280*25%+U280*15%+V280*10%+W280*15%+X280*15%+Y280*10%+Z280*10%,0))</f>
        <v/>
      </c>
      <c r="AB280" s="52">
        <f>IF(AA280="","",IF(X280&lt;50,"Selective / Barrier",IF(AA280&gt;=80,"Tier 1 - Pursue",IF(AA280&gt;=70,"Tier 2 - Pursue",IF(AA280&gt;=60,"Tier 3 - Selective","Do Not Pursue")))))</f>
        <v/>
      </c>
      <c r="AC280" s="52">
        <f>IF(C280="","",IF(I280&lt;&gt;"","Named Contact",IF(AA280&gt;0,"Outreach Logged","Cold")))</f>
        <v/>
      </c>
      <c r="AD280" s="52">
        <f>IF(B280="","",COUNTIF('Outreach Log'!$C:$C,B280))</f>
        <v/>
      </c>
      <c r="AE280" s="52">
        <f>IF(A280="","",IF(OR(K280="Rejected",K280="Closed"),IF(L280&lt;&gt;"",L280-A280,TODAY()-A280),TODAY()-A280))</f>
        <v/>
      </c>
      <c r="AF280" s="52">
        <f>IF(C280="","",IF(AND(AA280&gt;=70,AC280="Cold"),"High-fit but cold",IF(AND(AA280&lt;60,K280="Applied"),"Low-fit application",IF(AND(AA280&gt;=70,OR(AC280="Named Contact",AC280="Outreach Logged")),"Targeted pursuit","Review"))))</f>
        <v/>
      </c>
    </row>
    <row r="281" ht="15" customHeight="1" s="44">
      <c r="A281" s="53" t="n">
        <v>46246</v>
      </c>
      <c r="B281" s="48" t="inlineStr">
        <is>
          <t>Glean</t>
        </is>
      </c>
      <c r="C281" s="48" t="inlineStr">
        <is>
          <t>AI Success Manager, East</t>
        </is>
      </c>
      <c r="D281" s="48" t="inlineStr">
        <is>
          <t>IC (mid-level)</t>
        </is>
      </c>
      <c r="E281" s="48" t="inlineStr">
        <is>
          <t>US</t>
        </is>
      </c>
      <c r="F281" s="48" t="inlineStr">
        <is>
          <t>NYC hybrid (4 days/week in office)</t>
        </is>
      </c>
      <c r="G281" s="48" t="n">
        <v>60</v>
      </c>
      <c r="H281" s="48" t="inlineStr">
        <is>
          <t>Cold Portal</t>
        </is>
      </c>
      <c r="I281" s="48" t="n"/>
      <c r="J281" s="48" t="inlineStr">
        <is>
          <t>Yes</t>
        </is>
      </c>
      <c r="K281" s="49" t="inlineStr">
        <is>
          <t>Rejected</t>
        </is>
      </c>
      <c r="L281" s="50" t="n">
        <v>46281</v>
      </c>
      <c r="M281" s="48">
        <f>IF(OR(L162="",A162=""),"",L162-A162)</f>
        <v/>
      </c>
      <c r="N281" s="48" t="n"/>
      <c r="O281" s="48" t="n"/>
      <c r="P281" s="51" t="inlineStr">
        <is>
          <t>Confirmed via Greenhouse 2026-08-12 12:23pm ET. Post-sales technical customer success / implementation role. FIT CONCERNS: (1) JD asks 3-5 yrs experience vs Elena 20+ - significant overqualification screen-out risk; (2) NYC hybrid 4 days/week in office - relocation required from Toronto; (3) hands-on IC work (SSO/connector setup, deployment troubleshooting) rather than program leadership. STRENGTHS: program management, escalation ownership, playbooks/process documentation, enterprise client work (IBM GBS), cloud familiarity GCP/AWS. Sponsorship: cap-exempt H-1B transfer available. | REJECTED 2026-09-16: Glean (Greenhouse) — "unfortunately, we've decided not to move forward at this time."</t>
        </is>
      </c>
      <c r="Q281" s="48" t="n"/>
      <c r="R281" s="48" t="n"/>
      <c r="S281" s="51" t="n"/>
      <c r="T281" s="52">
        <f>IF(G281="","",G281)</f>
        <v/>
      </c>
      <c r="U281" s="52">
        <f>IF(C281="","",IF(OR(ISNUMBER(SEARCH("Director",C281)),ISNUMBER(SEARCH("Lead",C281)),ISNUMBER(SEARCH("Senior",C281)),ISNUMBER(SEARCH("Sr.",C281))),90,IF(OR(ISNUMBER(SEARCH("Manager",C281)),ISNUMBER(SEARCH("Program",C281)),ISNUMBER(SEARCH("Portfolio",C281))),80,60)))</f>
        <v/>
      </c>
      <c r="V281" s="52">
        <f>IF(C281="","",IF(OR(ISNUMBER(SEARCH("AI",C281)),ISNUMBER(SEARCH("Data",C281)),ISNUMBER(SEARCH("Technology",C281)),ISNUMBER(SEARCH("Technical",C281)),ISNUMBER(SEARCH("Engineering",C281)),ISNUMBER(SEARCH("Platform",C281)),ISNUMBER(SEARCH("Portfolio",C281))),85,65))</f>
        <v/>
      </c>
      <c r="W281" s="52">
        <f>IF(C281="","",MIN(100,50+IF(S281&lt;&gt;"",25,0)+IF(R281&lt;&gt;"",15,0)+IF(P281&lt;&gt;"",10,0)))</f>
        <v/>
      </c>
      <c r="X281" s="52">
        <f>IF(E281="","",IF(OR(E281="Canada",E281="CA"),100,IF(OR(E281="United States",E281="USA",E281="US"),IF(J281="Yes",45,75),65)))</f>
        <v/>
      </c>
      <c r="Y281" s="52">
        <f>IF(C281="","",IF(OR(ISNUMBER(SEARCH("Program",C281)),ISNUMBER(SEARCH("Portfolio",C281)),ISNUMBER(SEARCH("Operations",C281)),ISNUMBER(SEARCH("Transformation",C281))),85,IF(ISNUMBER(SEARCH("Product Manager",C281)),55,70)))</f>
        <v/>
      </c>
      <c r="Z281" s="52">
        <f>IF(C281="","",MIN(100,IF(I281&lt;&gt;"",60,10)+IF(AA281&gt;0,MIN(40,AA281*20),0)))</f>
        <v/>
      </c>
      <c r="AA281" s="52">
        <f>IF(T281="","",ROUND(T281*25%+U281*15%+V281*10%+W281*15%+X281*15%+Y281*10%+Z281*10%,0))</f>
        <v/>
      </c>
      <c r="AB281" s="52">
        <f>IF(AA281="","",IF(X281&lt;50,"Selective / Barrier",IF(AA281&gt;=80,"Tier 1 - Pursue",IF(AA281&gt;=70,"Tier 2 - Pursue",IF(AA281&gt;=60,"Tier 3 - Selective","Do Not Pursue")))))</f>
        <v/>
      </c>
      <c r="AC281" s="52">
        <f>IF(C281="","",IF(I281&lt;&gt;"","Named Contact",IF(AA281&gt;0,"Outreach Logged","Cold")))</f>
        <v/>
      </c>
      <c r="AD281" s="52">
        <f>IF(B281="","",COUNTIF('Outreach Log'!$C:$C,B281))</f>
        <v/>
      </c>
      <c r="AE281" s="52">
        <f>IF(A281="","",IF(OR(K281="Rejected",K281="Closed"),IF(L281&lt;&gt;"",L281-A281,TODAY()-A281),TODAY()-A281))</f>
        <v/>
      </c>
      <c r="AF281" s="52">
        <f>IF(C281="","",IF(AND(AA281&gt;=70,AC281="Cold"),"High-fit but cold",IF(AND(AA281&lt;60,K281="Applied"),"Low-fit application",IF(AND(AA281&gt;=70,OR(AC281="Named Contact",AC281="Outreach Logged")),"Targeted pursuit","Review"))))</f>
        <v/>
      </c>
    </row>
    <row r="282" ht="15" customHeight="1" s="44">
      <c r="A282" s="53" t="n">
        <v>46246</v>
      </c>
      <c r="B282" s="48" t="inlineStr">
        <is>
          <t>Harvey</t>
        </is>
      </c>
      <c r="C282" s="48" t="inlineStr">
        <is>
          <t>Mid-Market Customer Success Manager</t>
        </is>
      </c>
      <c r="D282" s="48" t="inlineStr">
        <is>
          <t>IC (mid-level)</t>
        </is>
      </c>
      <c r="E282" s="48" t="inlineStr">
        <is>
          <t>US</t>
        </is>
      </c>
      <c r="F282" s="48" t="inlineStr">
        <is>
          <t>Remote/NYC (verify)</t>
        </is>
      </c>
      <c r="G282" s="48" t="n">
        <v>45</v>
      </c>
      <c r="H282" s="48" t="inlineStr">
        <is>
          <t>Cold Portal</t>
        </is>
      </c>
      <c r="I282" s="48" t="n"/>
      <c r="J282" s="48" t="inlineStr">
        <is>
          <t>Yes</t>
        </is>
      </c>
      <c r="K282" s="49" t="inlineStr">
        <is>
          <t>Rejected</t>
        </is>
      </c>
      <c r="L282" s="50" t="n">
        <v>46265</v>
      </c>
      <c r="M282" s="48">
        <f>IF(OR(L163="",A163=""),"",L163-A163)</f>
        <v/>
      </c>
      <c r="N282" s="48" t="n"/>
      <c r="O282" s="48" t="n"/>
      <c r="P282" s="51" t="inlineStr">
        <is>
          <t>Confirmed via Ashby 2026-08-12 5:07pm ET. Legal AI company. NOTE: distinct from the Harvey AI Transformation Lead role assessed earlier (~35% fit - required 12+ yrs top-tier consulting plus in-house legal domain knowledge). This CSM role is mid-market customer success - IC level, likely below target seniority, and legal domain gap still applies. Third mid-level IC application this week (Ada, Glean, Harvey) - pattern worth watching. REJECTED 2026-08-31 via no-reply@ashbyhq.com: not moving forward with candidacy.</t>
        </is>
      </c>
      <c r="Q282" s="48" t="n"/>
      <c r="R282" s="48" t="n"/>
      <c r="S282" s="51" t="n"/>
      <c r="T282" s="52">
        <f>IF(G282="","",G282)</f>
        <v/>
      </c>
      <c r="U282" s="52">
        <f>IF(C282="","",IF(OR(ISNUMBER(SEARCH("Director",C282)),ISNUMBER(SEARCH("Lead",C282)),ISNUMBER(SEARCH("Senior",C282)),ISNUMBER(SEARCH("Sr.",C282))),90,IF(OR(ISNUMBER(SEARCH("Manager",C282)),ISNUMBER(SEARCH("Program",C282)),ISNUMBER(SEARCH("Portfolio",C282))),80,60)))</f>
        <v/>
      </c>
      <c r="V282" s="52">
        <f>IF(C282="","",IF(OR(ISNUMBER(SEARCH("AI",C282)),ISNUMBER(SEARCH("Data",C282)),ISNUMBER(SEARCH("Technology",C282)),ISNUMBER(SEARCH("Technical",C282)),ISNUMBER(SEARCH("Engineering",C282)),ISNUMBER(SEARCH("Platform",C282)),ISNUMBER(SEARCH("Portfolio",C282))),85,65))</f>
        <v/>
      </c>
      <c r="W282" s="52">
        <f>IF(C282="","",MIN(100,50+IF(S282&lt;&gt;"",25,0)+IF(R282&lt;&gt;"",15,0)+IF(P282&lt;&gt;"",10,0)))</f>
        <v/>
      </c>
      <c r="X282" s="52">
        <f>IF(E282="","",IF(OR(E282="Canada",E282="CA"),100,IF(OR(E282="United States",E282="USA",E282="US"),IF(J282="Yes",45,75),65)))</f>
        <v/>
      </c>
      <c r="Y282" s="52">
        <f>IF(C282="","",IF(OR(ISNUMBER(SEARCH("Program",C282)),ISNUMBER(SEARCH("Portfolio",C282)),ISNUMBER(SEARCH("Operations",C282)),ISNUMBER(SEARCH("Transformation",C282))),85,IF(ISNUMBER(SEARCH("Product Manager",C282)),55,70)))</f>
        <v/>
      </c>
      <c r="Z282" s="52">
        <f>IF(C282="","",MIN(100,IF(I282&lt;&gt;"",60,10)+IF(AA282&gt;0,MIN(40,AA282*20),0)))</f>
        <v/>
      </c>
      <c r="AA282" s="52">
        <f>IF(T282="","",ROUND(T282*25%+U282*15%+V282*10%+W282*15%+X282*15%+Y282*10%+Z282*10%,0))</f>
        <v/>
      </c>
      <c r="AB282" s="52">
        <f>IF(AA282="","",IF(X282&lt;50,"Selective / Barrier",IF(AA282&gt;=80,"Tier 1 - Pursue",IF(AA282&gt;=70,"Tier 2 - Pursue",IF(AA282&gt;=60,"Tier 3 - Selective","Do Not Pursue")))))</f>
        <v/>
      </c>
      <c r="AC282" s="52">
        <f>IF(C282="","",IF(I282&lt;&gt;"","Named Contact",IF(AA282&gt;0,"Outreach Logged","Cold")))</f>
        <v/>
      </c>
      <c r="AD282" s="52">
        <f>IF(B282="","",COUNTIF('Outreach Log'!$C:$C,B282))</f>
        <v/>
      </c>
      <c r="AE282" s="52">
        <f>IF(A282="","",IF(OR(K282="Rejected",K282="Closed"),IF(L282&lt;&gt;"",L282-A282,TODAY()-A282),TODAY()-A282))</f>
        <v/>
      </c>
      <c r="AF282" s="52">
        <f>IF(C282="","",IF(AND(AA282&gt;=70,AC282="Cold"),"High-fit but cold",IF(AND(AA282&lt;60,K282="Applied"),"Low-fit application",IF(AND(AA282&gt;=70,OR(AC282="Named Contact",AC282="Outreach Logged")),"Targeted pursuit","Review"))))</f>
        <v/>
      </c>
    </row>
    <row r="283" ht="15" customHeight="1" s="44">
      <c r="A283" s="53" t="n">
        <v>46246</v>
      </c>
      <c r="B283" s="48" t="inlineStr">
        <is>
          <t>BMO</t>
        </is>
      </c>
      <c r="C283" s="48" t="inlineStr">
        <is>
          <t>Senior IT Manager, Wealth Data Platform - R260018191</t>
        </is>
      </c>
      <c r="D283" s="48" t="inlineStr">
        <is>
          <t>Senior Manager</t>
        </is>
      </c>
      <c r="E283" s="48" t="inlineStr">
        <is>
          <t>Canada</t>
        </is>
      </c>
      <c r="F283" s="48" t="inlineStr">
        <is>
          <t>Toronto</t>
        </is>
      </c>
      <c r="G283" s="48" t="n">
        <v>80</v>
      </c>
      <c r="H283" s="48" t="inlineStr">
        <is>
          <t>Cold Portal</t>
        </is>
      </c>
      <c r="I283" s="48" t="n"/>
      <c r="J283" s="48" t="inlineStr">
        <is>
          <t>No</t>
        </is>
      </c>
      <c r="K283" s="49" t="inlineStr">
        <is>
          <t>Rejected</t>
        </is>
      </c>
      <c r="L283" s="50" t="n">
        <v>46255</v>
      </c>
      <c r="M283" s="48">
        <f>IF(OR(L164="",A164=""),"",L164-A164)</f>
        <v/>
      </c>
      <c r="N283" s="48" t="n"/>
      <c r="O283" s="48" t="n"/>
      <c r="P283" s="51" t="inlineStr">
        <is>
          <t>Confirmed via BMO HR notifications 2026-08-12 6:52pm ET (req R260018191). STRONG FIT: portfolio governance + financial management (forecast/actuals/variances/funding) maps directly to Bell TCO work across ~1,400 apps and 60+ finance/procurement/accounting stakeholders; data platform delivery, data governance (lineage, quality, access mgmt), platform modernization/rationalization all match. GAPS: no Wealth Management/capital markets domain; vendor SOW ownership only partial; Netezza/SAS unfamiliar; role implies direct reports (largest direct team was 6). REJECTED 2026-08-21 4:06am ET via BMO HR notifications: standard "while we were impressed with your background, we have decided to move forward with other candidates" notice.</t>
        </is>
      </c>
      <c r="Q283" s="48" t="n"/>
      <c r="R283" s="48" t="n"/>
      <c r="S283" s="51" t="n"/>
      <c r="T283" s="52">
        <f>IF(G283="","",G283)</f>
        <v/>
      </c>
      <c r="U283" s="52">
        <f>IF(C283="","",IF(OR(ISNUMBER(SEARCH("Director",C283)),ISNUMBER(SEARCH("Lead",C283)),ISNUMBER(SEARCH("Senior",C283)),ISNUMBER(SEARCH("Sr.",C283))),90,IF(OR(ISNUMBER(SEARCH("Manager",C283)),ISNUMBER(SEARCH("Program",C283)),ISNUMBER(SEARCH("Portfolio",C283))),80,60)))</f>
        <v/>
      </c>
      <c r="V283" s="52">
        <f>IF(C283="","",IF(OR(ISNUMBER(SEARCH("AI",C283)),ISNUMBER(SEARCH("Data",C283)),ISNUMBER(SEARCH("Technology",C283)),ISNUMBER(SEARCH("Technical",C283)),ISNUMBER(SEARCH("Engineering",C283)),ISNUMBER(SEARCH("Platform",C283)),ISNUMBER(SEARCH("Portfolio",C283))),85,65))</f>
        <v/>
      </c>
      <c r="W283" s="52">
        <f>IF(C283="","",MIN(100,50+IF(S283&lt;&gt;"",25,0)+IF(R283&lt;&gt;"",15,0)+IF(P283&lt;&gt;"",10,0)))</f>
        <v/>
      </c>
      <c r="X283" s="52">
        <f>IF(E283="","",IF(OR(E283="Canada",E283="CA"),100,IF(OR(E283="United States",E283="USA",E283="US"),IF(J283="Yes",45,75),65)))</f>
        <v/>
      </c>
      <c r="Y283" s="52">
        <f>IF(C283="","",IF(OR(ISNUMBER(SEARCH("Program",C283)),ISNUMBER(SEARCH("Portfolio",C283)),ISNUMBER(SEARCH("Operations",C283)),ISNUMBER(SEARCH("Transformation",C283))),85,IF(ISNUMBER(SEARCH("Product Manager",C283)),55,70)))</f>
        <v/>
      </c>
      <c r="Z283" s="52">
        <f>IF(C283="","",MIN(100,IF(I283&lt;&gt;"",60,10)+IF(AA283&gt;0,MIN(40,AA283*20),0)))</f>
        <v/>
      </c>
      <c r="AA283" s="52">
        <f>IF(T283="","",ROUND(T283*25%+U283*15%+V283*10%+W283*15%+X283*15%+Y283*10%+Z283*10%,0))</f>
        <v/>
      </c>
      <c r="AB283" s="52">
        <f>IF(AA283="","",IF(X283&lt;50,"Selective / Barrier",IF(AA283&gt;=80,"Tier 1 - Pursue",IF(AA283&gt;=70,"Tier 2 - Pursue",IF(AA283&gt;=60,"Tier 3 - Selective","Do Not Pursue")))))</f>
        <v/>
      </c>
      <c r="AC283" s="52">
        <f>IF(C283="","",IF(I283&lt;&gt;"","Named Contact",IF(AA283&gt;0,"Outreach Logged","Cold")))</f>
        <v/>
      </c>
      <c r="AD283" s="52">
        <f>IF(B283="","",COUNTIF('Outreach Log'!$C:$C,B283))</f>
        <v/>
      </c>
      <c r="AE283" s="52">
        <f>IF(A283="","",IF(OR(K283="Rejected",K283="Closed"),IF(L283&lt;&gt;"",L283-A283,TODAY()-A283),TODAY()-A283))</f>
        <v/>
      </c>
      <c r="AF283" s="52">
        <f>IF(C283="","",IF(AND(AA283&gt;=70,AC283="Cold"),"High-fit but cold",IF(AND(AA283&lt;60,K283="Applied"),"Low-fit application",IF(AND(AA283&gt;=70,OR(AC283="Named Contact",AC283="Outreach Logged")),"Targeted pursuit","Review"))))</f>
        <v/>
      </c>
    </row>
    <row r="284" ht="15" customHeight="1" s="44">
      <c r="A284" s="53" t="n">
        <v>46248</v>
      </c>
      <c r="B284" s="48" t="inlineStr">
        <is>
          <t>eBay</t>
        </is>
      </c>
      <c r="C284" s="48" t="inlineStr">
        <is>
          <t>Sr. Technical Program Manager - R0074952</t>
        </is>
      </c>
      <c r="D284" s="48" t="inlineStr">
        <is>
          <t>Senior</t>
        </is>
      </c>
      <c r="E284" s="48" t="inlineStr">
        <is>
          <t>Canada</t>
        </is>
      </c>
      <c r="F284" s="48" t="inlineStr">
        <is>
          <t>Toronto</t>
        </is>
      </c>
      <c r="G284" s="48" t="n">
        <v>80</v>
      </c>
      <c r="H284" s="48" t="inlineStr">
        <is>
          <t>Cold Portal</t>
        </is>
      </c>
      <c r="I284" s="48" t="n"/>
      <c r="J284" s="48" t="inlineStr">
        <is>
          <t>No</t>
        </is>
      </c>
      <c r="K284" s="49" t="inlineStr">
        <is>
          <t>Rejected</t>
        </is>
      </c>
      <c r="L284" s="50" t="n">
        <v>46280</v>
      </c>
      <c r="M284" s="48">
        <f>IF(OR(L165="",A165=""),"",L165-A165)</f>
        <v/>
      </c>
      <c r="N284" s="48" t="n"/>
      <c r="O284" s="48" t="n"/>
      <c r="P284" s="51" t="inlineStr">
        <is>
          <t>Applied 2026-08-14 (req R0074952, Toronto). Posting already removed from jobs.ebayinc.com when checked - may indicate req filled or closed shortly after application. SIXTH eBay application: prior five = 2 ghosted (Sr Mgr Program Mgr-Ads, Director AI Workflow Transformation), 3 rejected (TPM Search R0074668, Lead Product Program Manager, Sr PM Search AI). Deep application history at one employer with no progression past recruiter screen. | REJECTED 2026-09-15: eBay (ebay@myworkday.com) — "significant interest... decided not to move forward." Distinct from the earlier same-titled "Sr. Technical Program Manager" req rejected 2/5 (different requisition). | Confirmed 2026-09-15 via direct reply from Richard Kalafian, Recruiter, Talent Acquisition at eBay: "This is regarding your application to the Technical Program Manager role in Toronto."</t>
        </is>
      </c>
      <c r="Q284" s="48" t="n"/>
      <c r="R284" s="48" t="n"/>
      <c r="S284" s="51" t="n"/>
      <c r="T284" s="52">
        <f>IF(G284="","",G284)</f>
        <v/>
      </c>
      <c r="U284" s="52">
        <f>IF(C284="","",IF(OR(ISNUMBER(SEARCH("Director",C284)),ISNUMBER(SEARCH("Lead",C284)),ISNUMBER(SEARCH("Senior",C284)),ISNUMBER(SEARCH("Sr.",C284))),90,IF(OR(ISNUMBER(SEARCH("Manager",C284)),ISNUMBER(SEARCH("Program",C284)),ISNUMBER(SEARCH("Portfolio",C284))),80,60)))</f>
        <v/>
      </c>
      <c r="V284" s="52">
        <f>IF(C284="","",IF(OR(ISNUMBER(SEARCH("AI",C284)),ISNUMBER(SEARCH("Data",C284)),ISNUMBER(SEARCH("Technology",C284)),ISNUMBER(SEARCH("Technical",C284)),ISNUMBER(SEARCH("Engineering",C284)),ISNUMBER(SEARCH("Platform",C284)),ISNUMBER(SEARCH("Portfolio",C284))),85,65))</f>
        <v/>
      </c>
      <c r="W284" s="52">
        <f>IF(C284="","",MIN(100,50+IF(S284&lt;&gt;"",25,0)+IF(R284&lt;&gt;"",15,0)+IF(P284&lt;&gt;"",10,0)))</f>
        <v/>
      </c>
      <c r="X284" s="52">
        <f>IF(E284="","",IF(OR(E284="Canada",E284="CA"),100,IF(OR(E284="United States",E284="USA",E284="US"),IF(J284="Yes",45,75),65)))</f>
        <v/>
      </c>
      <c r="Y284" s="52">
        <f>IF(C284="","",IF(OR(ISNUMBER(SEARCH("Program",C284)),ISNUMBER(SEARCH("Portfolio",C284)),ISNUMBER(SEARCH("Operations",C284)),ISNUMBER(SEARCH("Transformation",C284))),85,IF(ISNUMBER(SEARCH("Product Manager",C284)),55,70)))</f>
        <v/>
      </c>
      <c r="Z284" s="52">
        <f>IF(C284="","",MIN(100,IF(I284&lt;&gt;"",60,10)+IF(AA284&gt;0,MIN(40,AA284*20),0)))</f>
        <v/>
      </c>
      <c r="AA284" s="52">
        <f>IF(T284="","",ROUND(T284*25%+U284*15%+V284*10%+W284*15%+X284*15%+Y284*10%+Z284*10%,0))</f>
        <v/>
      </c>
      <c r="AB284" s="52">
        <f>IF(AA284="","",IF(X284&lt;50,"Selective / Barrier",IF(AA284&gt;=80,"Tier 1 - Pursue",IF(AA284&gt;=70,"Tier 2 - Pursue",IF(AA284&gt;=60,"Tier 3 - Selective","Do Not Pursue")))))</f>
        <v/>
      </c>
      <c r="AC284" s="52">
        <f>IF(C284="","",IF(I284&lt;&gt;"","Named Contact",IF(AA284&gt;0,"Outreach Logged","Cold")))</f>
        <v/>
      </c>
      <c r="AD284" s="52">
        <f>IF(B284="","",COUNTIF('Outreach Log'!$C:$C,B284))</f>
        <v/>
      </c>
      <c r="AE284" s="52">
        <f>IF(A284="","",IF(OR(K284="Rejected",K284="Closed"),IF(L284&lt;&gt;"",L284-A284,TODAY()-A284),TODAY()-A284))</f>
        <v/>
      </c>
      <c r="AF284" s="52">
        <f>IF(C284="","",IF(AND(AA284&gt;=70,AC284="Cold"),"High-fit but cold",IF(AND(AA284&lt;60,K284="Applied"),"Low-fit application",IF(AND(AA284&gt;=70,OR(AC284="Named Contact",AC284="Outreach Logged")),"Targeted pursuit","Review"))))</f>
        <v/>
      </c>
    </row>
    <row r="285" ht="15" customHeight="1" s="44">
      <c r="A285" s="53" t="n">
        <v>46248</v>
      </c>
      <c r="B285" s="48" t="inlineStr">
        <is>
          <t>Rocket Companies</t>
        </is>
      </c>
      <c r="C285" s="48" t="inlineStr">
        <is>
          <t>Principal Technical Program Manager (Req RCARCAUSR083629)</t>
        </is>
      </c>
      <c r="D285" s="48" t="inlineStr">
        <is>
          <t>Principal</t>
        </is>
      </c>
      <c r="E285" s="48" t="inlineStr">
        <is>
          <t>US</t>
        </is>
      </c>
      <c r="F285" s="48" t="inlineStr">
        <is>
          <t>Seattle, WA</t>
        </is>
      </c>
      <c r="G285" s="48" t="n">
        <v>68</v>
      </c>
      <c r="H285" s="48" t="inlineStr">
        <is>
          <t>Cold Portal</t>
        </is>
      </c>
      <c r="I285" s="48" t="n"/>
      <c r="J285" s="48" t="inlineStr">
        <is>
          <t>Yes</t>
        </is>
      </c>
      <c r="K285" s="55" t="inlineStr">
        <is>
          <t>Applied</t>
        </is>
      </c>
      <c r="L285" s="48" t="n"/>
      <c r="M285" s="48">
        <f>IF(OR(L166="",A166=""),"",L166-A166)</f>
        <v/>
      </c>
      <c r="N285" s="48" t="n"/>
      <c r="O285" s="48" t="n"/>
      <c r="P285" s="51" t="inlineStr">
        <is>
          <t>Applied ~2026-08-14 (confirmed by Elena, ~1 month before logging). No confirmation email found in Gmail. Req RCARCAUSR083629, Seattle WA. Elena confirms 2026-09-14 the listing is still live and accepting applications — the "filled" message Claude saw when fetching the URL appears to be a caching/routing artifact rather than the role's actual status. Reverted to Applied. Est. fit score: 68 — Principal TPM level matches her track record, but fintech/mortgage vertical is a new domain with no direct precedent.</t>
        </is>
      </c>
      <c r="Q285" s="48" t="n"/>
      <c r="R285" s="48" t="n"/>
      <c r="S285" s="51" t="n"/>
      <c r="T285" s="52">
        <f>IF(G285="","",G285)</f>
        <v/>
      </c>
      <c r="U285" s="52">
        <f>IF(C285="","",IF(OR(ISNUMBER(SEARCH("Director",C285)),ISNUMBER(SEARCH("Lead",C285)),ISNUMBER(SEARCH("Senior",C285)),ISNUMBER(SEARCH("Sr.",C285))),90,IF(OR(ISNUMBER(SEARCH("Manager",C285)),ISNUMBER(SEARCH("Program",C285)),ISNUMBER(SEARCH("Portfolio",C285))),80,60)))</f>
        <v/>
      </c>
      <c r="V285" s="52">
        <f>IF(C285="","",IF(OR(ISNUMBER(SEARCH("AI",C285)),ISNUMBER(SEARCH("Data",C285)),ISNUMBER(SEARCH("Technology",C285)),ISNUMBER(SEARCH("Technical",C285)),ISNUMBER(SEARCH("Engineering",C285)),ISNUMBER(SEARCH("Platform",C285)),ISNUMBER(SEARCH("Portfolio",C285))),85,65))</f>
        <v/>
      </c>
      <c r="W285" s="52">
        <f>IF(C285="","",MIN(100,50+IF(S285&lt;&gt;"",25,0)+IF(R285&lt;&gt;"",15,0)+IF(P285&lt;&gt;"",10,0)))</f>
        <v/>
      </c>
      <c r="X285" s="52">
        <f>IF(E285="","",IF(OR(E285="Canada",E285="CA"),100,IF(OR(E285="United States",E285="USA",E285="US"),IF(J285="Yes",45,75),65)))</f>
        <v/>
      </c>
      <c r="Y285" s="52">
        <f>IF(C285="","",IF(OR(ISNUMBER(SEARCH("Program",C285)),ISNUMBER(SEARCH("Portfolio",C285)),ISNUMBER(SEARCH("Operations",C285)),ISNUMBER(SEARCH("Transformation",C285))),85,IF(ISNUMBER(SEARCH("Product Manager",C285)),55,70)))</f>
        <v/>
      </c>
      <c r="Z285" s="52">
        <f>IF(C285="","",MIN(100,IF(I285&lt;&gt;"",60,10)+IF(AA285&gt;0,MIN(40,AA285*20),0)))</f>
        <v/>
      </c>
      <c r="AA285" s="52">
        <f>IF(T285="","",ROUND(T285*25%+U285*15%+V285*10%+W285*15%+X285*15%+Y285*10%+Z285*10%,0))</f>
        <v/>
      </c>
      <c r="AB285" s="52">
        <f>IF(AA285="","",IF(X285&lt;50,"Selective / Barrier",IF(AA285&gt;=80,"Tier 1 - Pursue",IF(AA285&gt;=70,"Tier 2 - Pursue",IF(AA285&gt;=60,"Tier 3 - Selective","Do Not Pursue")))))</f>
        <v/>
      </c>
      <c r="AC285" s="52">
        <f>IF(C285="","",IF(I285&lt;&gt;"","Named Contact",IF(AA285&gt;0,"Outreach Logged","Cold")))</f>
        <v/>
      </c>
      <c r="AD285" s="52">
        <f>IF(B285="","",COUNTIF('Outreach Log'!$C:$C,B285))</f>
        <v/>
      </c>
      <c r="AE285" s="52">
        <f>IF(A285="","",IF(OR(K285="Rejected",K285="Closed"),IF(L285&lt;&gt;"",L285-A285,TODAY()-A285),TODAY()-A285))</f>
        <v/>
      </c>
      <c r="AF285" s="52">
        <f>IF(C285="","",IF(AND(AA285&gt;=70,AC285="Cold"),"High-fit but cold",IF(AND(AA285&lt;60,K285="Applied"),"Low-fit application",IF(AND(AA285&gt;=70,OR(AC285="Named Contact",AC285="Outreach Logged")),"Targeted pursuit","Review"))))</f>
        <v/>
      </c>
    </row>
    <row r="286" ht="15" customHeight="1" s="44">
      <c r="A286" s="53" t="n">
        <v>46249</v>
      </c>
      <c r="B286" s="48" t="inlineStr">
        <is>
          <t>Redfin</t>
        </is>
      </c>
      <c r="C286" s="48" t="inlineStr">
        <is>
          <t>Principal Technical Program Manager</t>
        </is>
      </c>
      <c r="D286" s="48" t="inlineStr">
        <is>
          <t>Principal</t>
        </is>
      </c>
      <c r="E286" s="48" t="inlineStr">
        <is>
          <t>US</t>
        </is>
      </c>
      <c r="F286" s="48" t="inlineStr">
        <is>
          <t>Seattle, WA</t>
        </is>
      </c>
      <c r="G286" s="48" t="n">
        <v>68</v>
      </c>
      <c r="H286" s="48" t="inlineStr">
        <is>
          <t>Cold Portal</t>
        </is>
      </c>
      <c r="I286" s="48" t="n"/>
      <c r="J286" s="48" t="inlineStr">
        <is>
          <t>Yes</t>
        </is>
      </c>
      <c r="K286" s="49" t="inlineStr">
        <is>
          <t>Rejected</t>
        </is>
      </c>
      <c r="L286" s="50" t="n">
        <v>46283</v>
      </c>
      <c r="M286" s="48">
        <f>IF(OR(L167="",A167=""),"",L167-A167)</f>
        <v/>
      </c>
      <c r="N286" s="48" t="n"/>
      <c r="O286" s="48" t="n"/>
      <c r="P286" s="51" t="inlineStr">
        <is>
          <t>Applied ~2026-08-15 (per LinkedIn application status: "Applied on company site, 1 month ago", checked 2026-09-15; date approximate). Retroactively logged — was completely missing from tracker; discovered via LinkedIn job posting review. Est. fit score: 68 — Principal TPM level matches her track record; real estate tech is a new vertical with no direct precedent. | REJECTED 2026-09-18: Redfin (via Rocket Companies Workday) — "at this time, the position is no longer..." This confirms the role genuinely did close — resolves the earlier back-and-forth where Elena reported it as still live while Claude's fetch consistently showed it filled.</t>
        </is>
      </c>
      <c r="Q286" s="48" t="n"/>
      <c r="R286" s="48" t="n"/>
      <c r="S286" s="51" t="n"/>
      <c r="T286" s="52">
        <f>IF(G286="","",G286)</f>
        <v/>
      </c>
      <c r="U286" s="52">
        <f>IF(C286="","",IF(OR(ISNUMBER(SEARCH("Director",C286)),ISNUMBER(SEARCH("Lead",C286)),ISNUMBER(SEARCH("Senior",C286)),ISNUMBER(SEARCH("Sr.",C286))),90,IF(OR(ISNUMBER(SEARCH("Manager",C286)),ISNUMBER(SEARCH("Program",C286)),ISNUMBER(SEARCH("Portfolio",C286))),80,60)))</f>
        <v/>
      </c>
      <c r="V286" s="52">
        <f>IF(C286="","",IF(OR(ISNUMBER(SEARCH("AI",C286)),ISNUMBER(SEARCH("Data",C286)),ISNUMBER(SEARCH("Technology",C286)),ISNUMBER(SEARCH("Technical",C286)),ISNUMBER(SEARCH("Engineering",C286)),ISNUMBER(SEARCH("Platform",C286)),ISNUMBER(SEARCH("Portfolio",C286))),85,65))</f>
        <v/>
      </c>
      <c r="W286" s="52">
        <f>IF(C286="","",MIN(100,50+IF(S286&lt;&gt;"",25,0)+IF(R286&lt;&gt;"",15,0)+IF(P286&lt;&gt;"",10,0)))</f>
        <v/>
      </c>
      <c r="X286" s="52">
        <f>IF(E286="","",IF(OR(E286="Canada",E286="CA"),100,IF(OR(E286="United States",E286="USA",E286="US"),IF(J286="Yes",45,75),65)))</f>
        <v/>
      </c>
      <c r="Y286" s="52">
        <f>IF(C286="","",IF(OR(ISNUMBER(SEARCH("Program",C286)),ISNUMBER(SEARCH("Portfolio",C286)),ISNUMBER(SEARCH("Operations",C286)),ISNUMBER(SEARCH("Transformation",C286))),85,IF(ISNUMBER(SEARCH("Product Manager",C286)),55,70)))</f>
        <v/>
      </c>
      <c r="Z286" s="52">
        <f>IF(C286="","",MIN(100,IF(I286&lt;&gt;"",60,10)+IF(AA286&gt;0,MIN(40,AA286*20),0)))</f>
        <v/>
      </c>
      <c r="AA286" s="52">
        <f>IF(T286="","",ROUND(T286*25%+U286*15%+V286*10%+W286*15%+X286*15%+Y286*10%+Z286*10%,0))</f>
        <v/>
      </c>
      <c r="AB286" s="52">
        <f>IF(AA286="","",IF(X286&lt;50,"Selective / Barrier",IF(AA286&gt;=80,"Tier 1 - Pursue",IF(AA286&gt;=70,"Tier 2 - Pursue",IF(AA286&gt;=60,"Tier 3 - Selective","Do Not Pursue")))))</f>
        <v/>
      </c>
      <c r="AC286" s="52">
        <f>IF(C286="","",IF(I286&lt;&gt;"","Named Contact",IF(AA286&gt;0,"Outreach Logged","Cold")))</f>
        <v/>
      </c>
      <c r="AD286" s="52">
        <f>IF(B286="","",COUNTIF('Outreach Log'!$C:$C,B286))</f>
        <v/>
      </c>
      <c r="AE286" s="52">
        <f>IF(A286="","",IF(OR(K286="Rejected",K286="Closed"),IF(L286&lt;&gt;"",L286-A286,TODAY()-A286),TODAY()-A286))</f>
        <v/>
      </c>
      <c r="AF286" s="52">
        <f>IF(C286="","",IF(AND(AA286&gt;=70,AC286="Cold"),"High-fit but cold",IF(AND(AA286&lt;60,K286="Applied"),"Low-fit application",IF(AND(AA286&gt;=70,OR(AC286="Named Contact",AC286="Outreach Logged")),"Targeted pursuit","Review"))))</f>
        <v/>
      </c>
    </row>
    <row r="287" ht="15" customHeight="1" s="44">
      <c r="A287" s="53" t="n">
        <v>46250</v>
      </c>
      <c r="B287" s="48" t="inlineStr">
        <is>
          <t>BEUMER Group</t>
        </is>
      </c>
      <c r="C287" s="48" t="inlineStr">
        <is>
          <t>AI Transformation Program Manager (North America)</t>
        </is>
      </c>
      <c r="D287" s="48" t="inlineStr">
        <is>
          <t>Program Manager</t>
        </is>
      </c>
      <c r="E287" s="48" t="inlineStr">
        <is>
          <t>Canada</t>
        </is>
      </c>
      <c r="F287" s="48" t="inlineStr">
        <is>
          <t>Toronto</t>
        </is>
      </c>
      <c r="G287" s="48" t="n">
        <v>72</v>
      </c>
      <c r="H287" s="48" t="inlineStr">
        <is>
          <t>Cold Portal</t>
        </is>
      </c>
      <c r="I287" s="48" t="n"/>
      <c r="J287" s="48" t="inlineStr">
        <is>
          <t>No</t>
        </is>
      </c>
      <c r="K287" s="55" t="inlineStr">
        <is>
          <t>Applied</t>
        </is>
      </c>
      <c r="L287" s="48" t="n"/>
      <c r="M287" s="48">
        <f>IF(OR(L168="",A168=""),"",L168-A168)</f>
        <v/>
      </c>
      <c r="N287" s="48" t="n"/>
      <c r="O287" s="48" t="n"/>
      <c r="P287" s="51" t="inlineStr">
        <is>
          <t>Confirmed via SmartRecruiters 2026-08-16 8:16am ET. Digitalization &amp; AI Office; reports to CFO of BEUMER North America. STRENGTHS: AI transformation roadmap, use case prioritization by impact/feasibility, end-to-end ownership idea-to-value, business cases and decision memos for executives (Bell TCO + 0M payments case), KPI/ROI tracking, CS degree, LLM tools (Claude, Copilot, Azure AI). GAPS: JD explicitly requires hands-on AI building "not purely conceptual work" plus Python proficiency - Elena AI work is architecture/model selection (Vertex AI) and prototyping rather than production engineering. Also: no manufacturing/intralogistics domain; German an advantage. Location listed as North America - confirm whether Canada-based.</t>
        </is>
      </c>
      <c r="Q287" s="48" t="n"/>
      <c r="R287" s="48" t="n"/>
      <c r="S287" s="51" t="n"/>
      <c r="T287" s="52">
        <f>IF(G287="","",G287)</f>
        <v/>
      </c>
      <c r="U287" s="52">
        <f>IF(C287="","",IF(OR(ISNUMBER(SEARCH("Director",C287)),ISNUMBER(SEARCH("Lead",C287)),ISNUMBER(SEARCH("Senior",C287)),ISNUMBER(SEARCH("Sr.",C287))),90,IF(OR(ISNUMBER(SEARCH("Manager",C287)),ISNUMBER(SEARCH("Program",C287)),ISNUMBER(SEARCH("Portfolio",C287))),80,60)))</f>
        <v/>
      </c>
      <c r="V287" s="52">
        <f>IF(C287="","",IF(OR(ISNUMBER(SEARCH("AI",C287)),ISNUMBER(SEARCH("Data",C287)),ISNUMBER(SEARCH("Technology",C287)),ISNUMBER(SEARCH("Technical",C287)),ISNUMBER(SEARCH("Engineering",C287)),ISNUMBER(SEARCH("Platform",C287)),ISNUMBER(SEARCH("Portfolio",C287))),85,65))</f>
        <v/>
      </c>
      <c r="W287" s="52">
        <f>IF(C287="","",MIN(100,50+IF(S287&lt;&gt;"",25,0)+IF(R287&lt;&gt;"",15,0)+IF(P287&lt;&gt;"",10,0)))</f>
        <v/>
      </c>
      <c r="X287" s="52">
        <f>IF(E287="","",IF(OR(E287="Canada",E287="CA"),100,IF(OR(E287="United States",E287="USA",E287="US"),IF(J287="Yes",45,75),65)))</f>
        <v/>
      </c>
      <c r="Y287" s="52">
        <f>IF(C287="","",IF(OR(ISNUMBER(SEARCH("Program",C287)),ISNUMBER(SEARCH("Portfolio",C287)),ISNUMBER(SEARCH("Operations",C287)),ISNUMBER(SEARCH("Transformation",C287))),85,IF(ISNUMBER(SEARCH("Product Manager",C287)),55,70)))</f>
        <v/>
      </c>
      <c r="Z287" s="52">
        <f>IF(C287="","",MIN(100,IF(I287&lt;&gt;"",60,10)+IF(AA287&gt;0,MIN(40,AA287*20),0)))</f>
        <v/>
      </c>
      <c r="AA287" s="52">
        <f>IF(T287="","",ROUND(T287*25%+U287*15%+V287*10%+W287*15%+X287*15%+Y287*10%+Z287*10%,0))</f>
        <v/>
      </c>
      <c r="AB287" s="52">
        <f>IF(AA287="","",IF(X287&lt;50,"Selective / Barrier",IF(AA287&gt;=80,"Tier 1 - Pursue",IF(AA287&gt;=70,"Tier 2 - Pursue",IF(AA287&gt;=60,"Tier 3 - Selective","Do Not Pursue")))))</f>
        <v/>
      </c>
      <c r="AC287" s="52">
        <f>IF(C287="","",IF(I287&lt;&gt;"","Named Contact",IF(AA287&gt;0,"Outreach Logged","Cold")))</f>
        <v/>
      </c>
      <c r="AD287" s="52">
        <f>IF(B287="","",COUNTIF('Outreach Log'!$C:$C,B287))</f>
        <v/>
      </c>
      <c r="AE287" s="52">
        <f>IF(A287="","",IF(OR(K287="Rejected",K287="Closed"),IF(L287&lt;&gt;"",L287-A287,TODAY()-A287),TODAY()-A287))</f>
        <v/>
      </c>
      <c r="AF287" s="52">
        <f>IF(C287="","",IF(AND(AA287&gt;=70,AC287="Cold"),"High-fit but cold",IF(AND(AA287&lt;60,K287="Applied"),"Low-fit application",IF(AND(AA287&gt;=70,OR(AC287="Named Contact",AC287="Outreach Logged")),"Targeted pursuit","Review"))))</f>
        <v/>
      </c>
    </row>
    <row r="288" ht="15" customHeight="1" s="44">
      <c r="A288" s="53" t="n">
        <v>46250</v>
      </c>
      <c r="B288" s="48" t="inlineStr">
        <is>
          <t>Glean</t>
        </is>
      </c>
      <c r="C288" s="48" t="inlineStr">
        <is>
          <t>Senior Technical Program Manager</t>
        </is>
      </c>
      <c r="D288" s="48" t="inlineStr">
        <is>
          <t>Senior</t>
        </is>
      </c>
      <c r="E288" s="48" t="inlineStr">
        <is>
          <t>US</t>
        </is>
      </c>
      <c r="F288" s="48" t="inlineStr">
        <is>
          <t>Mountain View, CA (hybrid — occasional remote)</t>
        </is>
      </c>
      <c r="G288" s="48" t="n">
        <v>62</v>
      </c>
      <c r="H288" s="48" t="inlineStr">
        <is>
          <t>Cold Portal</t>
        </is>
      </c>
      <c r="I288" s="48" t="n"/>
      <c r="J288" s="48" t="inlineStr">
        <is>
          <t>Yes</t>
        </is>
      </c>
      <c r="K288" s="55" t="inlineStr">
        <is>
          <t>Applied</t>
        </is>
      </c>
      <c r="L288" s="48" t="n"/>
      <c r="M288" s="48">
        <f>IF(OR(L169="",A169=""),"",L169-A169)</f>
        <v/>
      </c>
      <c r="N288" s="48" t="n"/>
      <c r="O288" s="48" t="n"/>
      <c r="P288" s="51" t="inlineStr">
        <is>
          <t>Confirmed via Greenhouse 2026-08-16 7:31pm ET (no-reply@us.greenhouse-mail.io). Enterprise AI search/knowledge platform. Role: Sr. TPM (Product) — leads product roadmap execution across Product/Eng/Design/GTM for multi-quarter programs. STRENGTHS: cross-functional program leadership, multi-quarter structuring, AI-product domain fluency (Bell Vertex AI work, independent agentic AI venture), executive-ready communication. GAPS: (1) Mountain View, CA hybrid — role lists #LI-HYBRID/occasional remote, not fully remote; relocation or frequent travel from Toronto required; (2) sponsorship needed (H-1B transfer available per cap-exempt route, not guaranteed); (3) role centers on product-launch execution rather than enterprise architecture/portfolio governance, a narrower scope than recent Bell/Amazon roles. Est. fit lower than initial 80%+ Bell-comparable roles due to location constraint.</t>
        </is>
      </c>
      <c r="Q288" s="48" t="n"/>
      <c r="R288" s="48" t="n"/>
      <c r="S288" s="51" t="n"/>
      <c r="T288" s="52">
        <f>IF(G288="","",G288)</f>
        <v/>
      </c>
      <c r="U288" s="52">
        <f>IF(C288="","",IF(OR(ISNUMBER(SEARCH("Director",C288)),ISNUMBER(SEARCH("Lead",C288)),ISNUMBER(SEARCH("Senior",C288)),ISNUMBER(SEARCH("Sr.",C288))),90,IF(OR(ISNUMBER(SEARCH("Manager",C288)),ISNUMBER(SEARCH("Program",C288)),ISNUMBER(SEARCH("Portfolio",C288))),80,60)))</f>
        <v/>
      </c>
      <c r="V288" s="52">
        <f>IF(C288="","",IF(OR(ISNUMBER(SEARCH("AI",C288)),ISNUMBER(SEARCH("Data",C288)),ISNUMBER(SEARCH("Technology",C288)),ISNUMBER(SEARCH("Technical",C288)),ISNUMBER(SEARCH("Engineering",C288)),ISNUMBER(SEARCH("Platform",C288)),ISNUMBER(SEARCH("Portfolio",C288))),85,65))</f>
        <v/>
      </c>
      <c r="W288" s="52">
        <f>IF(C288="","",MIN(100,50+IF(S288&lt;&gt;"",25,0)+IF(R288&lt;&gt;"",15,0)+IF(P288&lt;&gt;"",10,0)))</f>
        <v/>
      </c>
      <c r="X288" s="52">
        <f>IF(E288="","",IF(OR(E288="Canada",E288="CA"),100,IF(OR(E288="United States",E288="USA",E288="US"),IF(J288="Yes",45,75),65)))</f>
        <v/>
      </c>
      <c r="Y288" s="52">
        <f>IF(C288="","",IF(OR(ISNUMBER(SEARCH("Program",C288)),ISNUMBER(SEARCH("Portfolio",C288)),ISNUMBER(SEARCH("Operations",C288)),ISNUMBER(SEARCH("Transformation",C288))),85,IF(ISNUMBER(SEARCH("Product Manager",C288)),55,70)))</f>
        <v/>
      </c>
      <c r="Z288" s="52">
        <f>IF(C288="","",MIN(100,IF(I288&lt;&gt;"",60,10)+IF(AA288&gt;0,MIN(40,AA288*20),0)))</f>
        <v/>
      </c>
      <c r="AA288" s="52">
        <f>IF(T288="","",ROUND(T288*25%+U288*15%+V288*10%+W288*15%+X288*15%+Y288*10%+Z288*10%,0))</f>
        <v/>
      </c>
      <c r="AB288" s="52">
        <f>IF(AA288="","",IF(X288&lt;50,"Selective / Barrier",IF(AA288&gt;=80,"Tier 1 - Pursue",IF(AA288&gt;=70,"Tier 2 - Pursue",IF(AA288&gt;=60,"Tier 3 - Selective","Do Not Pursue")))))</f>
        <v/>
      </c>
      <c r="AC288" s="52">
        <f>IF(C288="","",IF(I288&lt;&gt;"","Named Contact",IF(AA288&gt;0,"Outreach Logged","Cold")))</f>
        <v/>
      </c>
      <c r="AD288" s="52">
        <f>IF(B288="","",COUNTIF('Outreach Log'!$C:$C,B288))</f>
        <v/>
      </c>
      <c r="AE288" s="52">
        <f>IF(A288="","",IF(OR(K288="Rejected",K288="Closed"),IF(L288&lt;&gt;"",L288-A288,TODAY()-A288),TODAY()-A288))</f>
        <v/>
      </c>
      <c r="AF288" s="52">
        <f>IF(C288="","",IF(AND(AA288&gt;=70,AC288="Cold"),"High-fit but cold",IF(AND(AA288&lt;60,K288="Applied"),"Low-fit application",IF(AND(AA288&gt;=70,OR(AC288="Named Contact",AC288="Outreach Logged")),"Targeted pursuit","Review"))))</f>
        <v/>
      </c>
    </row>
    <row r="289" ht="15" customHeight="1" s="44">
      <c r="A289" s="53" t="n">
        <v>46250</v>
      </c>
      <c r="B289" s="48" t="inlineStr">
        <is>
          <t>BEUMER Group</t>
        </is>
      </c>
      <c r="C289" s="48" t="inlineStr">
        <is>
          <t>(role unspecified)</t>
        </is>
      </c>
      <c r="D289" s="48" t="n"/>
      <c r="E289" s="48" t="n"/>
      <c r="F289" s="48" t="n"/>
      <c r="G289" s="48" t="n"/>
      <c r="H289" s="48" t="n"/>
      <c r="I289" s="48" t="n"/>
      <c r="J289" s="48" t="n"/>
      <c r="K289" s="55" t="inlineStr">
        <is>
          <t>Applied</t>
        </is>
      </c>
      <c r="L289" s="48" t="n"/>
      <c r="M289" s="48" t="n"/>
      <c r="N289" s="48" t="n"/>
      <c r="O289" s="48" t="n"/>
      <c r="P289" s="51" t="inlineStr">
        <is>
          <t>Duplicate of Sep 8</t>
        </is>
      </c>
      <c r="Q289" s="48" t="n"/>
      <c r="R289" s="48" t="n"/>
      <c r="S289" s="51" t="n"/>
      <c r="T289" s="52">
        <f>IF(G289="","",G289)</f>
        <v/>
      </c>
      <c r="U289" s="52">
        <f>IF(C289="","",IF(OR(ISNUMBER(SEARCH("Director",C289)),ISNUMBER(SEARCH("Lead",C289)),ISNUMBER(SEARCH("Senior",C289)),ISNUMBER(SEARCH("Sr.",C289))),90,IF(OR(ISNUMBER(SEARCH("Manager",C289)),ISNUMBER(SEARCH("Program",C289)),ISNUMBER(SEARCH("Portfolio",C289))),80,60)))</f>
        <v/>
      </c>
      <c r="V289" s="52">
        <f>IF(C289="","",IF(OR(ISNUMBER(SEARCH("AI",C289)),ISNUMBER(SEARCH("Data",C289)),ISNUMBER(SEARCH("Technology",C289)),ISNUMBER(SEARCH("Technical",C289)),ISNUMBER(SEARCH("Engineering",C289)),ISNUMBER(SEARCH("Platform",C289)),ISNUMBER(SEARCH("Portfolio",C289))),85,65))</f>
        <v/>
      </c>
      <c r="W289" s="52">
        <f>IF(C289="","",MIN(100,50+IF(S289&lt;&gt;"",25,0)+IF(R289&lt;&gt;"",15,0)+IF(P289&lt;&gt;"",10,0)))</f>
        <v/>
      </c>
      <c r="X289" s="52">
        <f>IF(E289="","",IF(OR(E289="Canada",E289="CA"),100,IF(OR(E289="United States",E289="USA",E289="US"),IF(J289="Yes",45,75),65)))</f>
        <v/>
      </c>
      <c r="Y289" s="52">
        <f>IF(C289="","",IF(OR(ISNUMBER(SEARCH("Program",C289)),ISNUMBER(SEARCH("Portfolio",C289)),ISNUMBER(SEARCH("Operations",C289)),ISNUMBER(SEARCH("Transformation",C289))),85,IF(ISNUMBER(SEARCH("Product Manager",C289)),55,70)))</f>
        <v/>
      </c>
      <c r="Z289" s="52">
        <f>IF(C289="","",MIN(100,IF(I289&lt;&gt;"",60,10)+IF(AA289&gt;0,MIN(40,AA289*20),0)))</f>
        <v/>
      </c>
      <c r="AA289" s="52">
        <f>IF(T289="","",ROUND(T289*25%+U289*15%+V289*10%+W289*15%+X289*15%+Y289*10%+Z289*10%,0))</f>
        <v/>
      </c>
      <c r="AB289" s="52">
        <f>IF(AA289="","",IF(X289&lt;50,"Selective / Barrier",IF(AA289&gt;=80,"Tier 1 - Pursue",IF(AA289&gt;=70,"Tier 2 - Pursue",IF(AA289&gt;=60,"Tier 3 - Selective","Do Not Pursue")))))</f>
        <v/>
      </c>
      <c r="AC289" s="52">
        <f>IF(C289="","",IF(I289&lt;&gt;"","Named Contact",IF(AA289&gt;0,"Outreach Logged","Cold")))</f>
        <v/>
      </c>
      <c r="AD289" s="52">
        <f>IF(B289="","",COUNTIF('Outreach Log'!$C:$C,B289))</f>
        <v/>
      </c>
      <c r="AE289" s="52">
        <f>IF(A289="","",IF(OR(K289="Rejected",K289="Closed"),IF(L289&lt;&gt;"",L289-A289,TODAY()-A289),TODAY()-A289))</f>
        <v/>
      </c>
      <c r="AF289" s="52">
        <f>IF(C289="","",IF(AND(AA289&gt;=70,AC289="Cold"),"High-fit but cold",IF(AND(AA289&lt;60,K289="Applied"),"Low-fit application",IF(AND(AA289&gt;=70,OR(AC289="Named Contact",AC289="Outreach Logged")),"Targeted pursuit","Review"))))</f>
        <v/>
      </c>
    </row>
    <row r="290" ht="15" customHeight="1" s="44">
      <c r="A290" s="53" t="n">
        <v>46250</v>
      </c>
      <c r="B290" s="48" t="inlineStr">
        <is>
          <t>Sanofi</t>
        </is>
      </c>
      <c r="C290" s="48" t="inlineStr">
        <is>
          <t>Digital Product Owner (R2863051)</t>
        </is>
      </c>
      <c r="D290" s="48" t="n"/>
      <c r="E290" s="48" t="n"/>
      <c r="F290" s="48" t="n"/>
      <c r="G290" s="48" t="n"/>
      <c r="H290" s="48" t="n"/>
      <c r="I290" s="48" t="n"/>
      <c r="J290" s="48" t="n"/>
      <c r="K290" s="49" t="inlineStr">
        <is>
          <t>Rejected</t>
        </is>
      </c>
      <c r="L290" s="48" t="n"/>
      <c r="M290" s="48" t="n"/>
      <c r="N290" s="48" t="n"/>
      <c r="O290" s="48" t="n"/>
      <c r="P290" s="51" t="inlineStr">
        <is>
          <t>Rejected (per Greenhouse portal review, Sep 20 2026). Position no longer available</t>
        </is>
      </c>
      <c r="Q290" s="48" t="n"/>
      <c r="R290" s="48" t="n"/>
      <c r="S290" s="51" t="n"/>
      <c r="T290" s="52">
        <f>IF(G290="","",G290)</f>
        <v/>
      </c>
      <c r="U290" s="52">
        <f>IF(C290="","",IF(OR(ISNUMBER(SEARCH("Director",C290)),ISNUMBER(SEARCH("Lead",C290)),ISNUMBER(SEARCH("Senior",C290)),ISNUMBER(SEARCH("Sr.",C290))),90,IF(OR(ISNUMBER(SEARCH("Manager",C290)),ISNUMBER(SEARCH("Program",C290)),ISNUMBER(SEARCH("Portfolio",C290))),80,60)))</f>
        <v/>
      </c>
      <c r="V290" s="52">
        <f>IF(C290="","",IF(OR(ISNUMBER(SEARCH("AI",C290)),ISNUMBER(SEARCH("Data",C290)),ISNUMBER(SEARCH("Technology",C290)),ISNUMBER(SEARCH("Technical",C290)),ISNUMBER(SEARCH("Engineering",C290)),ISNUMBER(SEARCH("Platform",C290)),ISNUMBER(SEARCH("Portfolio",C290))),85,65))</f>
        <v/>
      </c>
      <c r="W290" s="52">
        <f>IF(C290="","",MIN(100,50+IF(S290&lt;&gt;"",25,0)+IF(R290&lt;&gt;"",15,0)+IF(P290&lt;&gt;"",10,0)))</f>
        <v/>
      </c>
      <c r="X290" s="52">
        <f>IF(E290="","",IF(OR(E290="Canada",E290="CA"),100,IF(OR(E290="United States",E290="USA",E290="US"),IF(J290="Yes",45,75),65)))</f>
        <v/>
      </c>
      <c r="Y290" s="52">
        <f>IF(C290="","",IF(OR(ISNUMBER(SEARCH("Program",C290)),ISNUMBER(SEARCH("Portfolio",C290)),ISNUMBER(SEARCH("Operations",C290)),ISNUMBER(SEARCH("Transformation",C290))),85,IF(ISNUMBER(SEARCH("Product Manager",C290)),55,70)))</f>
        <v/>
      </c>
      <c r="Z290" s="52">
        <f>IF(C290="","",MIN(100,IF(I290&lt;&gt;"",60,10)+IF(AA290&gt;0,MIN(40,AA290*20),0)))</f>
        <v/>
      </c>
      <c r="AA290" s="52">
        <f>IF(T290="","",ROUND(T290*25%+U290*15%+V290*10%+W290*15%+X290*15%+Y290*10%+Z290*10%,0))</f>
        <v/>
      </c>
      <c r="AB290" s="52">
        <f>IF(AA290="","",IF(X290&lt;50,"Selective / Barrier",IF(AA290&gt;=80,"Tier 1 - Pursue",IF(AA290&gt;=70,"Tier 2 - Pursue",IF(AA290&gt;=60,"Tier 3 - Selective","Do Not Pursue")))))</f>
        <v/>
      </c>
      <c r="AC290" s="52">
        <f>IF(C290="","",IF(I290&lt;&gt;"","Named Contact",IF(AA290&gt;0,"Outreach Logged","Cold")))</f>
        <v/>
      </c>
      <c r="AD290" s="52">
        <f>IF(B290="","",COUNTIF('Outreach Log'!$C:$C,B290))</f>
        <v/>
      </c>
      <c r="AE290" s="52">
        <f>IF(A290="","",IF(OR(K290="Rejected",K290="Closed"),IF(L290&lt;&gt;"",L290-A290,TODAY()-A290),TODAY()-A290))</f>
        <v/>
      </c>
      <c r="AF290" s="52">
        <f>IF(C290="","",IF(AND(AA290&gt;=70,AC290="Cold"),"High-fit but cold",IF(AND(AA290&lt;60,K290="Applied"),"Low-fit application",IF(AND(AA290&gt;=70,OR(AC290="Named Contact",AC290="Outreach Logged")),"Targeted pursuit","Review"))))</f>
        <v/>
      </c>
    </row>
    <row r="291" ht="15" customHeight="1" s="44">
      <c r="A291" s="53" t="n">
        <v>46251</v>
      </c>
      <c r="B291" s="48" t="inlineStr">
        <is>
          <t>Plaid</t>
        </is>
      </c>
      <c r="C291" s="48" t="inlineStr">
        <is>
          <t>Technical Program Manager</t>
        </is>
      </c>
      <c r="D291" s="48" t="inlineStr">
        <is>
          <t>Mid-Senior (verify)</t>
        </is>
      </c>
      <c r="E291" s="48" t="inlineStr">
        <is>
          <t>US</t>
        </is>
      </c>
      <c r="F291" s="48" t="inlineStr">
        <is>
          <t>Greater Seattle Area, WA (Hybrid)</t>
        </is>
      </c>
      <c r="G291" s="48" t="n">
        <v>65</v>
      </c>
      <c r="H291" s="48" t="inlineStr">
        <is>
          <t>Cold Portal</t>
        </is>
      </c>
      <c r="I291" s="48" t="n"/>
      <c r="J291" s="48" t="inlineStr">
        <is>
          <t>Yes</t>
        </is>
      </c>
      <c r="K291" s="55" t="inlineStr">
        <is>
          <t>Applied</t>
        </is>
      </c>
      <c r="L291" s="48" t="n"/>
      <c r="M291" s="48">
        <f>IF(OR(L170="",A170=""),"",L170-A170)</f>
        <v/>
      </c>
      <c r="N291" s="48" t="n"/>
      <c r="O291" s="48" t="n"/>
      <c r="P291" s="51" t="inlineStr">
        <is>
          <t>Confirmed via Ashby 2026-08-17 1:38am ET (no-reply@ashbyhq.com). Fintech/financial data infrastructure company. Multiple Plaid TPM postings exist (Connectivity/Open Finance compliance, FinOps, platform reliability) — exact req not yet confirmed from email. STRENGTHS: regulated-environment delivery (IBM GBS federal/state health/HIPAA maps to fintech compliance framing), cross-functional platform program leadership, data platform experience (Amazon Search &amp; Catalog). GAPS: (1) fintech-specific regulatory domain (Open Finance, banking compliance) not directly evidenced in background; (2) sponsorship required, and not all Plaid TPM reqs are remote — some are SF-HQ; (3) role level unclear (Experienced vs Staff vs Head) — verify seniority band before interview prep. | Location confirmed 2026-09-15 per LinkedIn: Greater Seattle Area (Hybrid).</t>
        </is>
      </c>
      <c r="Q291" s="48" t="n"/>
      <c r="R291" s="48" t="n"/>
      <c r="S291" s="51" t="n"/>
      <c r="T291" s="52">
        <f>IF(G291="","",G291)</f>
        <v/>
      </c>
      <c r="U291" s="52">
        <f>IF(C291="","",IF(OR(ISNUMBER(SEARCH("Director",C291)),ISNUMBER(SEARCH("Lead",C291)),ISNUMBER(SEARCH("Senior",C291)),ISNUMBER(SEARCH("Sr.",C291))),90,IF(OR(ISNUMBER(SEARCH("Manager",C291)),ISNUMBER(SEARCH("Program",C291)),ISNUMBER(SEARCH("Portfolio",C291))),80,60)))</f>
        <v/>
      </c>
      <c r="V291" s="52">
        <f>IF(C291="","",IF(OR(ISNUMBER(SEARCH("AI",C291)),ISNUMBER(SEARCH("Data",C291)),ISNUMBER(SEARCH("Technology",C291)),ISNUMBER(SEARCH("Technical",C291)),ISNUMBER(SEARCH("Engineering",C291)),ISNUMBER(SEARCH("Platform",C291)),ISNUMBER(SEARCH("Portfolio",C291))),85,65))</f>
        <v/>
      </c>
      <c r="W291" s="52">
        <f>IF(C291="","",MIN(100,50+IF(S291&lt;&gt;"",25,0)+IF(R291&lt;&gt;"",15,0)+IF(P291&lt;&gt;"",10,0)))</f>
        <v/>
      </c>
      <c r="X291" s="52">
        <f>IF(E291="","",IF(OR(E291="Canada",E291="CA"),100,IF(OR(E291="United States",E291="USA",E291="US"),IF(J291="Yes",45,75),65)))</f>
        <v/>
      </c>
      <c r="Y291" s="52">
        <f>IF(C291="","",IF(OR(ISNUMBER(SEARCH("Program",C291)),ISNUMBER(SEARCH("Portfolio",C291)),ISNUMBER(SEARCH("Operations",C291)),ISNUMBER(SEARCH("Transformation",C291))),85,IF(ISNUMBER(SEARCH("Product Manager",C291)),55,70)))</f>
        <v/>
      </c>
      <c r="Z291" s="52">
        <f>IF(C291="","",MIN(100,IF(I291&lt;&gt;"",60,10)+IF(AA291&gt;0,MIN(40,AA291*20),0)))</f>
        <v/>
      </c>
      <c r="AA291" s="52">
        <f>IF(T291="","",ROUND(T291*25%+U291*15%+V291*10%+W291*15%+X291*15%+Y291*10%+Z291*10%,0))</f>
        <v/>
      </c>
      <c r="AB291" s="52">
        <f>IF(AA291="","",IF(X291&lt;50,"Selective / Barrier",IF(AA291&gt;=80,"Tier 1 - Pursue",IF(AA291&gt;=70,"Tier 2 - Pursue",IF(AA291&gt;=60,"Tier 3 - Selective","Do Not Pursue")))))</f>
        <v/>
      </c>
      <c r="AC291" s="52">
        <f>IF(C291="","",IF(I291&lt;&gt;"","Named Contact",IF(AA291&gt;0,"Outreach Logged","Cold")))</f>
        <v/>
      </c>
      <c r="AD291" s="52">
        <f>IF(B291="","",COUNTIF('Outreach Log'!$C:$C,B291))</f>
        <v/>
      </c>
      <c r="AE291" s="52">
        <f>IF(A291="","",IF(OR(K291="Rejected",K291="Closed"),IF(L291&lt;&gt;"",L291-A291,TODAY()-A291),TODAY()-A291))</f>
        <v/>
      </c>
      <c r="AF291" s="52">
        <f>IF(C291="","",IF(AND(AA291&gt;=70,AC291="Cold"),"High-fit but cold",IF(AND(AA291&lt;60,K291="Applied"),"Low-fit application",IF(AND(AA291&gt;=70,OR(AC291="Named Contact",AC291="Outreach Logged")),"Targeted pursuit","Review"))))</f>
        <v/>
      </c>
    </row>
    <row r="292" ht="15" customHeight="1" s="44">
      <c r="A292" s="53" t="n">
        <v>46251</v>
      </c>
      <c r="B292" s="48" t="inlineStr">
        <is>
          <t>GitHub</t>
        </is>
      </c>
      <c r="C292" s="48" t="inlineStr">
        <is>
          <t>Director, Technical Program Management (2026-5625)</t>
        </is>
      </c>
      <c r="D292" s="48" t="inlineStr">
        <is>
          <t>Director</t>
        </is>
      </c>
      <c r="E292" s="48" t="inlineStr">
        <is>
          <t>US</t>
        </is>
      </c>
      <c r="F292" s="48" t="inlineStr">
        <is>
          <t>Remote, United States</t>
        </is>
      </c>
      <c r="G292" s="48" t="n">
        <v>68</v>
      </c>
      <c r="H292" s="48" t="inlineStr">
        <is>
          <t>Cold Portal</t>
        </is>
      </c>
      <c r="I292" s="48" t="n"/>
      <c r="J292" s="48" t="inlineStr">
        <is>
          <t>Yes</t>
        </is>
      </c>
      <c r="K292" s="49" t="inlineStr">
        <is>
          <t>Rejected</t>
        </is>
      </c>
      <c r="L292" s="50" t="n">
        <v>46274</v>
      </c>
      <c r="M292" s="48">
        <f>IF(OR(L171="",A171=""),"",L171-A171)</f>
        <v/>
      </c>
      <c r="N292" s="48" t="n"/>
      <c r="O292" s="48" t="n"/>
      <c r="P292" s="51" t="inlineStr">
        <is>
          <t>Confirmed via iCIMS 2026-08-17 1:25pm ET (githubinc+autoreply@talent.icims.com), Req 2026-5625. Director leading GitHub Engineering TPM team org-wide (not a single-program IC/TPM role). STRENGTHS: cross-functional integrator framing, program governance, risk/OKR frameworks, executive alignment across engineering all map to Bell/Amazon/IBM experience. GAPS: (1) requires 3+ years direct people management — largest direct team led was 6 (IBM CIO org), not a management chain of TPMs; (2) role is org-level TPM function leadership, a step beyond individual technical program ownership; (3) prefers 10+ yrs eng/TPM/product background — met on years, though most of Elena's depth is program/portfolio rather than product. Second GitHub application (see Senior Program Manager 2026-5631, row 128). | REJECTED 2026-09-09 via githubinc+autoreply@talent.icims.com ("GitHub Application Follow Up for Elena Shchetinina"): "we have decided to move forward with other candidates." 23 days from application (8/17) to response (9/9).</t>
        </is>
      </c>
      <c r="Q292" s="48" t="n"/>
      <c r="R292" s="48" t="n"/>
      <c r="S292" s="51" t="n"/>
      <c r="T292" s="52">
        <f>IF(G292="","",G292)</f>
        <v/>
      </c>
      <c r="U292" s="52">
        <f>IF(C292="","",IF(OR(ISNUMBER(SEARCH("Director",C292)),ISNUMBER(SEARCH("Lead",C292)),ISNUMBER(SEARCH("Senior",C292)),ISNUMBER(SEARCH("Sr.",C292))),90,IF(OR(ISNUMBER(SEARCH("Manager",C292)),ISNUMBER(SEARCH("Program",C292)),ISNUMBER(SEARCH("Portfolio",C292))),80,60)))</f>
        <v/>
      </c>
      <c r="V292" s="52">
        <f>IF(C292="","",IF(OR(ISNUMBER(SEARCH("AI",C292)),ISNUMBER(SEARCH("Data",C292)),ISNUMBER(SEARCH("Technology",C292)),ISNUMBER(SEARCH("Technical",C292)),ISNUMBER(SEARCH("Engineering",C292)),ISNUMBER(SEARCH("Platform",C292)),ISNUMBER(SEARCH("Portfolio",C292))),85,65))</f>
        <v/>
      </c>
      <c r="W292" s="52">
        <f>IF(C292="","",MIN(100,50+IF(S292&lt;&gt;"",25,0)+IF(R292&lt;&gt;"",15,0)+IF(P292&lt;&gt;"",10,0)))</f>
        <v/>
      </c>
      <c r="X292" s="52">
        <f>IF(E292="","",IF(OR(E292="Canada",E292="CA"),100,IF(OR(E292="United States",E292="USA",E292="US"),IF(J292="Yes",45,75),65)))</f>
        <v/>
      </c>
      <c r="Y292" s="52">
        <f>IF(C292="","",IF(OR(ISNUMBER(SEARCH("Program",C292)),ISNUMBER(SEARCH("Portfolio",C292)),ISNUMBER(SEARCH("Operations",C292)),ISNUMBER(SEARCH("Transformation",C292))),85,IF(ISNUMBER(SEARCH("Product Manager",C292)),55,70)))</f>
        <v/>
      </c>
      <c r="Z292" s="52">
        <f>IF(C292="","",MIN(100,IF(I292&lt;&gt;"",60,10)+IF(AA292&gt;0,MIN(40,AA292*20),0)))</f>
        <v/>
      </c>
      <c r="AA292" s="52">
        <f>IF(T292="","",ROUND(T292*25%+U292*15%+V292*10%+W292*15%+X292*15%+Y292*10%+Z292*10%,0))</f>
        <v/>
      </c>
      <c r="AB292" s="52">
        <f>IF(AA292="","",IF(X292&lt;50,"Selective / Barrier",IF(AA292&gt;=80,"Tier 1 - Pursue",IF(AA292&gt;=70,"Tier 2 - Pursue",IF(AA292&gt;=60,"Tier 3 - Selective","Do Not Pursue")))))</f>
        <v/>
      </c>
      <c r="AC292" s="52">
        <f>IF(C292="","",IF(I292&lt;&gt;"","Named Contact",IF(AA292&gt;0,"Outreach Logged","Cold")))</f>
        <v/>
      </c>
      <c r="AD292" s="52">
        <f>IF(B292="","",COUNTIF('Outreach Log'!$C:$C,B292))</f>
        <v/>
      </c>
      <c r="AE292" s="52">
        <f>IF(A292="","",IF(OR(K292="Rejected",K292="Closed"),IF(L292&lt;&gt;"",L292-A292,TODAY()-A292),TODAY()-A292))</f>
        <v/>
      </c>
      <c r="AF292" s="52">
        <f>IF(C292="","",IF(AND(AA292&gt;=70,AC292="Cold"),"High-fit but cold",IF(AND(AA292&lt;60,K292="Applied"),"Low-fit application",IF(AND(AA292&gt;=70,OR(AC292="Named Contact",AC292="Outreach Logged")),"Targeted pursuit","Review"))))</f>
        <v/>
      </c>
    </row>
    <row r="293" ht="15" customHeight="1" s="44">
      <c r="A293" s="53" t="n">
        <v>46251</v>
      </c>
      <c r="B293" s="48" t="inlineStr">
        <is>
          <t>Deloitte</t>
        </is>
      </c>
      <c r="C293" s="48" t="inlineStr">
        <is>
          <t>Ascend Program PMO Director (18-month fixed-term contract, ref 133842)</t>
        </is>
      </c>
      <c r="D293" s="48" t="inlineStr">
        <is>
          <t>Director</t>
        </is>
      </c>
      <c r="E293" s="48" t="inlineStr">
        <is>
          <t>Canada</t>
        </is>
      </c>
      <c r="F293" s="48" t="inlineStr">
        <is>
          <t>Toronto</t>
        </is>
      </c>
      <c r="G293" s="48" t="n">
        <v>78</v>
      </c>
      <c r="H293" s="48" t="inlineStr">
        <is>
          <t>Cold Portal</t>
        </is>
      </c>
      <c r="I293" s="48" t="n"/>
      <c r="J293" s="48" t="inlineStr">
        <is>
          <t>No</t>
        </is>
      </c>
      <c r="K293" s="49" t="inlineStr">
        <is>
          <t>Rejected</t>
        </is>
      </c>
      <c r="L293" s="50" t="n">
        <v>46270</v>
      </c>
      <c r="M293" s="48">
        <f>IF(OR(L172="",A172=""),"",L172-A172)</f>
        <v/>
      </c>
      <c r="N293" s="48" t="n"/>
      <c r="O293" s="48" t="n"/>
      <c r="P293" s="51" t="inlineStr">
        <is>
          <t>Confirmed via Deloitte careers portal 2026-08-17 2:31pm ET (noreply@deloitte.ca), ref 133842. 18-month fixed-term contract, Global Consulting, PMO governance execution role (RAID, RACI, decision logs, escalation playbooks, steering-committee reporting) — no AI-specific requirements in JD. STRENGTHS: direct match to Bell TCO governance work (60+ stakeholders, RAID/dependency management), Amazon multi-program execution, IBM GBS consulting-client delivery background. GAPS: (1) fixed-term contract, not permanent — confirm if that fits current goals; (2) Big 4 consulting Director level — most recent experience is in-house/enterprise, not client-facing consulting (though IBM GBS 2015-2019 is directly relevant here); (3) "Ascend Program" scope/client not specified in JD, limits how precisely tailored the resume could be. Tailored resume built: Resume_ElenaShchetinina_Deloitte_PMODirector.docx. | REJECTED via Deloitte auto-notification (noreply@deloitte.ca), received 2026-09-05 5:00pm ET: standard rejection, encouraged to apply to other roles/set up career alerts. 19 days from application (8/17) to response (9/5).</t>
        </is>
      </c>
      <c r="Q293" s="48" t="n"/>
      <c r="R293" s="48" t="n"/>
      <c r="S293" s="51" t="n"/>
      <c r="T293" s="52">
        <f>IF(G293="","",G293)</f>
        <v/>
      </c>
      <c r="U293" s="52">
        <f>IF(C293="","",IF(OR(ISNUMBER(SEARCH("Director",C293)),ISNUMBER(SEARCH("Lead",C293)),ISNUMBER(SEARCH("Senior",C293)),ISNUMBER(SEARCH("Sr.",C293))),90,IF(OR(ISNUMBER(SEARCH("Manager",C293)),ISNUMBER(SEARCH("Program",C293)),ISNUMBER(SEARCH("Portfolio",C293))),80,60)))</f>
        <v/>
      </c>
      <c r="V293" s="52">
        <f>IF(C293="","",IF(OR(ISNUMBER(SEARCH("AI",C293)),ISNUMBER(SEARCH("Data",C293)),ISNUMBER(SEARCH("Technology",C293)),ISNUMBER(SEARCH("Technical",C293)),ISNUMBER(SEARCH("Engineering",C293)),ISNUMBER(SEARCH("Platform",C293)),ISNUMBER(SEARCH("Portfolio",C293))),85,65))</f>
        <v/>
      </c>
      <c r="W293" s="52">
        <f>IF(C293="","",MIN(100,50+IF(S293&lt;&gt;"",25,0)+IF(R293&lt;&gt;"",15,0)+IF(P293&lt;&gt;"",10,0)))</f>
        <v/>
      </c>
      <c r="X293" s="52">
        <f>IF(E293="","",IF(OR(E293="Canada",E293="CA"),100,IF(OR(E293="United States",E293="USA",E293="US"),IF(J293="Yes",45,75),65)))</f>
        <v/>
      </c>
      <c r="Y293" s="52">
        <f>IF(C293="","",IF(OR(ISNUMBER(SEARCH("Program",C293)),ISNUMBER(SEARCH("Portfolio",C293)),ISNUMBER(SEARCH("Operations",C293)),ISNUMBER(SEARCH("Transformation",C293))),85,IF(ISNUMBER(SEARCH("Product Manager",C293)),55,70)))</f>
        <v/>
      </c>
      <c r="Z293" s="52">
        <f>IF(C293="","",MIN(100,IF(I293&lt;&gt;"",60,10)+IF(AA293&gt;0,MIN(40,AA293*20),0)))</f>
        <v/>
      </c>
      <c r="AA293" s="52">
        <f>IF(T293="","",ROUND(T293*25%+U293*15%+V293*10%+W293*15%+X293*15%+Y293*10%+Z293*10%,0))</f>
        <v/>
      </c>
      <c r="AB293" s="52">
        <f>IF(AA293="","",IF(X293&lt;50,"Selective / Barrier",IF(AA293&gt;=80,"Tier 1 - Pursue",IF(AA293&gt;=70,"Tier 2 - Pursue",IF(AA293&gt;=60,"Tier 3 - Selective","Do Not Pursue")))))</f>
        <v/>
      </c>
      <c r="AC293" s="52">
        <f>IF(C293="","",IF(I293&lt;&gt;"","Named Contact",IF(AA293&gt;0,"Outreach Logged","Cold")))</f>
        <v/>
      </c>
      <c r="AD293" s="52">
        <f>IF(B293="","",COUNTIF('Outreach Log'!$C:$C,B293))</f>
        <v/>
      </c>
      <c r="AE293" s="52">
        <f>IF(A293="","",IF(OR(K293="Rejected",K293="Closed"),IF(L293&lt;&gt;"",L293-A293,TODAY()-A293),TODAY()-A293))</f>
        <v/>
      </c>
      <c r="AF293" s="52">
        <f>IF(C293="","",IF(AND(AA293&gt;=70,AC293="Cold"),"High-fit but cold",IF(AND(AA293&lt;60,K293="Applied"),"Low-fit application",IF(AND(AA293&gt;=70,OR(AC293="Named Contact",AC293="Outreach Logged")),"Targeted pursuit","Review"))))</f>
        <v/>
      </c>
    </row>
    <row r="294" ht="15" customHeight="1" s="44">
      <c r="A294" s="53" t="n">
        <v>46251</v>
      </c>
      <c r="B294" s="48" t="inlineStr">
        <is>
          <t>Tenstorrent</t>
        </is>
      </c>
      <c r="C294" s="48" t="inlineStr">
        <is>
          <t>Staff Technical Program Manager, Agentic Workflows &amp; Program Intelligence</t>
        </is>
      </c>
      <c r="D294" s="48" t="inlineStr">
        <is>
          <t>Staff</t>
        </is>
      </c>
      <c r="E294" s="48" t="inlineStr">
        <is>
          <t>Canada</t>
        </is>
      </c>
      <c r="F294" s="48" t="inlineStr">
        <is>
          <t>Toronto</t>
        </is>
      </c>
      <c r="G294" s="48" t="n">
        <v>76</v>
      </c>
      <c r="H294" s="48" t="inlineStr">
        <is>
          <t>Cold Portal</t>
        </is>
      </c>
      <c r="I294" s="48" t="n"/>
      <c r="J294" s="48" t="inlineStr">
        <is>
          <t>No</t>
        </is>
      </c>
      <c r="K294" s="55" t="inlineStr">
        <is>
          <t>Applied</t>
        </is>
      </c>
      <c r="L294" s="48" t="n"/>
      <c r="M294" s="48">
        <f>IF(OR(L173="",A173=""),"",L173-A173)</f>
        <v/>
      </c>
      <c r="N294" s="48" t="n"/>
      <c r="O294" s="48" t="n"/>
      <c r="P294" s="51" t="inlineStr">
        <is>
          <t>Confirmed via Greenhouse 2026-08-17 5:13pm ET (no-reply@us.greenhouse-mail.io). Generic confirmation, no req ID — Elena confirmed exact title as Staff Technical Program Manager, Agentic Workflows &amp; Program Intelligence. This role is Staff-level and explicitly AI/agentic-software focused rather than chip/silicon-hardware focused — posted simultaneously in Toronto, Austin, and Santa Clara, listed as in-person (not hybrid). STRENGTHS: strong alignment — "agentic workflows" and "program intelligence" map directly to Elena's independent agentic AI platform build, Bell TCO AI-based solution evaluation (Vertex AI), and general TPM/metrics/dashboard strength. Best AI-domain fit of any Tenstorrent req found. GAPS: (1) In-person, not hybrid — confirm this is workable; (2) Staff level and "Program Intelligence" framing may still expect some familiarity with hardware/silicon program context given company’s core business — verify scope at screen stage; (3) exact req/JD not independently verified beyond job-board listing snippets — confirm scope once contacted.</t>
        </is>
      </c>
      <c r="Q294" s="48" t="n"/>
      <c r="R294" s="48" t="n"/>
      <c r="S294" s="51" t="n"/>
      <c r="T294" s="52">
        <f>IF(G294="","",G294)</f>
        <v/>
      </c>
      <c r="U294" s="52">
        <f>IF(C294="","",IF(OR(ISNUMBER(SEARCH("Director",C294)),ISNUMBER(SEARCH("Lead",C294)),ISNUMBER(SEARCH("Senior",C294)),ISNUMBER(SEARCH("Sr.",C294))),90,IF(OR(ISNUMBER(SEARCH("Manager",C294)),ISNUMBER(SEARCH("Program",C294)),ISNUMBER(SEARCH("Portfolio",C294))),80,60)))</f>
        <v/>
      </c>
      <c r="V294" s="52">
        <f>IF(C294="","",IF(OR(ISNUMBER(SEARCH("AI",C294)),ISNUMBER(SEARCH("Data",C294)),ISNUMBER(SEARCH("Technology",C294)),ISNUMBER(SEARCH("Technical",C294)),ISNUMBER(SEARCH("Engineering",C294)),ISNUMBER(SEARCH("Platform",C294)),ISNUMBER(SEARCH("Portfolio",C294))),85,65))</f>
        <v/>
      </c>
      <c r="W294" s="52">
        <f>IF(C294="","",MIN(100,50+IF(S294&lt;&gt;"",25,0)+IF(R294&lt;&gt;"",15,0)+IF(P294&lt;&gt;"",10,0)))</f>
        <v/>
      </c>
      <c r="X294" s="52">
        <f>IF(E294="","",IF(OR(E294="Canada",E294="CA"),100,IF(OR(E294="United States",E294="USA",E294="US"),IF(J294="Yes",45,75),65)))</f>
        <v/>
      </c>
      <c r="Y294" s="52">
        <f>IF(C294="","",IF(OR(ISNUMBER(SEARCH("Program",C294)),ISNUMBER(SEARCH("Portfolio",C294)),ISNUMBER(SEARCH("Operations",C294)),ISNUMBER(SEARCH("Transformation",C294))),85,IF(ISNUMBER(SEARCH("Product Manager",C294)),55,70)))</f>
        <v/>
      </c>
      <c r="Z294" s="52">
        <f>IF(C294="","",MIN(100,IF(I294&lt;&gt;"",60,10)+IF(AA294&gt;0,MIN(40,AA294*20),0)))</f>
        <v/>
      </c>
      <c r="AA294" s="52">
        <f>IF(T294="","",ROUND(T294*25%+U294*15%+V294*10%+W294*15%+X294*15%+Y294*10%+Z294*10%,0))</f>
        <v/>
      </c>
      <c r="AB294" s="52">
        <f>IF(AA294="","",IF(X294&lt;50,"Selective / Barrier",IF(AA294&gt;=80,"Tier 1 - Pursue",IF(AA294&gt;=70,"Tier 2 - Pursue",IF(AA294&gt;=60,"Tier 3 - Selective","Do Not Pursue")))))</f>
        <v/>
      </c>
      <c r="AC294" s="52">
        <f>IF(C294="","",IF(I294&lt;&gt;"","Named Contact",IF(AA294&gt;0,"Outreach Logged","Cold")))</f>
        <v/>
      </c>
      <c r="AD294" s="52">
        <f>IF(B294="","",COUNTIF('Outreach Log'!$C:$C,B294))</f>
        <v/>
      </c>
      <c r="AE294" s="52">
        <f>IF(A294="","",IF(OR(K294="Rejected",K294="Closed"),IF(L294&lt;&gt;"",L294-A294,TODAY()-A294),TODAY()-A294))</f>
        <v/>
      </c>
      <c r="AF294" s="52">
        <f>IF(C294="","",IF(AND(AA294&gt;=70,AC294="Cold"),"High-fit but cold",IF(AND(AA294&lt;60,K294="Applied"),"Low-fit application",IF(AND(AA294&gt;=70,OR(AC294="Named Contact",AC294="Outreach Logged")),"Targeted pursuit","Review"))))</f>
        <v/>
      </c>
    </row>
    <row r="295" ht="15" customHeight="1" s="44">
      <c r="A295" s="53" t="n">
        <v>46251</v>
      </c>
      <c r="B295" s="48" t="inlineStr">
        <is>
          <t>Thomson Reuters</t>
        </is>
      </c>
      <c r="C295" s="48" t="inlineStr">
        <is>
          <t>Director, Strategic Initiatives (JREQ203006)</t>
        </is>
      </c>
      <c r="D295" s="48" t="inlineStr">
        <is>
          <t>Director</t>
        </is>
      </c>
      <c r="E295" s="48" t="inlineStr">
        <is>
          <t>US</t>
        </is>
      </c>
      <c r="F295" s="48" t="inlineStr">
        <is>
          <t>Washington, DC</t>
        </is>
      </c>
      <c r="G295" s="48" t="n">
        <v>75</v>
      </c>
      <c r="H295" s="48" t="inlineStr">
        <is>
          <t>Cold Portal</t>
        </is>
      </c>
      <c r="I295" s="48" t="n"/>
      <c r="J295" s="48" t="inlineStr">
        <is>
          <t>Yes</t>
        </is>
      </c>
      <c r="K295" s="49" t="inlineStr">
        <is>
          <t>Rejected</t>
        </is>
      </c>
      <c r="L295" s="50" t="n">
        <v>46268</v>
      </c>
      <c r="M295" s="48">
        <f>IF(OR(L174="",A174=""),"",L174-A174)</f>
        <v/>
      </c>
      <c r="N295" s="48" t="n"/>
      <c r="O295" s="48" t="n"/>
      <c r="P295" s="51" t="inlineStr">
        <is>
          <t>Confirmed via Workday 2026-08-18 3:35am ET (thomsonreuters@myworkday.com), req JREQ203006. Location confirmed by Elena as Washington, DC (US-based, sponsorship required — corrected from initial "Canada/verify" placeholder). "Legal AI Business Accelerator" Director, Strategic Initiatives — strategy-to-execution program leadership role, cross-functional mobilization across Product/Eng/Sales/Marketing/Finance, business case &amp; SteerCo development. Elena has prior engagement with Thomson Reuters as an IBM GBS client (2015-2019), a genuine relevant touchpoint. STRENGTHS: Bell TCO (program operating system, governance, business case, 20% cost reduction) and Customer Profile (Salesforce + ServiceNow, 5 teams, 25% ahead of plan) map directly. Independent agentic AI platform work speaks to "genuine interest in how AI is reshaping professional work." GAPS: (1) US role requiring sponsorship — confirm visa/relocation feasibility given cap-exempt H-1B route; (2) commercial/customer-lifecycle metrics (trial conversion, renewal, expansion revenue) not evidenced — Elena's metrics are internal/operational, not GTM; (3) legal tech / SaaS domain is "preferred," not deeply evidenced beyond IBM contract/vendor management platform; (4) Sales/Marketing/Customer Success as direct functional partners is newer ground vs. Elena's typical Finance/Eng/Procurement partners. Tailored resume built: Resume_ElenaShchetinina_DirectorStrategicInitiatives.docx.; Auto-updated from email reply on 2026-09-03</t>
        </is>
      </c>
      <c r="Q295" s="48" t="n"/>
      <c r="R295" s="48" t="n"/>
      <c r="S295" s="51" t="n"/>
      <c r="T295" s="52">
        <f>IF(G295="","",G295)</f>
        <v/>
      </c>
      <c r="U295" s="52">
        <f>IF(C295="","",IF(OR(ISNUMBER(SEARCH("Director",C295)),ISNUMBER(SEARCH("Lead",C295)),ISNUMBER(SEARCH("Senior",C295)),ISNUMBER(SEARCH("Sr.",C295))),90,IF(OR(ISNUMBER(SEARCH("Manager",C295)),ISNUMBER(SEARCH("Program",C295)),ISNUMBER(SEARCH("Portfolio",C295))),80,60)))</f>
        <v/>
      </c>
      <c r="V295" s="52">
        <f>IF(C295="","",IF(OR(ISNUMBER(SEARCH("AI",C295)),ISNUMBER(SEARCH("Data",C295)),ISNUMBER(SEARCH("Technology",C295)),ISNUMBER(SEARCH("Technical",C295)),ISNUMBER(SEARCH("Engineering",C295)),ISNUMBER(SEARCH("Platform",C295)),ISNUMBER(SEARCH("Portfolio",C295))),85,65))</f>
        <v/>
      </c>
      <c r="W295" s="52">
        <f>IF(C295="","",MIN(100,50+IF(S295&lt;&gt;"",25,0)+IF(R295&lt;&gt;"",15,0)+IF(P295&lt;&gt;"",10,0)))</f>
        <v/>
      </c>
      <c r="X295" s="52">
        <f>IF(E295="","",IF(OR(E295="Canada",E295="CA"),100,IF(OR(E295="United States",E295="USA",E295="US"),IF(J295="Yes",45,75),65)))</f>
        <v/>
      </c>
      <c r="Y295" s="52">
        <f>IF(C295="","",IF(OR(ISNUMBER(SEARCH("Program",C295)),ISNUMBER(SEARCH("Portfolio",C295)),ISNUMBER(SEARCH("Operations",C295)),ISNUMBER(SEARCH("Transformation",C295))),85,IF(ISNUMBER(SEARCH("Product Manager",C295)),55,70)))</f>
        <v/>
      </c>
      <c r="Z295" s="52">
        <f>IF(C295="","",MIN(100,IF(I295&lt;&gt;"",60,10)+IF(AA295&gt;0,MIN(40,AA295*20),0)))</f>
        <v/>
      </c>
      <c r="AA295" s="52">
        <f>IF(T295="","",ROUND(T295*25%+U295*15%+V295*10%+W295*15%+X295*15%+Y295*10%+Z295*10%,0))</f>
        <v/>
      </c>
      <c r="AB295" s="52">
        <f>IF(AA295="","",IF(X295&lt;50,"Selective / Barrier",IF(AA295&gt;=80,"Tier 1 - Pursue",IF(AA295&gt;=70,"Tier 2 - Pursue",IF(AA295&gt;=60,"Tier 3 - Selective","Do Not Pursue")))))</f>
        <v/>
      </c>
      <c r="AC295" s="52">
        <f>IF(C295="","",IF(I295&lt;&gt;"","Named Contact",IF(AA295&gt;0,"Outreach Logged","Cold")))</f>
        <v/>
      </c>
      <c r="AD295" s="52">
        <f>IF(B295="","",COUNTIF('Outreach Log'!$C:$C,B295))</f>
        <v/>
      </c>
      <c r="AE295" s="52">
        <f>IF(A295="","",IF(OR(K295="Rejected",K295="Closed"),IF(L295&lt;&gt;"",L295-A295,TODAY()-A295),TODAY()-A295))</f>
        <v/>
      </c>
      <c r="AF295" s="52">
        <f>IF(C295="","",IF(AND(AA295&gt;=70,AC295="Cold"),"High-fit but cold",IF(AND(AA295&lt;60,K295="Applied"),"Low-fit application",IF(AND(AA295&gt;=70,OR(AC295="Named Contact",AC295="Outreach Logged")),"Targeted pursuit","Review"))))</f>
        <v/>
      </c>
    </row>
    <row r="296" ht="15" customHeight="1" s="44">
      <c r="A296" s="53" t="n">
        <v>46251</v>
      </c>
      <c r="B296" s="58" t="n"/>
      <c r="C296" s="58" t="n"/>
      <c r="D296" s="58" t="n"/>
      <c r="E296" s="58" t="n"/>
      <c r="F296" s="58" t="n"/>
      <c r="G296" s="58" t="n"/>
      <c r="H296" s="58" t="n"/>
      <c r="I296" s="58" t="n"/>
      <c r="J296" s="58" t="n"/>
      <c r="K296" s="58" t="n"/>
      <c r="L296" s="58" t="n"/>
      <c r="M296" s="58" t="n"/>
      <c r="N296" s="58" t="n"/>
      <c r="O296" s="58" t="n"/>
      <c r="P296" s="59" t="n"/>
      <c r="Q296" s="48" t="n"/>
      <c r="R296" s="48" t="n"/>
      <c r="S296" s="51" t="n"/>
      <c r="T296" s="52" t="n"/>
      <c r="U296" s="52" t="n"/>
      <c r="V296" s="52" t="n"/>
      <c r="W296" s="52" t="n"/>
      <c r="X296" s="52" t="n"/>
      <c r="Y296" s="52" t="n"/>
      <c r="Z296" s="52" t="n"/>
      <c r="AA296" s="52" t="n"/>
      <c r="AB296" s="52" t="n"/>
      <c r="AC296" s="52" t="n"/>
      <c r="AD296" s="52" t="n"/>
      <c r="AE296" s="52" t="n"/>
      <c r="AF296" s="52" t="n"/>
    </row>
    <row r="297" ht="15" customHeight="1" s="44">
      <c r="A297" s="53" t="n">
        <v>46251</v>
      </c>
      <c r="B297" s="48" t="n"/>
      <c r="C297" s="48" t="n"/>
      <c r="D297" s="48" t="n"/>
      <c r="E297" s="48" t="n"/>
      <c r="F297" s="48" t="n"/>
      <c r="G297" s="48" t="n"/>
      <c r="H297" s="48" t="n"/>
      <c r="I297" s="48" t="n"/>
      <c r="J297" s="48" t="n"/>
      <c r="K297" s="54" t="n"/>
      <c r="L297" s="48" t="n"/>
      <c r="M297" s="48" t="n"/>
      <c r="N297" s="48" t="n"/>
      <c r="O297" s="48" t="n"/>
      <c r="P297" s="51" t="n"/>
      <c r="Q297" s="48" t="n"/>
      <c r="R297" s="48" t="n"/>
      <c r="S297" s="51" t="n"/>
      <c r="T297" s="52" t="n"/>
      <c r="U297" s="52" t="n"/>
      <c r="V297" s="52" t="n"/>
      <c r="W297" s="52" t="n"/>
      <c r="X297" s="52" t="n"/>
      <c r="Y297" s="52" t="n"/>
      <c r="Z297" s="52" t="n"/>
      <c r="AA297" s="52" t="n"/>
      <c r="AB297" s="52" t="n"/>
      <c r="AC297" s="52" t="n"/>
      <c r="AD297" s="52" t="n"/>
      <c r="AE297" s="52" t="n"/>
      <c r="AF297" s="52" t="n"/>
    </row>
    <row r="298" ht="15" customHeight="1" s="44">
      <c r="A298" s="53" t="n">
        <v>46251</v>
      </c>
      <c r="B298" s="48" t="n"/>
      <c r="C298" s="48" t="n"/>
      <c r="D298" s="48" t="n"/>
      <c r="E298" s="48" t="n"/>
      <c r="F298" s="48" t="n"/>
      <c r="G298" s="48" t="n"/>
      <c r="H298" s="48" t="n"/>
      <c r="I298" s="48" t="n"/>
      <c r="J298" s="48" t="n"/>
      <c r="K298" s="54" t="n"/>
      <c r="L298" s="48" t="n"/>
      <c r="M298" s="48" t="n"/>
      <c r="N298" s="48" t="n"/>
      <c r="O298" s="48" t="n"/>
      <c r="P298" s="51" t="n"/>
      <c r="Q298" s="48" t="n"/>
      <c r="R298" s="48" t="n"/>
      <c r="S298" s="51" t="n"/>
      <c r="T298" s="52" t="n"/>
      <c r="U298" s="52" t="n"/>
      <c r="V298" s="52" t="n"/>
      <c r="W298" s="52" t="n"/>
      <c r="X298" s="52" t="n"/>
      <c r="Y298" s="52" t="n"/>
      <c r="Z298" s="52" t="n"/>
      <c r="AA298" s="52" t="n"/>
      <c r="AB298" s="52" t="n"/>
      <c r="AC298" s="52" t="n"/>
      <c r="AD298" s="52" t="n"/>
      <c r="AE298" s="52" t="n"/>
      <c r="AF298" s="52" t="n"/>
    </row>
    <row r="299" ht="15" customHeight="1" s="44">
      <c r="A299" s="53" t="n">
        <v>46252</v>
      </c>
      <c r="B299" s="48" t="inlineStr">
        <is>
          <t>Anthropic</t>
        </is>
      </c>
      <c r="C299" s="48" t="inlineStr">
        <is>
          <t>Technical Program Manager, Recruiting Technology</t>
        </is>
      </c>
      <c r="D299" s="48" t="inlineStr">
        <is>
          <t>Mid-Senior (6+ yrs stated minimum)</t>
        </is>
      </c>
      <c r="E299" s="48" t="inlineStr">
        <is>
          <t>US</t>
        </is>
      </c>
      <c r="F299" s="48" t="inlineStr">
        <is>
          <t>San Francisco, CA</t>
        </is>
      </c>
      <c r="G299" s="48" t="n">
        <v>80</v>
      </c>
      <c r="H299" s="48" t="inlineStr">
        <is>
          <t>Cold Portal</t>
        </is>
      </c>
      <c r="I299" s="48" t="n"/>
      <c r="J299" s="48" t="inlineStr">
        <is>
          <t>Yes</t>
        </is>
      </c>
      <c r="K299" s="55" t="inlineStr">
        <is>
          <t>Applied</t>
        </is>
      </c>
      <c r="L299" s="48" t="n"/>
      <c r="M299" s="48">
        <f>IF(OR(L175="",A175=""),"",L175-A175)</f>
        <v/>
      </c>
      <c r="N299" s="48" t="inlineStr">
        <is>
          <t>Verify Gmail confirmation lands; if not within 24-48h, check application went through</t>
        </is>
      </c>
      <c r="O299" s="48" t="n"/>
      <c r="P299" s="51" t="inlineStr">
        <is>
          <t>Applied 2026-08-18 — no Gmail confirmation received yet at time of logging; date/details based on Elena's report, not yet independently verified. First-of-its-kind TPM role bridging Recruiting/People tech stack — cross-team planning cadence across teams with no shared reporting line, systems integration (third-party platforms + internal tooling + analytics), bringing Claude into recruiting workflows with human-in-the-loop design. STRENGTHS: Bell TCO (governance built from scratch, 60+ stakeholders, no formal authority) and Customer Profile (Salesforce + ServiceNow systems integration) map directly; independent agentic AI platform work speaks directly to the human-in-the-loop AI design this role centers on. GAPS: (1) no recruiting/HR-tech/ATS/HRIS domain experience — JD treats this as "nice to have" rather than required; (2) US role, San Francisco, sponsorship required — confirm visa/relocation feasibility; (3) genuinely new/undefined role at the company, no established playbook to point to. Tailored resume built: Resume_ElenaShchetinina_Anthropic_TPM_Recruiting.docx, plus a "Why Anthropic" cover-letter paragraph grounded in AI safety interest and human-in-the-loop agent work.</t>
        </is>
      </c>
      <c r="Q299" s="48" t="n"/>
      <c r="R299" s="48" t="n"/>
      <c r="S299" s="51" t="n"/>
      <c r="T299" s="52">
        <f>IF(G299="","",G299)</f>
        <v/>
      </c>
      <c r="U299" s="52">
        <f>IF(C299="","",IF(OR(ISNUMBER(SEARCH("Director",C299)),ISNUMBER(SEARCH("Lead",C299)),ISNUMBER(SEARCH("Senior",C299)),ISNUMBER(SEARCH("Sr.",C299))),90,IF(OR(ISNUMBER(SEARCH("Manager",C299)),ISNUMBER(SEARCH("Program",C299)),ISNUMBER(SEARCH("Portfolio",C299))),80,60)))</f>
        <v/>
      </c>
      <c r="V299" s="52">
        <f>IF(C299="","",IF(OR(ISNUMBER(SEARCH("AI",C299)),ISNUMBER(SEARCH("Data",C299)),ISNUMBER(SEARCH("Technology",C299)),ISNUMBER(SEARCH("Technical",C299)),ISNUMBER(SEARCH("Engineering",C299)),ISNUMBER(SEARCH("Platform",C299)),ISNUMBER(SEARCH("Portfolio",C299))),85,65))</f>
        <v/>
      </c>
      <c r="W299" s="52">
        <f>IF(C299="","",MIN(100,50+IF(S299&lt;&gt;"",25,0)+IF(R299&lt;&gt;"",15,0)+IF(P299&lt;&gt;"",10,0)))</f>
        <v/>
      </c>
      <c r="X299" s="52">
        <f>IF(E299="","",IF(OR(E299="Canada",E299="CA"),100,IF(OR(E299="United States",E299="USA",E299="US"),IF(J299="Yes",45,75),65)))</f>
        <v/>
      </c>
      <c r="Y299" s="52">
        <f>IF(C299="","",IF(OR(ISNUMBER(SEARCH("Program",C299)),ISNUMBER(SEARCH("Portfolio",C299)),ISNUMBER(SEARCH("Operations",C299)),ISNUMBER(SEARCH("Transformation",C299))),85,IF(ISNUMBER(SEARCH("Product Manager",C299)),55,70)))</f>
        <v/>
      </c>
      <c r="Z299" s="52">
        <f>IF(C299="","",MIN(100,IF(I299&lt;&gt;"",60,10)+IF(AA299&gt;0,MIN(40,AA299*20),0)))</f>
        <v/>
      </c>
      <c r="AA299" s="52">
        <f>IF(T299="","",ROUND(T299*25%+U299*15%+V299*10%+W299*15%+X299*15%+Y299*10%+Z299*10%,0))</f>
        <v/>
      </c>
      <c r="AB299" s="52">
        <f>IF(AA299="","",IF(X299&lt;50,"Selective / Barrier",IF(AA299&gt;=80,"Tier 1 - Pursue",IF(AA299&gt;=70,"Tier 2 - Pursue",IF(AA299&gt;=60,"Tier 3 - Selective","Do Not Pursue")))))</f>
        <v/>
      </c>
      <c r="AC299" s="52">
        <f>IF(C299="","",IF(I299&lt;&gt;"","Named Contact",IF(AA299&gt;0,"Outreach Logged","Cold")))</f>
        <v/>
      </c>
      <c r="AD299" s="52">
        <f>IF(B299="","",COUNTIF('Outreach Log'!$C:$C,B299))</f>
        <v/>
      </c>
      <c r="AE299" s="52">
        <f>IF(A299="","",IF(OR(K299="Rejected",K299="Closed"),IF(L299&lt;&gt;"",L299-A299,TODAY()-A299),TODAY()-A299))</f>
        <v/>
      </c>
      <c r="AF299" s="52">
        <f>IF(C299="","",IF(AND(AA299&gt;=70,AC299="Cold"),"High-fit but cold",IF(AND(AA299&lt;60,K299="Applied"),"Low-fit application",IF(AND(AA299&gt;=70,OR(AC299="Named Contact",AC299="Outreach Logged")),"Targeted pursuit","Review"))))</f>
        <v/>
      </c>
    </row>
    <row r="300" ht="15" customHeight="1" s="44">
      <c r="A300" s="53" t="n">
        <v>46252</v>
      </c>
      <c r="B300" s="48" t="inlineStr">
        <is>
          <t>Netflix</t>
        </is>
      </c>
      <c r="C300" s="48" t="inlineStr">
        <is>
          <t>Technical Program Manager 5 - Enterprise Engineering</t>
        </is>
      </c>
      <c r="D300" s="48" t="inlineStr">
        <is>
          <t>TPM 5 (senior/staff-equivalent level)</t>
        </is>
      </c>
      <c r="E300" s="48" t="inlineStr">
        <is>
          <t>US</t>
        </is>
      </c>
      <c r="F300" s="48" t="inlineStr">
        <is>
          <t>Not confirmed in email — verify (Netflix HQ is Los Gatos/LA; some TPM roles remote-eligible)</t>
        </is>
      </c>
      <c r="G300" s="48" t="n">
        <v>81</v>
      </c>
      <c r="H300" s="48" t="inlineStr">
        <is>
          <t>Cold Portal</t>
        </is>
      </c>
      <c r="I300" s="48" t="n"/>
      <c r="J300" s="48" t="inlineStr">
        <is>
          <t>Yes</t>
        </is>
      </c>
      <c r="K300" s="55" t="inlineStr">
        <is>
          <t>Applied</t>
        </is>
      </c>
      <c r="L300" s="48" t="n"/>
      <c r="M300" s="48">
        <f>IF(OR(L176="",A176=""),"",L176-A176)</f>
        <v/>
      </c>
      <c r="N300" s="48" t="inlineStr">
        <is>
          <t>Confirm exact location/remote policy before follow-up</t>
        </is>
      </c>
      <c r="O300" s="48" t="n"/>
      <c r="P300" s="51" t="inlineStr">
        <is>
          <t>Confirmed via Netflix careers 2026-08-18 7:42pm ET (careers@jobs.netflix.com). Content &amp; Business Products (CBP) org, Enterprise Engineering team. Role centers on cross-functional program ownership (Product/Eng/Data Science + Finance/Talent/Legal/Customer Support) and explicitly names "deep understanding and point of view on the application of agentic capabilities" as a requirement — unusually strong match given independent agentic AI platform work. STRENGTHS: Bell TCO (full program ownership, 60+ stakeholders, AI-based solution evaluation, 20% cost reduction) and Customer Profile (Salesforce+ServiceNow systems integration, replacing point solutions with connected data) map directly to "Connected Enterprise" framing. Software development background supports direct technical debate with engineers. GAPS: (1) no media/entertainment/content industry experience; (2) Netflix has a famously distinctive, demanding culture (referenced explicitly in JD, jobs.netflix.com/culture) — worth specific prep beyond skills match; (3) US role, sponsorship required, location not confirmed in confirmation email. Tailored resume built: Resume_ElenaShchetinina_Netflix_TPM.docx.</t>
        </is>
      </c>
      <c r="Q300" s="48" t="n"/>
      <c r="R300" s="48" t="n"/>
      <c r="S300" s="51" t="n"/>
      <c r="T300" s="52">
        <f>IF(G300="","",G300)</f>
        <v/>
      </c>
      <c r="U300" s="52">
        <f>IF(C300="","",IF(OR(ISNUMBER(SEARCH("Director",C300)),ISNUMBER(SEARCH("Lead",C300)),ISNUMBER(SEARCH("Senior",C300)),ISNUMBER(SEARCH("Sr.",C300))),90,IF(OR(ISNUMBER(SEARCH("Manager",C300)),ISNUMBER(SEARCH("Program",C300)),ISNUMBER(SEARCH("Portfolio",C300))),80,60)))</f>
        <v/>
      </c>
      <c r="V300" s="52">
        <f>IF(C300="","",IF(OR(ISNUMBER(SEARCH("AI",C300)),ISNUMBER(SEARCH("Data",C300)),ISNUMBER(SEARCH("Technology",C300)),ISNUMBER(SEARCH("Technical",C300)),ISNUMBER(SEARCH("Engineering",C300)),ISNUMBER(SEARCH("Platform",C300)),ISNUMBER(SEARCH("Portfolio",C300))),85,65))</f>
        <v/>
      </c>
      <c r="W300" s="52">
        <f>IF(C300="","",MIN(100,50+IF(S300&lt;&gt;"",25,0)+IF(R300&lt;&gt;"",15,0)+IF(P300&lt;&gt;"",10,0)))</f>
        <v/>
      </c>
      <c r="X300" s="52">
        <f>IF(E300="","",IF(OR(E300="Canada",E300="CA"),100,IF(OR(E300="United States",E300="USA",E300="US"),IF(J300="Yes",45,75),65)))</f>
        <v/>
      </c>
      <c r="Y300" s="52">
        <f>IF(C300="","",IF(OR(ISNUMBER(SEARCH("Program",C300)),ISNUMBER(SEARCH("Portfolio",C300)),ISNUMBER(SEARCH("Operations",C300)),ISNUMBER(SEARCH("Transformation",C300))),85,IF(ISNUMBER(SEARCH("Product Manager",C300)),55,70)))</f>
        <v/>
      </c>
      <c r="Z300" s="52">
        <f>IF(C300="","",MIN(100,IF(I300&lt;&gt;"",60,10)+IF(AA300&gt;0,MIN(40,AA300*20),0)))</f>
        <v/>
      </c>
      <c r="AA300" s="52">
        <f>IF(T300="","",ROUND(T300*25%+U300*15%+V300*10%+W300*15%+X300*15%+Y300*10%+Z300*10%,0))</f>
        <v/>
      </c>
      <c r="AB300" s="52">
        <f>IF(AA300="","",IF(X300&lt;50,"Selective / Barrier",IF(AA300&gt;=80,"Tier 1 - Pursue",IF(AA300&gt;=70,"Tier 2 - Pursue",IF(AA300&gt;=60,"Tier 3 - Selective","Do Not Pursue")))))</f>
        <v/>
      </c>
      <c r="AC300" s="52">
        <f>IF(C300="","",IF(I300&lt;&gt;"","Named Contact",IF(AA300&gt;0,"Outreach Logged","Cold")))</f>
        <v/>
      </c>
      <c r="AD300" s="52">
        <f>IF(B300="","",COUNTIF('Outreach Log'!$C:$C,B300))</f>
        <v/>
      </c>
      <c r="AE300" s="52">
        <f>IF(A300="","",IF(OR(K300="Rejected",K300="Closed"),IF(L300&lt;&gt;"",L300-A300,TODAY()-A300),TODAY()-A300))</f>
        <v/>
      </c>
      <c r="AF300" s="52">
        <f>IF(C300="","",IF(AND(AA300&gt;=70,AC300="Cold"),"High-fit but cold",IF(AND(AA300&lt;60,K300="Applied"),"Low-fit application",IF(AND(AA300&gt;=70,OR(AC300="Named Contact",AC300="Outreach Logged")),"Targeted pursuit","Review"))))</f>
        <v/>
      </c>
    </row>
    <row r="301" ht="15" customHeight="1" s="44">
      <c r="A301" s="53" t="n">
        <v>46252</v>
      </c>
      <c r="B301" s="48" t="inlineStr">
        <is>
          <t>Netflix</t>
        </is>
      </c>
      <c r="C301" s="48" t="inlineStr">
        <is>
          <t>Technical Program Manager 4 - Enterprise Engineering</t>
        </is>
      </c>
      <c r="D301" s="48" t="inlineStr">
        <is>
          <t>TPM 4 (senior-level, one level below TPM 5)</t>
        </is>
      </c>
      <c r="E301" s="48" t="inlineStr">
        <is>
          <t>US</t>
        </is>
      </c>
      <c r="F301" s="48" t="inlineStr">
        <is>
          <t>Not confirmed in email — verify (Netflix HQ is Los Gatos/LA; some TPM roles remote-eligible)</t>
        </is>
      </c>
      <c r="G301" s="48" t="n">
        <v>81</v>
      </c>
      <c r="H301" s="48" t="inlineStr">
        <is>
          <t>Cold Portal</t>
        </is>
      </c>
      <c r="I301" s="48" t="n"/>
      <c r="J301" s="48" t="inlineStr">
        <is>
          <t>Yes</t>
        </is>
      </c>
      <c r="K301" s="55" t="inlineStr">
        <is>
          <t>Applied</t>
        </is>
      </c>
      <c r="L301" s="48" t="n"/>
      <c r="M301" s="48">
        <f>IF(OR(L177="",A177=""),"",L177-A177)</f>
        <v/>
      </c>
      <c r="N301" s="48" t="inlineStr">
        <is>
          <t>Confirm exact location/remote policy; clarify with Elena why both TPM 4 and TPM 5 were pursued (same team, different level) before follow-up</t>
        </is>
      </c>
      <c r="O301" s="48" t="n"/>
      <c r="P301" s="51" t="inlineStr">
        <is>
          <t>Confirmed via Netflix careers 2026-08-18 7:54pm ET (careers@jobs.netflix.com), 12 minutes after TPM 5 application (row 144, same Enterprise Engineering / CBP team). SECOND, DISTINCT Netflix application same day at one level lower. Same role content/fit rationale as TPM 5 — see row 144 for full analysis (agentic AI capabilities, Connected Enterprise systems integration, Bell TCO and Customer Profile as strongest anchors). Same tailored resume used: Resume_ElenaShchetinina_Netflix_TPM.docx. NOTE: applying to two levels of the same role at the same company same day is worth a deliberate strategy check — confirm this was intentional (e.g., hedging on leveling) rather than accidental duplicate application.</t>
        </is>
      </c>
      <c r="Q301" s="48" t="n"/>
      <c r="R301" s="48" t="n"/>
      <c r="S301" s="51" t="n"/>
      <c r="T301" s="52">
        <f>IF(G301="","",G301)</f>
        <v/>
      </c>
      <c r="U301" s="52">
        <f>IF(C301="","",IF(OR(ISNUMBER(SEARCH("Director",C301)),ISNUMBER(SEARCH("Lead",C301)),ISNUMBER(SEARCH("Senior",C301)),ISNUMBER(SEARCH("Sr.",C301))),90,IF(OR(ISNUMBER(SEARCH("Manager",C301)),ISNUMBER(SEARCH("Program",C301)),ISNUMBER(SEARCH("Portfolio",C301))),80,60)))</f>
        <v/>
      </c>
      <c r="V301" s="52">
        <f>IF(C301="","",IF(OR(ISNUMBER(SEARCH("AI",C301)),ISNUMBER(SEARCH("Data",C301)),ISNUMBER(SEARCH("Technology",C301)),ISNUMBER(SEARCH("Technical",C301)),ISNUMBER(SEARCH("Engineering",C301)),ISNUMBER(SEARCH("Platform",C301)),ISNUMBER(SEARCH("Portfolio",C301))),85,65))</f>
        <v/>
      </c>
      <c r="W301" s="52">
        <f>IF(C301="","",MIN(100,50+IF(S301&lt;&gt;"",25,0)+IF(R301&lt;&gt;"",15,0)+IF(P301&lt;&gt;"",10,0)))</f>
        <v/>
      </c>
      <c r="X301" s="52">
        <f>IF(E301="","",IF(OR(E301="Canada",E301="CA"),100,IF(OR(E301="United States",E301="USA",E301="US"),IF(J301="Yes",45,75),65)))</f>
        <v/>
      </c>
      <c r="Y301" s="52">
        <f>IF(C301="","",IF(OR(ISNUMBER(SEARCH("Program",C301)),ISNUMBER(SEARCH("Portfolio",C301)),ISNUMBER(SEARCH("Operations",C301)),ISNUMBER(SEARCH("Transformation",C301))),85,IF(ISNUMBER(SEARCH("Product Manager",C301)),55,70)))</f>
        <v/>
      </c>
      <c r="Z301" s="52">
        <f>IF(C301="","",MIN(100,IF(I301&lt;&gt;"",60,10)+IF(AA301&gt;0,MIN(40,AA301*20),0)))</f>
        <v/>
      </c>
      <c r="AA301" s="52">
        <f>IF(T301="","",ROUND(T301*25%+U301*15%+V301*10%+W301*15%+X301*15%+Y301*10%+Z301*10%,0))</f>
        <v/>
      </c>
      <c r="AB301" s="52">
        <f>IF(AA301="","",IF(X301&lt;50,"Selective / Barrier",IF(AA301&gt;=80,"Tier 1 - Pursue",IF(AA301&gt;=70,"Tier 2 - Pursue",IF(AA301&gt;=60,"Tier 3 - Selective","Do Not Pursue")))))</f>
        <v/>
      </c>
      <c r="AC301" s="52">
        <f>IF(C301="","",IF(I301&lt;&gt;"","Named Contact",IF(AA301&gt;0,"Outreach Logged","Cold")))</f>
        <v/>
      </c>
      <c r="AD301" s="52">
        <f>IF(B301="","",COUNTIF('Outreach Log'!$C:$C,B301))</f>
        <v/>
      </c>
      <c r="AE301" s="52">
        <f>IF(A301="","",IF(OR(K301="Rejected",K301="Closed"),IF(L301&lt;&gt;"",L301-A301,TODAY()-A301),TODAY()-A301))</f>
        <v/>
      </c>
      <c r="AF301" s="52">
        <f>IF(C301="","",IF(AND(AA301&gt;=70,AC301="Cold"),"High-fit but cold",IF(AND(AA301&lt;60,K301="Applied"),"Low-fit application",IF(AND(AA301&gt;=70,OR(AC301="Named Contact",AC301="Outreach Logged")),"Targeted pursuit","Review"))))</f>
        <v/>
      </c>
    </row>
    <row r="302" ht="15" customHeight="1" s="44">
      <c r="A302" s="53" t="n">
        <v>46252</v>
      </c>
      <c r="B302" s="48" t="inlineStr">
        <is>
          <t>Xplor Technologies</t>
        </is>
      </c>
      <c r="C302" s="48" t="inlineStr">
        <is>
          <t>Director, Transformation</t>
        </is>
      </c>
      <c r="D302" s="48" t="inlineStr">
        <is>
          <t>Director</t>
        </is>
      </c>
      <c r="E302" s="48" t="inlineStr">
        <is>
          <t>Canada</t>
        </is>
      </c>
      <c r="F302" s="48" t="inlineStr">
        <is>
          <t>Toronto</t>
        </is>
      </c>
      <c r="G302" s="48" t="n">
        <v>83</v>
      </c>
      <c r="H302" s="48" t="inlineStr">
        <is>
          <t>Cold Portal</t>
        </is>
      </c>
      <c r="I302" s="48" t="n"/>
      <c r="J302" s="48" t="inlineStr">
        <is>
          <t>No</t>
        </is>
      </c>
      <c r="K302" s="49" t="inlineStr">
        <is>
          <t>Rejected</t>
        </is>
      </c>
      <c r="L302" s="50" t="n">
        <v>46254</v>
      </c>
      <c r="M302" s="48">
        <f>IF(OR(L178="",A178=""),"",L178-A178)</f>
        <v/>
      </c>
      <c r="N302" s="48" t="n"/>
      <c r="O302" s="48" t="n"/>
      <c r="P302" s="51" t="inlineStr">
        <is>
          <t>Confirmed via Xplor recruiting system 2026-08-18. Global SaaS + embedded payments company (PE-backed: Advent International, Osprey Investors), serves fitness/recreation/golf/field services/education/membership-based industries. Fixed-term 12-month "proving ground" role reporting to Chief Transformation Officer — explicitly designed to lead into a permanent functional leadership role after the term. Role likely tied to recent M&amp;A activity (Clubessential merger Oct 2025, Ezypay acquisition Sept 2025) — integration of newly acquired businesses is named directly in the JD. STRENGTHS: Bell Customer Profile (Salesforce+ServiceNow systems integration, 5 teams) is a strong structural analog to post-acquisition integration; Bell TCO (business case, governance from scratch, 20% cost reduction) matches end-to-end transformation ownership; independent agentic AI platform work matches "design and implement AI-enabled processes" directly. Canada-remote eligible — no sponsorship needed. GAPS: (1) no SaaS/payments industry experience (JD says "ideally," not required); (2) no private equity-backed company experience (JD says "a plus"); (3) 12-month fixed-term, same pattern as Deloitte PMO Director — confirm this fits current goals. Recruiting confirmation notes standard process: phone screen → hiring manager interview → final interview, 2-3 weeks after first call, pre-employment background check. Tailored resume built: Resume_ElenaShchetinina_Xplor_DirectorTransformation.docx, plus prepped answer on agentic AI skill development for behavioral/application question. REJECTED 2026-08-20 via Xplor Talent Team: cited as unable to consider candidates "not authorized to work in the United States or require sponsorship now or in the future." NOTE: rejection referred to role as "Senior Manager, Transformation" (vs. "Director, Transformation" as originally posted/applied) — likely internal req retitling, confirmed by Elena as same application. IMPORTANT DISCREPANCY: original posting explicitly stated "open to US remote or Canada remote candidates" with no sponsorship required for Canada applicants — this rejection contradicts that stated policy, citing US work authorization as a blanket requirement regardless of location. Rejection included instructions to email talentsupport@xplortechnologies.com if this was submitted in error (Elena is Canadian, no error — rejection appears to reflect actual practice diverging from posted policy, not a form error).</t>
        </is>
      </c>
      <c r="Q302" s="48" t="n"/>
      <c r="R302" s="48" t="n"/>
      <c r="S302" s="51" t="n"/>
      <c r="T302" s="52">
        <f>IF(G302="","",G302)</f>
        <v/>
      </c>
      <c r="U302" s="52">
        <f>IF(C302="","",IF(OR(ISNUMBER(SEARCH("Director",C302)),ISNUMBER(SEARCH("Lead",C302)),ISNUMBER(SEARCH("Senior",C302)),ISNUMBER(SEARCH("Sr.",C302))),90,IF(OR(ISNUMBER(SEARCH("Manager",C302)),ISNUMBER(SEARCH("Program",C302)),ISNUMBER(SEARCH("Portfolio",C302))),80,60)))</f>
        <v/>
      </c>
      <c r="V302" s="52">
        <f>IF(C302="","",IF(OR(ISNUMBER(SEARCH("AI",C302)),ISNUMBER(SEARCH("Data",C302)),ISNUMBER(SEARCH("Technology",C302)),ISNUMBER(SEARCH("Technical",C302)),ISNUMBER(SEARCH("Engineering",C302)),ISNUMBER(SEARCH("Platform",C302)),ISNUMBER(SEARCH("Portfolio",C302))),85,65))</f>
        <v/>
      </c>
      <c r="W302" s="52">
        <f>IF(C302="","",MIN(100,50+IF(S302&lt;&gt;"",25,0)+IF(R302&lt;&gt;"",15,0)+IF(P302&lt;&gt;"",10,0)))</f>
        <v/>
      </c>
      <c r="X302" s="52">
        <f>IF(E302="","",IF(OR(E302="Canada",E302="CA"),100,IF(OR(E302="United States",E302="USA",E302="US"),IF(J302="Yes",45,75),65)))</f>
        <v/>
      </c>
      <c r="Y302" s="52">
        <f>IF(C302="","",IF(OR(ISNUMBER(SEARCH("Program",C302)),ISNUMBER(SEARCH("Portfolio",C302)),ISNUMBER(SEARCH("Operations",C302)),ISNUMBER(SEARCH("Transformation",C302))),85,IF(ISNUMBER(SEARCH("Product Manager",C302)),55,70)))</f>
        <v/>
      </c>
      <c r="Z302" s="52">
        <f>IF(C302="","",MIN(100,IF(I302&lt;&gt;"",60,10)+IF(AA302&gt;0,MIN(40,AA302*20),0)))</f>
        <v/>
      </c>
      <c r="AA302" s="52">
        <f>IF(T302="","",ROUND(T302*25%+U302*15%+V302*10%+W302*15%+X302*15%+Y302*10%+Z302*10%,0))</f>
        <v/>
      </c>
      <c r="AB302" s="52">
        <f>IF(AA302="","",IF(X302&lt;50,"Selective / Barrier",IF(AA302&gt;=80,"Tier 1 - Pursue",IF(AA302&gt;=70,"Tier 2 - Pursue",IF(AA302&gt;=60,"Tier 3 - Selective","Do Not Pursue")))))</f>
        <v/>
      </c>
      <c r="AC302" s="52">
        <f>IF(C302="","",IF(I302&lt;&gt;"","Named Contact",IF(AA302&gt;0,"Outreach Logged","Cold")))</f>
        <v/>
      </c>
      <c r="AD302" s="52">
        <f>IF(B302="","",COUNTIF('Outreach Log'!$C:$C,B302))</f>
        <v/>
      </c>
      <c r="AE302" s="52">
        <f>IF(A302="","",IF(OR(K302="Rejected",K302="Closed"),IF(L302&lt;&gt;"",L302-A302,TODAY()-A302),TODAY()-A302))</f>
        <v/>
      </c>
      <c r="AF302" s="52">
        <f>IF(C302="","",IF(AND(AA302&gt;=70,AC302="Cold"),"High-fit but cold",IF(AND(AA302&lt;60,K302="Applied"),"Low-fit application",IF(AND(AA302&gt;=70,OR(AC302="Named Contact",AC302="Outreach Logged")),"Targeted pursuit","Review"))))</f>
        <v/>
      </c>
    </row>
    <row r="303" ht="15" customHeight="1" s="44">
      <c r="A303" s="53" t="n">
        <v>46254</v>
      </c>
      <c r="B303" s="48" t="inlineStr">
        <is>
          <t>Stanley Black &amp; Decker</t>
        </is>
      </c>
      <c r="C303" s="48" t="inlineStr">
        <is>
          <t>Program Manager — Master Data Initiatives (REQ-1000049647)</t>
        </is>
      </c>
      <c r="D303" s="48" t="inlineStr">
        <is>
          <t>Mid-Senior</t>
        </is>
      </c>
      <c r="E303" s="48" t="inlineStr">
        <is>
          <t>Canada</t>
        </is>
      </c>
      <c r="F303" s="48" t="inlineStr">
        <is>
          <t>Ontario, Canada (Remote)</t>
        </is>
      </c>
      <c r="G303" s="48" t="n">
        <v>77</v>
      </c>
      <c r="H303" s="48" t="inlineStr">
        <is>
          <t>Cold Portal</t>
        </is>
      </c>
      <c r="I303" s="48" t="n"/>
      <c r="J303" s="48" t="inlineStr">
        <is>
          <t>No</t>
        </is>
      </c>
      <c r="K303" s="55" t="inlineStr">
        <is>
          <t>Applied</t>
        </is>
      </c>
      <c r="L303" s="48" t="n"/>
      <c r="M303" s="48">
        <f>IF(OR(L180="",A180=""),"",L180-A180)</f>
        <v/>
      </c>
      <c r="N303" s="48" t="n"/>
      <c r="O303" s="48" t="n"/>
      <c r="P303" s="51" t="inlineStr">
        <is>
          <t>Confirmed via Workday 2026-08-20 4:50pm ET (sbdinc@myworkday.com), REQ-1000049647. Confirmed Remote, Canada (corrected from initial US assumption — no sponsorship required). Master data initiatives program management — intake, prioritization, governance, change management for master data build tasks across corporate programs (DEWALT/CRAFTSMAN/STANLEY/BLACK+DECKER brands). STRENGTHS: Bell TCO (data-quality governance, intake/prioritization built from scratch) and Amazon ontology work (structured master data models, taxonomy governance) map directly. GAPS: (1) no SAP/Salsify/Appian/PMP — all listed as "a plus," not required; (2) manufacturing/industrial consumer-hardware domain is new; (3) role is narrower/more mid-level scope than recent Director-level applications — confirm this fits current targeting given seniority trajectory. Tailored resume built: Resume_ElenaShchetinina_StanleyBD_MasterData.docx. | Location corrected 2026-09-15 per LinkedIn: role is Remote, Ontario, Canada (was logged as Toronto specifically).</t>
        </is>
      </c>
      <c r="Q303" s="48" t="n"/>
      <c r="R303" s="48" t="n"/>
      <c r="S303" s="51" t="n"/>
      <c r="T303" s="52">
        <f>IF(G303="","",G303)</f>
        <v/>
      </c>
      <c r="U303" s="52">
        <f>IF(C303="","",IF(OR(ISNUMBER(SEARCH("Director",C303)),ISNUMBER(SEARCH("Lead",C303)),ISNUMBER(SEARCH("Senior",C303)),ISNUMBER(SEARCH("Sr.",C303))),90,IF(OR(ISNUMBER(SEARCH("Manager",C303)),ISNUMBER(SEARCH("Program",C303)),ISNUMBER(SEARCH("Portfolio",C303))),80,60)))</f>
        <v/>
      </c>
      <c r="V303" s="52">
        <f>IF(C303="","",IF(OR(ISNUMBER(SEARCH("AI",C303)),ISNUMBER(SEARCH("Data",C303)),ISNUMBER(SEARCH("Technology",C303)),ISNUMBER(SEARCH("Technical",C303)),ISNUMBER(SEARCH("Engineering",C303)),ISNUMBER(SEARCH("Platform",C303)),ISNUMBER(SEARCH("Portfolio",C303))),85,65))</f>
        <v/>
      </c>
      <c r="W303" s="52">
        <f>IF(C303="","",MIN(100,50+IF(S303&lt;&gt;"",25,0)+IF(R303&lt;&gt;"",15,0)+IF(P303&lt;&gt;"",10,0)))</f>
        <v/>
      </c>
      <c r="X303" s="52">
        <f>IF(E303="","",IF(OR(E303="Canada",E303="CA"),100,IF(OR(E303="United States",E303="USA",E303="US"),IF(J303="Yes",45,75),65)))</f>
        <v/>
      </c>
      <c r="Y303" s="52">
        <f>IF(C303="","",IF(OR(ISNUMBER(SEARCH("Program",C303)),ISNUMBER(SEARCH("Portfolio",C303)),ISNUMBER(SEARCH("Operations",C303)),ISNUMBER(SEARCH("Transformation",C303))),85,IF(ISNUMBER(SEARCH("Product Manager",C303)),55,70)))</f>
        <v/>
      </c>
      <c r="Z303" s="52">
        <f>IF(C303="","",MIN(100,IF(I303&lt;&gt;"",60,10)+IF(AA303&gt;0,MIN(40,AA303*20),0)))</f>
        <v/>
      </c>
      <c r="AA303" s="52">
        <f>IF(T303="","",ROUND(T303*25%+U303*15%+V303*10%+W303*15%+X303*15%+Y303*10%+Z303*10%,0))</f>
        <v/>
      </c>
      <c r="AB303" s="52">
        <f>IF(AA303="","",IF(X303&lt;50,"Selective / Barrier",IF(AA303&gt;=80,"Tier 1 - Pursue",IF(AA303&gt;=70,"Tier 2 - Pursue",IF(AA303&gt;=60,"Tier 3 - Selective","Do Not Pursue")))))</f>
        <v/>
      </c>
      <c r="AC303" s="52">
        <f>IF(C303="","",IF(I303&lt;&gt;"","Named Contact",IF(AA303&gt;0,"Outreach Logged","Cold")))</f>
        <v/>
      </c>
      <c r="AD303" s="52">
        <f>IF(B303="","",COUNTIF('Outreach Log'!$C:$C,B303))</f>
        <v/>
      </c>
      <c r="AE303" s="52">
        <f>IF(A303="","",IF(OR(K303="Rejected",K303="Closed"),IF(L303&lt;&gt;"",L303-A303,TODAY()-A303),TODAY()-A303))</f>
        <v/>
      </c>
      <c r="AF303" s="52">
        <f>IF(C303="","",IF(AND(AA303&gt;=70,AC303="Cold"),"High-fit but cold",IF(AND(AA303&lt;60,K303="Applied"),"Low-fit application",IF(AND(AA303&gt;=70,OR(AC303="Named Contact",AC303="Outreach Logged")),"Targeted pursuit","Review"))))</f>
        <v/>
      </c>
    </row>
    <row r="304" ht="15" customHeight="1" s="44">
      <c r="A304" s="53" t="n">
        <v>46254</v>
      </c>
      <c r="B304" s="48" t="inlineStr">
        <is>
          <t>RAVL</t>
        </is>
      </c>
      <c r="C304" s="48" t="inlineStr">
        <is>
          <t>Delivery Lead, AI Platform Design</t>
        </is>
      </c>
      <c r="D304" s="48" t="inlineStr">
        <is>
          <t>Senior/Lead</t>
        </is>
      </c>
      <c r="E304" s="48" t="inlineStr">
        <is>
          <t>Canada</t>
        </is>
      </c>
      <c r="F304" s="48" t="inlineStr">
        <is>
          <t>Toronto</t>
        </is>
      </c>
      <c r="G304" s="48" t="n">
        <v>84</v>
      </c>
      <c r="H304" s="48" t="inlineStr">
        <is>
          <t>Cold Portal</t>
        </is>
      </c>
      <c r="I304" s="48" t="n"/>
      <c r="J304" s="48" t="inlineStr">
        <is>
          <t>No</t>
        </is>
      </c>
      <c r="K304" s="55" t="inlineStr">
        <is>
          <t>Applied</t>
        </is>
      </c>
      <c r="L304" s="48" t="n"/>
      <c r="M304" s="48">
        <f>IF(OR(L181="",A181=""),"",L181-A181)</f>
        <v/>
      </c>
      <c r="N304" s="48" t="inlineStr">
        <is>
          <t>Confirm exact work location before follow-up</t>
        </is>
      </c>
      <c r="O304" s="48" t="n"/>
      <c r="P304" s="51" t="inlineStr">
        <is>
          <t>Confirmed via Lever 2026-08-20 5:01pm ET (no-reply@hire.lever.co). Exact confirmed title: "Delivery Lead, AI Platform Design" — more specific than the generic "Delivery Lead" posting text originally reviewed; likely one of several parallel Delivery Lead reqs RAVL is filling (per posting: "pipeline hiring for upcoming work"). Boutique technology advisory/engineering firm focused on financial services, RRSP benefit confirms Canadian entity — no sponsorship required. STRENGTHS: Bell TCO (delivery governance built from scratch) and IBM GBS (consulting delivery for global enterprise clients, 80% project success rate) map directly; Price &amp; Pay (payments platform, 0M business case) speaks to financial-services domain; independent agentic AI platform work matches the "AI Platform Design" specialization in the confirmed title specifically. GAPS: boutique advisory/consulting model means client-rotational work rather than single long-term program ownership — different working rhythm than recent in-house roles; confirm this fits current goals. Tailored resume built: Resume_ElenaShchetinina_RAVL_DeliveryLead.docx.</t>
        </is>
      </c>
      <c r="Q304" s="48" t="n"/>
      <c r="R304" s="48" t="n"/>
      <c r="S304" s="51" t="n"/>
      <c r="T304" s="52">
        <f>IF(G304="","",G304)</f>
        <v/>
      </c>
      <c r="U304" s="52">
        <f>IF(C304="","",IF(OR(ISNUMBER(SEARCH("Director",C304)),ISNUMBER(SEARCH("Lead",C304)),ISNUMBER(SEARCH("Senior",C304)),ISNUMBER(SEARCH("Sr.",C304))),90,IF(OR(ISNUMBER(SEARCH("Manager",C304)),ISNUMBER(SEARCH("Program",C304)),ISNUMBER(SEARCH("Portfolio",C304))),80,60)))</f>
        <v/>
      </c>
      <c r="V304" s="52">
        <f>IF(C304="","",IF(OR(ISNUMBER(SEARCH("AI",C304)),ISNUMBER(SEARCH("Data",C304)),ISNUMBER(SEARCH("Technology",C304)),ISNUMBER(SEARCH("Technical",C304)),ISNUMBER(SEARCH("Engineering",C304)),ISNUMBER(SEARCH("Platform",C304)),ISNUMBER(SEARCH("Portfolio",C304))),85,65))</f>
        <v/>
      </c>
      <c r="W304" s="52">
        <f>IF(C304="","",MIN(100,50+IF(S304&lt;&gt;"",25,0)+IF(R304&lt;&gt;"",15,0)+IF(P304&lt;&gt;"",10,0)))</f>
        <v/>
      </c>
      <c r="X304" s="52">
        <f>IF(E304="","",IF(OR(E304="Canada",E304="CA"),100,IF(OR(E304="United States",E304="USA",E304="US"),IF(J304="Yes",45,75),65)))</f>
        <v/>
      </c>
      <c r="Y304" s="52">
        <f>IF(C304="","",IF(OR(ISNUMBER(SEARCH("Program",C304)),ISNUMBER(SEARCH("Portfolio",C304)),ISNUMBER(SEARCH("Operations",C304)),ISNUMBER(SEARCH("Transformation",C304))),85,IF(ISNUMBER(SEARCH("Product Manager",C304)),55,70)))</f>
        <v/>
      </c>
      <c r="Z304" s="52">
        <f>IF(C304="","",MIN(100,IF(I304&lt;&gt;"",60,10)+IF(AA304&gt;0,MIN(40,AA304*20),0)))</f>
        <v/>
      </c>
      <c r="AA304" s="52">
        <f>IF(T304="","",ROUND(T304*25%+U304*15%+V304*10%+W304*15%+X304*15%+Y304*10%+Z304*10%,0))</f>
        <v/>
      </c>
      <c r="AB304" s="52">
        <f>IF(AA304="","",IF(X304&lt;50,"Selective / Barrier",IF(AA304&gt;=80,"Tier 1 - Pursue",IF(AA304&gt;=70,"Tier 2 - Pursue",IF(AA304&gt;=60,"Tier 3 - Selective","Do Not Pursue")))))</f>
        <v/>
      </c>
      <c r="AC304" s="52">
        <f>IF(C304="","",IF(I304&lt;&gt;"","Named Contact",IF(AA304&gt;0,"Outreach Logged","Cold")))</f>
        <v/>
      </c>
      <c r="AD304" s="52">
        <f>IF(B304="","",COUNTIF('Outreach Log'!$C:$C,B304))</f>
        <v/>
      </c>
      <c r="AE304" s="52">
        <f>IF(A304="","",IF(OR(K304="Rejected",K304="Closed"),IF(L304&lt;&gt;"",L304-A304,TODAY()-A304),TODAY()-A304))</f>
        <v/>
      </c>
      <c r="AF304" s="52">
        <f>IF(C304="","",IF(AND(AA304&gt;=70,AC304="Cold"),"High-fit but cold",IF(AND(AA304&lt;60,K304="Applied"),"Low-fit application",IF(AND(AA304&gt;=70,OR(AC304="Named Contact",AC304="Outreach Logged")),"Targeted pursuit","Review"))))</f>
        <v/>
      </c>
    </row>
    <row r="305" ht="15" customHeight="1" s="44">
      <c r="A305" s="53" t="n">
        <v>46254</v>
      </c>
      <c r="B305" s="48" t="inlineStr">
        <is>
          <t>Writer</t>
        </is>
      </c>
      <c r="C305" s="48" t="inlineStr">
        <is>
          <t>Enterprise AI Transformation Lead (East)</t>
        </is>
      </c>
      <c r="D305" s="48" t="inlineStr">
        <is>
          <t>Senior/Lead</t>
        </is>
      </c>
      <c r="E305" s="48" t="inlineStr">
        <is>
          <t>US</t>
        </is>
      </c>
      <c r="F305" s="48" t="inlineStr">
        <is>
          <t>New York</t>
        </is>
      </c>
      <c r="G305" s="48" t="n">
        <v>55</v>
      </c>
      <c r="H305" s="48" t="inlineStr">
        <is>
          <t>Cold Portal</t>
        </is>
      </c>
      <c r="I305" s="48" t="n"/>
      <c r="J305" s="48" t="inlineStr">
        <is>
          <t>Yes</t>
        </is>
      </c>
      <c r="K305" s="55" t="inlineStr">
        <is>
          <t>Applied</t>
        </is>
      </c>
      <c r="L305" s="48" t="n"/>
      <c r="M305" s="48">
        <f>IF(OR(L182="",A182=""),"",L182-A182)</f>
        <v/>
      </c>
      <c r="N305" s="48" t="inlineStr">
        <is>
          <t>Score fit — not yet assessed; confirm exact location/region</t>
        </is>
      </c>
      <c r="O305" s="48" t="n"/>
      <c r="P305" s="51" t="inlineStr">
        <is>
          <t>Confirmed via Writer 2026-08-21 12:11am ET (do-not-reply-hiring@writer.com). Enterprise generative AI platform company (already on AI Startups tab, notable/frontier AI list). Role appears to be a customer-facing AI adoption/change-management role — not yet reviewed in depth or scored. Fit assessment and tailored resume not yet built. | Est. fit score: 55% — customer-facing enterprise AI adoption/change-management role at a frontier gen-AI platform company; strong AI-domain relevance but adoption/CS discipline rather than core program/portfolio execution, and US role requiring sponsorship | Role title corrected 2026-09-15 per LinkedIn "My Jobs" listing: "Enterprise AI Transformation Lead" (was logged as "Enterprise AI Adoption Lead" from an earlier source).</t>
        </is>
      </c>
      <c r="Q305" s="48" t="n"/>
      <c r="R305" s="48" t="n"/>
      <c r="S305" s="51" t="n"/>
      <c r="T305" s="52">
        <f>IF(G305="","",G305)</f>
        <v/>
      </c>
      <c r="U305" s="52">
        <f>IF(C305="","",IF(OR(ISNUMBER(SEARCH("Director",C305)),ISNUMBER(SEARCH("Lead",C305)),ISNUMBER(SEARCH("Senior",C305)),ISNUMBER(SEARCH("Sr.",C305))),90,IF(OR(ISNUMBER(SEARCH("Manager",C305)),ISNUMBER(SEARCH("Program",C305)),ISNUMBER(SEARCH("Portfolio",C305))),80,60)))</f>
        <v/>
      </c>
      <c r="V305" s="52">
        <f>IF(C305="","",IF(OR(ISNUMBER(SEARCH("AI",C305)),ISNUMBER(SEARCH("Data",C305)),ISNUMBER(SEARCH("Technology",C305)),ISNUMBER(SEARCH("Technical",C305)),ISNUMBER(SEARCH("Engineering",C305)),ISNUMBER(SEARCH("Platform",C305)),ISNUMBER(SEARCH("Portfolio",C305))),85,65))</f>
        <v/>
      </c>
      <c r="W305" s="52">
        <f>IF(C305="","",MIN(100,50+IF(S305&lt;&gt;"",25,0)+IF(R305&lt;&gt;"",15,0)+IF(P305&lt;&gt;"",10,0)))</f>
        <v/>
      </c>
      <c r="X305" s="52">
        <f>IF(E305="","",IF(OR(E305="Canada",E305="CA"),100,IF(OR(E305="United States",E305="USA",E305="US"),IF(J305="Yes",45,75),65)))</f>
        <v/>
      </c>
      <c r="Y305" s="52">
        <f>IF(C305="","",IF(OR(ISNUMBER(SEARCH("Program",C305)),ISNUMBER(SEARCH("Portfolio",C305)),ISNUMBER(SEARCH("Operations",C305)),ISNUMBER(SEARCH("Transformation",C305))),85,IF(ISNUMBER(SEARCH("Product Manager",C305)),55,70)))</f>
        <v/>
      </c>
      <c r="Z305" s="52">
        <f>IF(C305="","",MIN(100,IF(I305&lt;&gt;"",60,10)+IF(AA305&gt;0,MIN(40,AA305*20),0)))</f>
        <v/>
      </c>
      <c r="AA305" s="52">
        <f>IF(T305="","",ROUND(T305*25%+U305*15%+V305*10%+W305*15%+X305*15%+Y305*10%+Z305*10%,0))</f>
        <v/>
      </c>
      <c r="AB305" s="52">
        <f>IF(AA305="","",IF(X305&lt;50,"Selective / Barrier",IF(AA305&gt;=80,"Tier 1 - Pursue",IF(AA305&gt;=70,"Tier 2 - Pursue",IF(AA305&gt;=60,"Tier 3 - Selective","Do Not Pursue")))))</f>
        <v/>
      </c>
      <c r="AC305" s="52">
        <f>IF(C305="","",IF(I305&lt;&gt;"","Named Contact",IF(AA305&gt;0,"Outreach Logged","Cold")))</f>
        <v/>
      </c>
      <c r="AD305" s="52">
        <f>IF(B305="","",COUNTIF('Outreach Log'!$C:$C,B305))</f>
        <v/>
      </c>
      <c r="AE305" s="52">
        <f>IF(A305="","",IF(OR(K305="Rejected",K305="Closed"),IF(L305&lt;&gt;"",L305-A305,TODAY()-A305),TODAY()-A305))</f>
        <v/>
      </c>
      <c r="AF305" s="52">
        <f>IF(C305="","",IF(AND(AA305&gt;=70,AC305="Cold"),"High-fit but cold",IF(AND(AA305&lt;60,K305="Applied"),"Low-fit application",IF(AND(AA305&gt;=70,OR(AC305="Named Contact",AC305="Outreach Logged")),"Targeted pursuit","Review"))))</f>
        <v/>
      </c>
    </row>
    <row r="306" ht="15" customHeight="1" s="44">
      <c r="A306" s="53" t="n">
        <v>46254</v>
      </c>
      <c r="B306" s="48" t="inlineStr">
        <is>
          <t>Writer</t>
        </is>
      </c>
      <c r="C306" s="48" t="inlineStr">
        <is>
          <t>Solutions Architect (Central)</t>
        </is>
      </c>
      <c r="D306" s="48" t="inlineStr">
        <is>
          <t>Senior</t>
        </is>
      </c>
      <c r="E306" s="48" t="inlineStr">
        <is>
          <t>US</t>
        </is>
      </c>
      <c r="F306" s="48" t="inlineStr">
        <is>
          <t>New York</t>
        </is>
      </c>
      <c r="G306" s="48" t="n">
        <v>32</v>
      </c>
      <c r="H306" s="48" t="inlineStr">
        <is>
          <t>Cold Portal</t>
        </is>
      </c>
      <c r="I306" s="48" t="n"/>
      <c r="J306" s="48" t="inlineStr">
        <is>
          <t>Yes</t>
        </is>
      </c>
      <c r="K306" s="49" t="inlineStr">
        <is>
          <t>Rejected</t>
        </is>
      </c>
      <c r="L306" s="50" t="n">
        <v>46262</v>
      </c>
      <c r="M306" s="48">
        <f>IF(OR(L183="",A183=""),"",L183-A183)</f>
        <v/>
      </c>
      <c r="N306" s="48" t="inlineStr">
        <is>
          <t>Score fit — not yet assessed; confirm exact location/region</t>
        </is>
      </c>
      <c r="O306" s="48" t="n"/>
      <c r="P306" s="51" t="inlineStr">
        <is>
          <t>Confirmed via Writer 2026-08-20 11:32pm ET (do-not-reply-hiring@writer.com). Solutions Architect is typically a pre-sales technical role — meaningfully different discipline from Elena's program/portfolio management background; not yet reviewed or scored. Two Writer applications same evening (Enterprise AI Adoption Lead + Solutions Architect) — confirm both were intentional. REJECTED 2026-08-28 via do-not-reply-hiring@writer.com: not moving forward with this application. | Est. fit score: 32% — pre-sales technical Solutions Architect role — meaningfully different discipline from program/portfolio management, limited overlap with her delivery/governance background; US role requiring sponsorship</t>
        </is>
      </c>
      <c r="Q306" s="48" t="n"/>
      <c r="R306" s="48" t="n"/>
      <c r="S306" s="51" t="n"/>
      <c r="T306" s="52">
        <f>IF(G306="","",G306)</f>
        <v/>
      </c>
      <c r="U306" s="52">
        <f>IF(C306="","",IF(OR(ISNUMBER(SEARCH("Director",C306)),ISNUMBER(SEARCH("Lead",C306)),ISNUMBER(SEARCH("Senior",C306)),ISNUMBER(SEARCH("Sr.",C306))),90,IF(OR(ISNUMBER(SEARCH("Manager",C306)),ISNUMBER(SEARCH("Program",C306)),ISNUMBER(SEARCH("Portfolio",C306))),80,60)))</f>
        <v/>
      </c>
      <c r="V306" s="52">
        <f>IF(C306="","",IF(OR(ISNUMBER(SEARCH("AI",C306)),ISNUMBER(SEARCH("Data",C306)),ISNUMBER(SEARCH("Technology",C306)),ISNUMBER(SEARCH("Technical",C306)),ISNUMBER(SEARCH("Engineering",C306)),ISNUMBER(SEARCH("Platform",C306)),ISNUMBER(SEARCH("Portfolio",C306))),85,65))</f>
        <v/>
      </c>
      <c r="W306" s="52">
        <f>IF(C306="","",MIN(100,50+IF(S306&lt;&gt;"",25,0)+IF(R306&lt;&gt;"",15,0)+IF(P306&lt;&gt;"",10,0)))</f>
        <v/>
      </c>
      <c r="X306" s="52">
        <f>IF(E306="","",IF(OR(E306="Canada",E306="CA"),100,IF(OR(E306="United States",E306="USA",E306="US"),IF(J306="Yes",45,75),65)))</f>
        <v/>
      </c>
      <c r="Y306" s="52">
        <f>IF(C306="","",IF(OR(ISNUMBER(SEARCH("Program",C306)),ISNUMBER(SEARCH("Portfolio",C306)),ISNUMBER(SEARCH("Operations",C306)),ISNUMBER(SEARCH("Transformation",C306))),85,IF(ISNUMBER(SEARCH("Product Manager",C306)),55,70)))</f>
        <v/>
      </c>
      <c r="Z306" s="52">
        <f>IF(C306="","",MIN(100,IF(I306&lt;&gt;"",60,10)+IF(AA306&gt;0,MIN(40,AA306*20),0)))</f>
        <v/>
      </c>
      <c r="AA306" s="52">
        <f>IF(T306="","",ROUND(T306*25%+U306*15%+V306*10%+W306*15%+X306*15%+Y306*10%+Z306*10%,0))</f>
        <v/>
      </c>
      <c r="AB306" s="52">
        <f>IF(AA306="","",IF(X306&lt;50,"Selective / Barrier",IF(AA306&gt;=80,"Tier 1 - Pursue",IF(AA306&gt;=70,"Tier 2 - Pursue",IF(AA306&gt;=60,"Tier 3 - Selective","Do Not Pursue")))))</f>
        <v/>
      </c>
      <c r="AC306" s="52">
        <f>IF(C306="","",IF(I306&lt;&gt;"","Named Contact",IF(AA306&gt;0,"Outreach Logged","Cold")))</f>
        <v/>
      </c>
      <c r="AD306" s="52">
        <f>IF(B306="","",COUNTIF('Outreach Log'!$C:$C,B306))</f>
        <v/>
      </c>
      <c r="AE306" s="52">
        <f>IF(A306="","",IF(OR(K306="Rejected",K306="Closed"),IF(L306&lt;&gt;"",L306-A306,TODAY()-A306),TODAY()-A306))</f>
        <v/>
      </c>
      <c r="AF306" s="52">
        <f>IF(C306="","",IF(AND(AA306&gt;=70,AC306="Cold"),"High-fit but cold",IF(AND(AA306&lt;60,K306="Applied"),"Low-fit application",IF(AND(AA306&gt;=70,OR(AC306="Named Contact",AC306="Outreach Logged")),"Targeted pursuit","Review"))))</f>
        <v/>
      </c>
    </row>
    <row r="307" ht="15" customHeight="1" s="44">
      <c r="A307" s="53" t="n">
        <v>46254</v>
      </c>
      <c r="B307" s="48" t="inlineStr">
        <is>
          <t>Pivotree</t>
        </is>
      </c>
      <c r="C307" s="48" t="inlineStr">
        <is>
          <t>Program Manager - MDM/AI</t>
        </is>
      </c>
      <c r="D307" s="48" t="inlineStr">
        <is>
          <t>Senior</t>
        </is>
      </c>
      <c r="E307" s="48" t="inlineStr">
        <is>
          <t>Canada</t>
        </is>
      </c>
      <c r="F307" s="48" t="inlineStr">
        <is>
          <t>Toronto</t>
        </is>
      </c>
      <c r="G307" s="48" t="n">
        <v>68</v>
      </c>
      <c r="H307" s="48" t="inlineStr">
        <is>
          <t>LinkedIn</t>
        </is>
      </c>
      <c r="I307" s="48" t="inlineStr">
        <is>
          <t>Brad McLaughlin, Sr. Technical Recruitment Specialist</t>
        </is>
      </c>
      <c r="J307" s="48" t="inlineStr">
        <is>
          <t>No</t>
        </is>
      </c>
      <c r="K307" s="55" t="inlineStr">
        <is>
          <t>Applied</t>
        </is>
      </c>
      <c r="L307" s="48" t="n"/>
      <c r="M307" s="48">
        <f>IF(OR(L184="",A184=""),"",L184-A184)</f>
        <v/>
      </c>
      <c r="N307" s="48" t="inlineStr">
        <is>
          <t>Awaiting Brad's response to screening answers sent 08/20 10:29pm ET; follow up if no reply within a few days</t>
        </is>
      </c>
      <c r="O307" s="48" t="n"/>
      <c r="P307" s="51" t="inlineStr">
        <is>
          <t>Applied via LinkedIn. Recruiter Brad McLaughlin reached out directly 2026-08-20 6:54pm ET requesting a screening snapshot on: (1) MDM/PIM/supply chain experience incl. STIBO/EnterWorks/Syndigo/Informatica, (2) hybrid BA+Scrum Master "Watergile" flexibility, (3) large-scale multi-million $ portfolio/budget management, (4) AI tooling adoption (Gemini, automated scheduling, log analysis), (5) compensation expectations. Elena replied same evening 10:29pm ET with a snapshot covering Amazon catalog/taxonomy work, IBM MDM/Curam requirements experience, Bell TCO budget/portfolio work. Recruiter engagement is a positive signal (direct outreach vs. only an automated confirmation), but status remains Applied until a formal screening call is scheduled/confirmed. Tailored resume already built: Resume_ElenaShchetinina_Pivotree_ProgramManager.docx. Fit score 68% per detailed JD review (see resume notes for full gap analysis: MDM tools, eCommerce platform implementation, professional-services margin model).</t>
        </is>
      </c>
      <c r="Q307" s="48" t="n"/>
      <c r="R307" s="48" t="n"/>
      <c r="S307" s="51" t="n"/>
      <c r="T307" s="52">
        <f>IF(G307="","",G307)</f>
        <v/>
      </c>
      <c r="U307" s="52">
        <f>IF(C307="","",IF(OR(ISNUMBER(SEARCH("Director",C307)),ISNUMBER(SEARCH("Lead",C307)),ISNUMBER(SEARCH("Senior",C307)),ISNUMBER(SEARCH("Sr.",C307))),90,IF(OR(ISNUMBER(SEARCH("Manager",C307)),ISNUMBER(SEARCH("Program",C307)),ISNUMBER(SEARCH("Portfolio",C307))),80,60)))</f>
        <v/>
      </c>
      <c r="V307" s="52">
        <f>IF(C307="","",IF(OR(ISNUMBER(SEARCH("AI",C307)),ISNUMBER(SEARCH("Data",C307)),ISNUMBER(SEARCH("Technology",C307)),ISNUMBER(SEARCH("Technical",C307)),ISNUMBER(SEARCH("Engineering",C307)),ISNUMBER(SEARCH("Platform",C307)),ISNUMBER(SEARCH("Portfolio",C307))),85,65))</f>
        <v/>
      </c>
      <c r="W307" s="52">
        <f>IF(C307="","",MIN(100,50+IF(S307&lt;&gt;"",25,0)+IF(R307&lt;&gt;"",15,0)+IF(P307&lt;&gt;"",10,0)))</f>
        <v/>
      </c>
      <c r="X307" s="52">
        <f>IF(E307="","",IF(OR(E307="Canada",E307="CA"),100,IF(OR(E307="United States",E307="USA",E307="US"),IF(J307="Yes",45,75),65)))</f>
        <v/>
      </c>
      <c r="Y307" s="52">
        <f>IF(C307="","",IF(OR(ISNUMBER(SEARCH("Program",C307)),ISNUMBER(SEARCH("Portfolio",C307)),ISNUMBER(SEARCH("Operations",C307)),ISNUMBER(SEARCH("Transformation",C307))),85,IF(ISNUMBER(SEARCH("Product Manager",C307)),55,70)))</f>
        <v/>
      </c>
      <c r="Z307" s="52">
        <f>IF(C307="","",MIN(100,IF(I307&lt;&gt;"",60,10)+IF(AA307&gt;0,MIN(40,AA307*20),0)))</f>
        <v/>
      </c>
      <c r="AA307" s="52">
        <f>IF(T307="","",ROUND(T307*25%+U307*15%+V307*10%+W307*15%+X307*15%+Y307*10%+Z307*10%,0))</f>
        <v/>
      </c>
      <c r="AB307" s="52">
        <f>IF(AA307="","",IF(X307&lt;50,"Selective / Barrier",IF(AA307&gt;=80,"Tier 1 - Pursue",IF(AA307&gt;=70,"Tier 2 - Pursue",IF(AA307&gt;=60,"Tier 3 - Selective","Do Not Pursue")))))</f>
        <v/>
      </c>
      <c r="AC307" s="52">
        <f>IF(C307="","",IF(I307&lt;&gt;"","Named Contact",IF(AA307&gt;0,"Outreach Logged","Cold")))</f>
        <v/>
      </c>
      <c r="AD307" s="52">
        <f>IF(B307="","",COUNTIF('Outreach Log'!$C:$C,B307))</f>
        <v/>
      </c>
      <c r="AE307" s="52">
        <f>IF(A307="","",IF(OR(K307="Rejected",K307="Closed"),IF(L307&lt;&gt;"",L307-A307,TODAY()-A307),TODAY()-A307))</f>
        <v/>
      </c>
      <c r="AF307" s="52">
        <f>IF(C307="","",IF(AND(AA307&gt;=70,AC307="Cold"),"High-fit but cold",IF(AND(AA307&lt;60,K307="Applied"),"Low-fit application",IF(AND(AA307&gt;=70,OR(AC307="Named Contact",AC307="Outreach Logged")),"Targeted pursuit","Review"))))</f>
        <v/>
      </c>
    </row>
    <row r="308" ht="15" customHeight="1" s="44">
      <c r="A308" s="53" t="n">
        <v>46254</v>
      </c>
      <c r="B308" s="48" t="inlineStr">
        <is>
          <t>Scale AI</t>
        </is>
      </c>
      <c r="C308" s="48" t="inlineStr">
        <is>
          <t>AI Advisory Consultant (second application)</t>
        </is>
      </c>
      <c r="D308" s="48" t="n"/>
      <c r="E308" s="48" t="n"/>
      <c r="F308" s="48" t="n"/>
      <c r="G308" s="48" t="n"/>
      <c r="H308" s="48" t="n"/>
      <c r="I308" s="48" t="n"/>
      <c r="J308" s="48" t="n"/>
      <c r="K308" s="55" t="inlineStr">
        <is>
          <t>Applied</t>
        </is>
      </c>
      <c r="L308" s="48" t="n"/>
      <c r="M308" s="48" t="n"/>
      <c r="N308" s="48" t="n"/>
      <c r="O308" s="48" t="n"/>
      <c r="P308" s="51" t="inlineStr">
        <is>
          <t>Second, distinct application from the Jul 30 AI Advisory Consultant (already Rejected). No rejection email found as of Sep 20 2026 — genuinely pending.</t>
        </is>
      </c>
      <c r="Q308" s="48" t="n"/>
      <c r="R308" s="48" t="n"/>
      <c r="S308" s="51" t="n"/>
      <c r="T308" s="52">
        <f>IF(G308="","",G308)</f>
        <v/>
      </c>
      <c r="U308" s="52">
        <f>IF(C308="","",IF(OR(ISNUMBER(SEARCH("Director",C308)),ISNUMBER(SEARCH("Lead",C308)),ISNUMBER(SEARCH("Senior",C308)),ISNUMBER(SEARCH("Sr.",C308))),90,IF(OR(ISNUMBER(SEARCH("Manager",C308)),ISNUMBER(SEARCH("Program",C308)),ISNUMBER(SEARCH("Portfolio",C308))),80,60)))</f>
        <v/>
      </c>
      <c r="V308" s="52">
        <f>IF(C308="","",IF(OR(ISNUMBER(SEARCH("AI",C308)),ISNUMBER(SEARCH("Data",C308)),ISNUMBER(SEARCH("Technology",C308)),ISNUMBER(SEARCH("Technical",C308)),ISNUMBER(SEARCH("Engineering",C308)),ISNUMBER(SEARCH("Platform",C308)),ISNUMBER(SEARCH("Portfolio",C308))),85,65))</f>
        <v/>
      </c>
      <c r="W308" s="52">
        <f>IF(C308="","",MIN(100,50+IF(S308&lt;&gt;"",25,0)+IF(R308&lt;&gt;"",15,0)+IF(P308&lt;&gt;"",10,0)))</f>
        <v/>
      </c>
      <c r="X308" s="52">
        <f>IF(E308="","",IF(OR(E308="Canada",E308="CA"),100,IF(OR(E308="United States",E308="USA",E308="US"),IF(J308="Yes",45,75),65)))</f>
        <v/>
      </c>
      <c r="Y308" s="52">
        <f>IF(C308="","",IF(OR(ISNUMBER(SEARCH("Program",C308)),ISNUMBER(SEARCH("Portfolio",C308)),ISNUMBER(SEARCH("Operations",C308)),ISNUMBER(SEARCH("Transformation",C308))),85,IF(ISNUMBER(SEARCH("Product Manager",C308)),55,70)))</f>
        <v/>
      </c>
      <c r="Z308" s="52">
        <f>IF(C308="","",MIN(100,IF(I308&lt;&gt;"",60,10)+IF(AA308&gt;0,MIN(40,AA308*20),0)))</f>
        <v/>
      </c>
      <c r="AA308" s="52">
        <f>IF(T308="","",ROUND(T308*25%+U308*15%+V308*10%+W308*15%+X308*15%+Y308*10%+Z308*10%,0))</f>
        <v/>
      </c>
      <c r="AB308" s="52">
        <f>IF(AA308="","",IF(X308&lt;50,"Selective / Barrier",IF(AA308&gt;=80,"Tier 1 - Pursue",IF(AA308&gt;=70,"Tier 2 - Pursue",IF(AA308&gt;=60,"Tier 3 - Selective","Do Not Pursue")))))</f>
        <v/>
      </c>
      <c r="AC308" s="52">
        <f>IF(C308="","",IF(I308&lt;&gt;"","Named Contact",IF(AA308&gt;0,"Outreach Logged","Cold")))</f>
        <v/>
      </c>
      <c r="AD308" s="52">
        <f>IF(B308="","",COUNTIF('Outreach Log'!$C:$C,B308))</f>
        <v/>
      </c>
      <c r="AE308" s="52">
        <f>IF(A308="","",IF(OR(K308="Rejected",K308="Closed"),IF(L308&lt;&gt;"",L308-A308,TODAY()-A308),TODAY()-A308))</f>
        <v/>
      </c>
      <c r="AF308" s="52">
        <f>IF(C308="","",IF(AND(AA308&gt;=70,AC308="Cold"),"High-fit but cold",IF(AND(AA308&lt;60,K308="Applied"),"Low-fit application",IF(AND(AA308&gt;=70,OR(AC308="Named Contact",AC308="Outreach Logged")),"Targeted pursuit","Review"))))</f>
        <v/>
      </c>
    </row>
    <row r="309" ht="15" customHeight="1" s="44">
      <c r="A309" s="53" t="n">
        <v>46255</v>
      </c>
      <c r="B309" s="48" t="inlineStr">
        <is>
          <t>OMERS / Oxford Properties</t>
        </is>
      </c>
      <c r="C309" s="48" t="inlineStr">
        <is>
          <t>Program Manager, Program Management &amp; Delivery (D&amp;T CSI)</t>
        </is>
      </c>
      <c r="D309" s="48" t="inlineStr">
        <is>
          <t>Manager/Coordinator</t>
        </is>
      </c>
      <c r="E309" s="48" t="inlineStr">
        <is>
          <t>Canada</t>
        </is>
      </c>
      <c r="F309" s="48" t="inlineStr">
        <is>
          <t>Toronto</t>
        </is>
      </c>
      <c r="G309" s="48" t="n">
        <v>90</v>
      </c>
      <c r="H309" s="48" t="inlineStr">
        <is>
          <t>Cold Portal</t>
        </is>
      </c>
      <c r="I309" s="48" t="n"/>
      <c r="J309" s="48" t="inlineStr">
        <is>
          <t>No</t>
        </is>
      </c>
      <c r="K309" s="55" t="inlineStr">
        <is>
          <t>Applied</t>
        </is>
      </c>
      <c r="L309" s="48" t="n"/>
      <c r="M309" s="48">
        <f>IF(OR(L185="",A185=""),"",L185-A185)</f>
        <v/>
      </c>
      <c r="N309" s="48" t="n"/>
      <c r="O309" s="48" t="n"/>
      <c r="P309" s="51" t="inlineStr">
        <is>
          <t>Confirmed via OMERS 2026-08-21 1:51pm ET (recruiting@jobalerts.omers.com). "D&amp;T Customer Success &amp; Innovation (CSI)" team — demand intake, portfolio coordination, roadmap alignment, Agile/hybrid delivery facilitation using Azure DevOps. STRONGEST FIT of the session (90%): JD language matches Elena's actual program/portfolio skill set almost verbatim, no significant gaps. Bell TCO (demand intake/governance built from scratch, 60+ stakeholders) and IBM CIO org (intake process design) map directly. SAFe Advanced Scrum Master certification covers Agile/Kanban/Scrum requirement directly. NOTE: role scope (5-8+ yrs, "support/assist/help teams" language) reads as more coordination-focused than Elena's recent Director-level targets — worth confirming this level fits current goals despite the strong skills match. Tailored resume built: Resume_ElenaShchetinina_DT_PortfolioCoordinator.docx.</t>
        </is>
      </c>
      <c r="Q309" s="48" t="n"/>
      <c r="R309" s="48" t="n"/>
      <c r="S309" s="51" t="n"/>
      <c r="T309" s="52">
        <f>IF(G309="","",G309)</f>
        <v/>
      </c>
      <c r="U309" s="52">
        <f>IF(C309="","",IF(OR(ISNUMBER(SEARCH("Director",C309)),ISNUMBER(SEARCH("Lead",C309)),ISNUMBER(SEARCH("Senior",C309)),ISNUMBER(SEARCH("Sr.",C309))),90,IF(OR(ISNUMBER(SEARCH("Manager",C309)),ISNUMBER(SEARCH("Program",C309)),ISNUMBER(SEARCH("Portfolio",C309))),80,60)))</f>
        <v/>
      </c>
      <c r="V309" s="52">
        <f>IF(C309="","",IF(OR(ISNUMBER(SEARCH("AI",C309)),ISNUMBER(SEARCH("Data",C309)),ISNUMBER(SEARCH("Technology",C309)),ISNUMBER(SEARCH("Technical",C309)),ISNUMBER(SEARCH("Engineering",C309)),ISNUMBER(SEARCH("Platform",C309)),ISNUMBER(SEARCH("Portfolio",C309))),85,65))</f>
        <v/>
      </c>
      <c r="W309" s="52">
        <f>IF(C309="","",MIN(100,50+IF(S309&lt;&gt;"",25,0)+IF(R309&lt;&gt;"",15,0)+IF(P309&lt;&gt;"",10,0)))</f>
        <v/>
      </c>
      <c r="X309" s="52">
        <f>IF(E309="","",IF(OR(E309="Canada",E309="CA"),100,IF(OR(E309="United States",E309="USA",E309="US"),IF(J309="Yes",45,75),65)))</f>
        <v/>
      </c>
      <c r="Y309" s="52">
        <f>IF(C309="","",IF(OR(ISNUMBER(SEARCH("Program",C309)),ISNUMBER(SEARCH("Portfolio",C309)),ISNUMBER(SEARCH("Operations",C309)),ISNUMBER(SEARCH("Transformation",C309))),85,IF(ISNUMBER(SEARCH("Product Manager",C309)),55,70)))</f>
        <v/>
      </c>
      <c r="Z309" s="52">
        <f>IF(C309="","",MIN(100,IF(I309&lt;&gt;"",60,10)+IF(AA309&gt;0,MIN(40,AA309*20),0)))</f>
        <v/>
      </c>
      <c r="AA309" s="52">
        <f>IF(T309="","",ROUND(T309*25%+U309*15%+V309*10%+W309*15%+X309*15%+Y309*10%+Z309*10%,0))</f>
        <v/>
      </c>
      <c r="AB309" s="52">
        <f>IF(AA309="","",IF(X309&lt;50,"Selective / Barrier",IF(AA309&gt;=80,"Tier 1 - Pursue",IF(AA309&gt;=70,"Tier 2 - Pursue",IF(AA309&gt;=60,"Tier 3 - Selective","Do Not Pursue")))))</f>
        <v/>
      </c>
      <c r="AC309" s="52">
        <f>IF(C309="","",IF(I309&lt;&gt;"","Named Contact",IF(AA309&gt;0,"Outreach Logged","Cold")))</f>
        <v/>
      </c>
      <c r="AD309" s="52">
        <f>IF(B309="","",COUNTIF('Outreach Log'!$C:$C,B309))</f>
        <v/>
      </c>
      <c r="AE309" s="52">
        <f>IF(A309="","",IF(OR(K309="Rejected",K309="Closed"),IF(L309&lt;&gt;"",L309-A309,TODAY()-A309),TODAY()-A309))</f>
        <v/>
      </c>
      <c r="AF309" s="52">
        <f>IF(C309="","",IF(AND(AA309&gt;=70,AC309="Cold"),"High-fit but cold",IF(AND(AA309&lt;60,K309="Applied"),"Low-fit application",IF(AND(AA309&gt;=70,OR(AC309="Named Contact",AC309="Outreach Logged")),"Targeted pursuit","Review"))))</f>
        <v/>
      </c>
    </row>
    <row r="310" ht="15" customHeight="1" s="44">
      <c r="A310" s="53" t="n">
        <v>46255</v>
      </c>
      <c r="B310" s="48" t="inlineStr">
        <is>
          <t>API (company name unconfirmed)</t>
        </is>
      </c>
      <c r="C310" s="48" t="inlineStr">
        <is>
          <t>Senior Manager, Program Management</t>
        </is>
      </c>
      <c r="D310" s="48" t="inlineStr">
        <is>
          <t>Senior Manager</t>
        </is>
      </c>
      <c r="E310" s="48" t="inlineStr">
        <is>
          <t>Canada</t>
        </is>
      </c>
      <c r="F310" s="48" t="inlineStr">
        <is>
          <t>Toronto</t>
        </is>
      </c>
      <c r="G310" s="48" t="n">
        <v>72</v>
      </c>
      <c r="H310" s="48" t="inlineStr">
        <is>
          <t>Indeed</t>
        </is>
      </c>
      <c r="I310" s="48" t="n"/>
      <c r="J310" s="48" t="inlineStr">
        <is>
          <t>No</t>
        </is>
      </c>
      <c r="K310" s="55" t="inlineStr">
        <is>
          <t>Applied</t>
        </is>
      </c>
      <c r="L310" s="48" t="n"/>
      <c r="M310" s="48">
        <f>IF(OR(L186="",A186=""),"",L186-A186)</f>
        <v/>
      </c>
      <c r="N310" s="48" t="inlineStr">
        <is>
          <t>Confirm actual company name, location, sponsorship, and fit score with Elena</t>
        </is>
      </c>
      <c r="O310" s="48" t="n"/>
      <c r="P310" s="51" t="inlineStr">
        <is>
          <t>Confirmed via Rippling ATS 2026-08-21 4:10pm ET (no-reply@ats.rippling.com) + matching Indeed application notification same timestamp. Company name shown only as "API" in confirmation — unclear if this is the literal company name or an abbreviation/acronym; confirmed Canada-based by Elena, no sponsorship required. This role was not previously reviewed with Elena — no fit assessment or tailored resume built yet. Likely similar in shape to the Technology PM Leadership role reviewed earlier today (Senior Manager, Program Management, technology transformation focus) given matching title pattern. | Est. fit score: 72% — Senior Manager, Program Management at her target level, Canada-based, no sponsorship — same shape as other Senior Manager/Director program management roles she's scored 70-80% on; scored provisionally since exact company/JD unconfirmed</t>
        </is>
      </c>
      <c r="Q310" s="48" t="n"/>
      <c r="R310" s="48" t="n"/>
      <c r="S310" s="51" t="n"/>
      <c r="T310" s="52">
        <f>IF(G310="","",G310)</f>
        <v/>
      </c>
      <c r="U310" s="52">
        <f>IF(C310="","",IF(OR(ISNUMBER(SEARCH("Director",C310)),ISNUMBER(SEARCH("Lead",C310)),ISNUMBER(SEARCH("Senior",C310)),ISNUMBER(SEARCH("Sr.",C310))),90,IF(OR(ISNUMBER(SEARCH("Manager",C310)),ISNUMBER(SEARCH("Program",C310)),ISNUMBER(SEARCH("Portfolio",C310))),80,60)))</f>
        <v/>
      </c>
      <c r="V310" s="52">
        <f>IF(C310="","",IF(OR(ISNUMBER(SEARCH("AI",C310)),ISNUMBER(SEARCH("Data",C310)),ISNUMBER(SEARCH("Technology",C310)),ISNUMBER(SEARCH("Technical",C310)),ISNUMBER(SEARCH("Engineering",C310)),ISNUMBER(SEARCH("Platform",C310)),ISNUMBER(SEARCH("Portfolio",C310))),85,65))</f>
        <v/>
      </c>
      <c r="W310" s="52">
        <f>IF(C310="","",MIN(100,50+IF(S310&lt;&gt;"",25,0)+IF(R310&lt;&gt;"",15,0)+IF(P310&lt;&gt;"",10,0)))</f>
        <v/>
      </c>
      <c r="X310" s="52">
        <f>IF(E310="","",IF(OR(E310="Canada",E310="CA"),100,IF(OR(E310="United States",E310="USA",E310="US"),IF(J310="Yes",45,75),65)))</f>
        <v/>
      </c>
      <c r="Y310" s="52">
        <f>IF(C310="","",IF(OR(ISNUMBER(SEARCH("Program",C310)),ISNUMBER(SEARCH("Portfolio",C310)),ISNUMBER(SEARCH("Operations",C310)),ISNUMBER(SEARCH("Transformation",C310))),85,IF(ISNUMBER(SEARCH("Product Manager",C310)),55,70)))</f>
        <v/>
      </c>
      <c r="Z310" s="52">
        <f>IF(C310="","",MIN(100,IF(I310&lt;&gt;"",60,10)+IF(AA310&gt;0,MIN(40,AA310*20),0)))</f>
        <v/>
      </c>
      <c r="AA310" s="52">
        <f>IF(T310="","",ROUND(T310*25%+U310*15%+V310*10%+W310*15%+X310*15%+Y310*10%+Z310*10%,0))</f>
        <v/>
      </c>
      <c r="AB310" s="52">
        <f>IF(AA310="","",IF(X310&lt;50,"Selective / Barrier",IF(AA310&gt;=80,"Tier 1 - Pursue",IF(AA310&gt;=70,"Tier 2 - Pursue",IF(AA310&gt;=60,"Tier 3 - Selective","Do Not Pursue")))))</f>
        <v/>
      </c>
      <c r="AC310" s="52">
        <f>IF(C310="","",IF(I310&lt;&gt;"","Named Contact",IF(AA310&gt;0,"Outreach Logged","Cold")))</f>
        <v/>
      </c>
      <c r="AD310" s="52">
        <f>IF(B310="","",COUNTIF('Outreach Log'!$C:$C,B310))</f>
        <v/>
      </c>
      <c r="AE310" s="52">
        <f>IF(A310="","",IF(OR(K310="Rejected",K310="Closed"),IF(L310&lt;&gt;"",L310-A310,TODAY()-A310),TODAY()-A310))</f>
        <v/>
      </c>
      <c r="AF310" s="52">
        <f>IF(C310="","",IF(AND(AA310&gt;=70,AC310="Cold"),"High-fit but cold",IF(AND(AA310&lt;60,K310="Applied"),"Low-fit application",IF(AND(AA310&gt;=70,OR(AC310="Named Contact",AC310="Outreach Logged")),"Targeted pursuit","Review"))))</f>
        <v/>
      </c>
    </row>
    <row r="311" ht="15" customHeight="1" s="44">
      <c r="A311" s="53" t="n">
        <v>46255</v>
      </c>
      <c r="B311" s="48" t="inlineStr">
        <is>
          <t>Brydon Gama</t>
        </is>
      </c>
      <c r="C311" s="48" t="inlineStr">
        <is>
          <t>Senior Project Manager - Business Transformation</t>
        </is>
      </c>
      <c r="D311" s="48" t="inlineStr">
        <is>
          <t>Senior</t>
        </is>
      </c>
      <c r="E311" s="48" t="inlineStr">
        <is>
          <t>Canada</t>
        </is>
      </c>
      <c r="F311" s="48" t="inlineStr">
        <is>
          <t>Toronto</t>
        </is>
      </c>
      <c r="G311" s="48" t="n">
        <v>78</v>
      </c>
      <c r="H311" s="48" t="inlineStr">
        <is>
          <t>Indeed</t>
        </is>
      </c>
      <c r="I311" s="48" t="n"/>
      <c r="J311" s="48" t="inlineStr">
        <is>
          <t>No</t>
        </is>
      </c>
      <c r="K311" s="57" t="inlineStr">
        <is>
          <t>Interviewing</t>
        </is>
      </c>
      <c r="L311" s="50" t="n">
        <v>46258</v>
      </c>
      <c r="M311" s="48">
        <f>IF(OR(L187="",A187=""),"",L187-A187)</f>
        <v/>
      </c>
      <c r="N311" s="48" t="inlineStr">
        <is>
          <t>Prepare for interview; confirm interview date/time and format with Elena</t>
        </is>
      </c>
      <c r="O311" s="48" t="n"/>
      <c r="P311" s="51" t="inlineStr">
        <is>
          <t>Confirmed via Indeed 2026-08-21 8:45pm ET. Company: Brydon Gama, Markham ON, hybrid. Permanent, full-time, $93,000–$125,000/year. JD reviewed: multi-year business transformation program, mainframe-to-modern systems migration + business process redesign, permanent role outlasting the program. FIT SCORE 78%: strong match — JD explicitly states "influence without authority is the operating model" and "senior in scope, if not in title," matching Elena's actual career shape closely. Bell TCO/Customer Profile (systems consolidation, business case ownership, 0M savings case) and cross-functional leadership without direct reports map directly. Financial services listed as "asset, not requirement" — Elena has real exposure via Bell Price &amp; Pay. GAP: no hands-on mainframe-to-modern or on-prem-to-cloud migration experience specifically (parallel-run/cutover) — closest analog is Bell Customer Profile systems consolidation, not literal migration/cutover work. PMP not held (SAFe certifications instead) but explicitly listed as "asset," not required. NOTE: salary band below Elena's recent Director-level targets, but JD explicitly signals the role is more senior than the title/comp suggests. UPDATE 2026-08-24: Shortlisted for interview.</t>
        </is>
      </c>
      <c r="Q311" s="48" t="n"/>
      <c r="R311" s="48" t="n"/>
      <c r="S311" s="51" t="n"/>
      <c r="T311" s="52">
        <f>IF(G311="","",G311)</f>
        <v/>
      </c>
      <c r="U311" s="52">
        <f>IF(C311="","",IF(OR(ISNUMBER(SEARCH("Director",C311)),ISNUMBER(SEARCH("Lead",C311)),ISNUMBER(SEARCH("Senior",C311)),ISNUMBER(SEARCH("Sr.",C311))),90,IF(OR(ISNUMBER(SEARCH("Manager",C311)),ISNUMBER(SEARCH("Program",C311)),ISNUMBER(SEARCH("Portfolio",C311))),80,60)))</f>
        <v/>
      </c>
      <c r="V311" s="52">
        <f>IF(C311="","",IF(OR(ISNUMBER(SEARCH("AI",C311)),ISNUMBER(SEARCH("Data",C311)),ISNUMBER(SEARCH("Technology",C311)),ISNUMBER(SEARCH("Technical",C311)),ISNUMBER(SEARCH("Engineering",C311)),ISNUMBER(SEARCH("Platform",C311)),ISNUMBER(SEARCH("Portfolio",C311))),85,65))</f>
        <v/>
      </c>
      <c r="W311" s="52">
        <f>IF(C311="","",MIN(100,50+IF(S311&lt;&gt;"",25,0)+IF(R311&lt;&gt;"",15,0)+IF(P311&lt;&gt;"",10,0)))</f>
        <v/>
      </c>
      <c r="X311" s="52">
        <f>IF(E311="","",IF(OR(E311="Canada",E311="CA"),100,IF(OR(E311="United States",E311="USA",E311="US"),IF(J311="Yes",45,75),65)))</f>
        <v/>
      </c>
      <c r="Y311" s="52">
        <f>IF(C311="","",IF(OR(ISNUMBER(SEARCH("Program",C311)),ISNUMBER(SEARCH("Portfolio",C311)),ISNUMBER(SEARCH("Operations",C311)),ISNUMBER(SEARCH("Transformation",C311))),85,IF(ISNUMBER(SEARCH("Product Manager",C311)),55,70)))</f>
        <v/>
      </c>
      <c r="Z311" s="52">
        <f>IF(C311="","",MIN(100,IF(I311&lt;&gt;"",60,10)+IF(AA311&gt;0,MIN(40,AA311*20),0)))</f>
        <v/>
      </c>
      <c r="AA311" s="52">
        <f>IF(T311="","",ROUND(T311*25%+U311*15%+V311*10%+W311*15%+X311*15%+Y311*10%+Z311*10%,0))</f>
        <v/>
      </c>
      <c r="AB311" s="52">
        <f>IF(AA311="","",IF(X311&lt;50,"Selective / Barrier",IF(AA311&gt;=80,"Tier 1 - Pursue",IF(AA311&gt;=70,"Tier 2 - Pursue",IF(AA311&gt;=60,"Tier 3 - Selective","Do Not Pursue")))))</f>
        <v/>
      </c>
      <c r="AC311" s="52">
        <f>IF(C311="","",IF(I311&lt;&gt;"","Named Contact",IF(AA311&gt;0,"Outreach Logged","Cold")))</f>
        <v/>
      </c>
      <c r="AD311" s="52">
        <f>IF(B311="","",COUNTIF('Outreach Log'!$C:$C,B311))</f>
        <v/>
      </c>
      <c r="AE311" s="52">
        <f>IF(A311="","",IF(OR(K311="Rejected",K311="Closed"),IF(L311&lt;&gt;"",L311-A311,TODAY()-A311),TODAY()-A311))</f>
        <v/>
      </c>
      <c r="AF311" s="52">
        <f>IF(C311="","",IF(AND(AA311&gt;=70,AC311="Cold"),"High-fit but cold",IF(AND(AA311&lt;60,K311="Applied"),"Low-fit application",IF(AND(AA311&gt;=70,OR(AC311="Named Contact",AC311="Outreach Logged")),"Targeted pursuit","Review"))))</f>
        <v/>
      </c>
    </row>
    <row r="312" ht="15" customHeight="1" s="44">
      <c r="A312" s="53" t="n">
        <v>46255</v>
      </c>
      <c r="B312" s="48" t="inlineStr">
        <is>
          <t>SI Systems (contract)</t>
        </is>
      </c>
      <c r="C312" s="48" t="inlineStr">
        <is>
          <t>Senior Project Manager, Individual Wealth Technology</t>
        </is>
      </c>
      <c r="D312" s="48" t="n"/>
      <c r="E312" s="48" t="n"/>
      <c r="F312" s="48" t="n"/>
      <c r="G312" s="48" t="n"/>
      <c r="H312" s="48" t="n"/>
      <c r="I312" s="48" t="n"/>
      <c r="J312" s="48" t="n"/>
      <c r="K312" s="49" t="inlineStr">
        <is>
          <t>Rejected</t>
        </is>
      </c>
      <c r="L312" s="48" t="n"/>
      <c r="M312" s="48" t="n"/>
      <c r="N312" s="48" t="n"/>
      <c r="O312" s="48" t="n"/>
      <c r="P312" s="51" t="inlineStr">
        <is>
          <t>Rejected (per Greenhouse portal review, Sep 20 2026). Not moving forward</t>
        </is>
      </c>
      <c r="Q312" s="48" t="n"/>
      <c r="R312" s="48" t="n"/>
      <c r="S312" s="51" t="n"/>
      <c r="T312" s="52">
        <f>IF(G312="","",G312)</f>
        <v/>
      </c>
      <c r="U312" s="52">
        <f>IF(C312="","",IF(OR(ISNUMBER(SEARCH("Director",C312)),ISNUMBER(SEARCH("Lead",C312)),ISNUMBER(SEARCH("Senior",C312)),ISNUMBER(SEARCH("Sr.",C312))),90,IF(OR(ISNUMBER(SEARCH("Manager",C312)),ISNUMBER(SEARCH("Program",C312)),ISNUMBER(SEARCH("Portfolio",C312))),80,60)))</f>
        <v/>
      </c>
      <c r="V312" s="52">
        <f>IF(C312="","",IF(OR(ISNUMBER(SEARCH("AI",C312)),ISNUMBER(SEARCH("Data",C312)),ISNUMBER(SEARCH("Technology",C312)),ISNUMBER(SEARCH("Technical",C312)),ISNUMBER(SEARCH("Engineering",C312)),ISNUMBER(SEARCH("Platform",C312)),ISNUMBER(SEARCH("Portfolio",C312))),85,65))</f>
        <v/>
      </c>
      <c r="W312" s="52">
        <f>IF(C312="","",MIN(100,50+IF(S312&lt;&gt;"",25,0)+IF(R312&lt;&gt;"",15,0)+IF(P312&lt;&gt;"",10,0)))</f>
        <v/>
      </c>
      <c r="X312" s="52">
        <f>IF(E312="","",IF(OR(E312="Canada",E312="CA"),100,IF(OR(E312="United States",E312="USA",E312="US"),IF(J312="Yes",45,75),65)))</f>
        <v/>
      </c>
      <c r="Y312" s="52">
        <f>IF(C312="","",IF(OR(ISNUMBER(SEARCH("Program",C312)),ISNUMBER(SEARCH("Portfolio",C312)),ISNUMBER(SEARCH("Operations",C312)),ISNUMBER(SEARCH("Transformation",C312))),85,IF(ISNUMBER(SEARCH("Product Manager",C312)),55,70)))</f>
        <v/>
      </c>
      <c r="Z312" s="52">
        <f>IF(C312="","",MIN(100,IF(I312&lt;&gt;"",60,10)+IF(AA312&gt;0,MIN(40,AA312*20),0)))</f>
        <v/>
      </c>
      <c r="AA312" s="52">
        <f>IF(T312="","",ROUND(T312*25%+U312*15%+V312*10%+W312*15%+X312*15%+Y312*10%+Z312*10%,0))</f>
        <v/>
      </c>
      <c r="AB312" s="52">
        <f>IF(AA312="","",IF(X312&lt;50,"Selective / Barrier",IF(AA312&gt;=80,"Tier 1 - Pursue",IF(AA312&gt;=70,"Tier 2 - Pursue",IF(AA312&gt;=60,"Tier 3 - Selective","Do Not Pursue")))))</f>
        <v/>
      </c>
      <c r="AC312" s="52">
        <f>IF(C312="","",IF(I312&lt;&gt;"","Named Contact",IF(AA312&gt;0,"Outreach Logged","Cold")))</f>
        <v/>
      </c>
      <c r="AD312" s="52">
        <f>IF(B312="","",COUNTIF('Outreach Log'!$C:$C,B312))</f>
        <v/>
      </c>
      <c r="AE312" s="52">
        <f>IF(A312="","",IF(OR(K312="Rejected",K312="Closed"),IF(L312&lt;&gt;"",L312-A312,TODAY()-A312),TODAY()-A312))</f>
        <v/>
      </c>
      <c r="AF312" s="52">
        <f>IF(C312="","",IF(AND(AA312&gt;=70,AC312="Cold"),"High-fit but cold",IF(AND(AA312&lt;60,K312="Applied"),"Low-fit application",IF(AND(AA312&gt;=70,OR(AC312="Named Contact",AC312="Outreach Logged")),"Targeted pursuit","Review"))))</f>
        <v/>
      </c>
    </row>
    <row r="313" ht="15" customHeight="1" s="44">
      <c r="A313" s="53" t="n">
        <v>46255</v>
      </c>
      <c r="B313" s="48" t="inlineStr">
        <is>
          <t>OMERS/Oxford Properties</t>
        </is>
      </c>
      <c r="C313" s="48" t="inlineStr">
        <is>
          <t>Program Manager, Program Management &amp; Delivery</t>
        </is>
      </c>
      <c r="D313" s="48" t="n"/>
      <c r="E313" s="48" t="n"/>
      <c r="F313" s="48" t="n"/>
      <c r="G313" s="48" t="n"/>
      <c r="H313" s="48" t="n"/>
      <c r="I313" s="48" t="n"/>
      <c r="J313" s="48" t="n"/>
      <c r="K313" s="55" t="inlineStr">
        <is>
          <t>Applied</t>
        </is>
      </c>
      <c r="L313" s="48" t="n"/>
      <c r="M313" s="48" t="n"/>
      <c r="N313" s="48" t="n"/>
      <c r="O313" s="48" t="n"/>
      <c r="P313" s="51" t="n"/>
      <c r="Q313" s="48" t="n"/>
      <c r="R313" s="48" t="n"/>
      <c r="S313" s="51" t="n"/>
      <c r="T313" s="52">
        <f>IF(G313="","",G313)</f>
        <v/>
      </c>
      <c r="U313" s="52">
        <f>IF(C313="","",IF(OR(ISNUMBER(SEARCH("Director",C313)),ISNUMBER(SEARCH("Lead",C313)),ISNUMBER(SEARCH("Senior",C313)),ISNUMBER(SEARCH("Sr.",C313))),90,IF(OR(ISNUMBER(SEARCH("Manager",C313)),ISNUMBER(SEARCH("Program",C313)),ISNUMBER(SEARCH("Portfolio",C313))),80,60)))</f>
        <v/>
      </c>
      <c r="V313" s="52">
        <f>IF(C313="","",IF(OR(ISNUMBER(SEARCH("AI",C313)),ISNUMBER(SEARCH("Data",C313)),ISNUMBER(SEARCH("Technology",C313)),ISNUMBER(SEARCH("Technical",C313)),ISNUMBER(SEARCH("Engineering",C313)),ISNUMBER(SEARCH("Platform",C313)),ISNUMBER(SEARCH("Portfolio",C313))),85,65))</f>
        <v/>
      </c>
      <c r="W313" s="52">
        <f>IF(C313="","",MIN(100,50+IF(S313&lt;&gt;"",25,0)+IF(R313&lt;&gt;"",15,0)+IF(P313&lt;&gt;"",10,0)))</f>
        <v/>
      </c>
      <c r="X313" s="52">
        <f>IF(E313="","",IF(OR(E313="Canada",E313="CA"),100,IF(OR(E313="United States",E313="USA",E313="US"),IF(J313="Yes",45,75),65)))</f>
        <v/>
      </c>
      <c r="Y313" s="52">
        <f>IF(C313="","",IF(OR(ISNUMBER(SEARCH("Program",C313)),ISNUMBER(SEARCH("Portfolio",C313)),ISNUMBER(SEARCH("Operations",C313)),ISNUMBER(SEARCH("Transformation",C313))),85,IF(ISNUMBER(SEARCH("Product Manager",C313)),55,70)))</f>
        <v/>
      </c>
      <c r="Z313" s="52">
        <f>IF(C313="","",MIN(100,IF(I313&lt;&gt;"",60,10)+IF(AA313&gt;0,MIN(40,AA313*20),0)))</f>
        <v/>
      </c>
      <c r="AA313" s="52">
        <f>IF(T313="","",ROUND(T313*25%+U313*15%+V313*10%+W313*15%+X313*15%+Y313*10%+Z313*10%,0))</f>
        <v/>
      </c>
      <c r="AB313" s="52">
        <f>IF(AA313="","",IF(X313&lt;50,"Selective / Barrier",IF(AA313&gt;=80,"Tier 1 - Pursue",IF(AA313&gt;=70,"Tier 2 - Pursue",IF(AA313&gt;=60,"Tier 3 - Selective","Do Not Pursue")))))</f>
        <v/>
      </c>
      <c r="AC313" s="52">
        <f>IF(C313="","",IF(I313&lt;&gt;"","Named Contact",IF(AA313&gt;0,"Outreach Logged","Cold")))</f>
        <v/>
      </c>
      <c r="AD313" s="52">
        <f>IF(B313="","",COUNTIF('Outreach Log'!$C:$C,B313))</f>
        <v/>
      </c>
      <c r="AE313" s="52">
        <f>IF(A313="","",IF(OR(K313="Rejected",K313="Closed"),IF(L313&lt;&gt;"",L313-A313,TODAY()-A313),TODAY()-A313))</f>
        <v/>
      </c>
      <c r="AF313" s="52">
        <f>IF(C313="","",IF(AND(AA313&gt;=70,AC313="Cold"),"High-fit but cold",IF(AND(AA313&lt;60,K313="Applied"),"Low-fit application",IF(AND(AA313&gt;=70,OR(AC313="Named Contact",AC313="Outreach Logged")),"Targeted pursuit","Review"))))</f>
        <v/>
      </c>
    </row>
    <row r="314" ht="15" customHeight="1" s="44">
      <c r="A314" s="53" t="n">
        <v>46256</v>
      </c>
      <c r="B314" s="48" t="inlineStr">
        <is>
          <t>Celonis</t>
        </is>
      </c>
      <c r="C314" s="48" t="inlineStr">
        <is>
          <t>(prior application - data retention notice)</t>
        </is>
      </c>
      <c r="D314" s="48" t="n"/>
      <c r="E314" s="48" t="n"/>
      <c r="F314" s="48" t="n"/>
      <c r="G314" s="48" t="n"/>
      <c r="H314" s="48" t="n"/>
      <c r="I314" s="48" t="n"/>
      <c r="J314" s="48" t="n"/>
      <c r="K314" s="56" t="inlineStr">
        <is>
          <t>Ghosted (30d+)</t>
        </is>
      </c>
      <c r="L314" s="48" t="n"/>
      <c r="M314" s="48" t="n"/>
      <c r="N314" s="48" t="n"/>
      <c r="O314" s="48" t="n"/>
      <c r="P314" s="51" t="inlineStr">
        <is>
          <t>Retention reminder only, no active status</t>
        </is>
      </c>
      <c r="Q314" s="48" t="n"/>
      <c r="R314" s="48" t="n"/>
      <c r="S314" s="51" t="n"/>
      <c r="T314" s="52">
        <f>IF(G314="","",G314)</f>
        <v/>
      </c>
      <c r="U314" s="52">
        <f>IF(C314="","",IF(OR(ISNUMBER(SEARCH("Director",C314)),ISNUMBER(SEARCH("Lead",C314)),ISNUMBER(SEARCH("Senior",C314)),ISNUMBER(SEARCH("Sr.",C314))),90,IF(OR(ISNUMBER(SEARCH("Manager",C314)),ISNUMBER(SEARCH("Program",C314)),ISNUMBER(SEARCH("Portfolio",C314))),80,60)))</f>
        <v/>
      </c>
      <c r="V314" s="52">
        <f>IF(C314="","",IF(OR(ISNUMBER(SEARCH("AI",C314)),ISNUMBER(SEARCH("Data",C314)),ISNUMBER(SEARCH("Technology",C314)),ISNUMBER(SEARCH("Technical",C314)),ISNUMBER(SEARCH("Engineering",C314)),ISNUMBER(SEARCH("Platform",C314)),ISNUMBER(SEARCH("Portfolio",C314))),85,65))</f>
        <v/>
      </c>
      <c r="W314" s="52">
        <f>IF(C314="","",MIN(100,50+IF(S314&lt;&gt;"",25,0)+IF(R314&lt;&gt;"",15,0)+IF(P314&lt;&gt;"",10,0)))</f>
        <v/>
      </c>
      <c r="X314" s="52">
        <f>IF(E314="","",IF(OR(E314="Canada",E314="CA"),100,IF(OR(E314="United States",E314="USA",E314="US"),IF(J314="Yes",45,75),65)))</f>
        <v/>
      </c>
      <c r="Y314" s="52">
        <f>IF(C314="","",IF(OR(ISNUMBER(SEARCH("Program",C314)),ISNUMBER(SEARCH("Portfolio",C314)),ISNUMBER(SEARCH("Operations",C314)),ISNUMBER(SEARCH("Transformation",C314))),85,IF(ISNUMBER(SEARCH("Product Manager",C314)),55,70)))</f>
        <v/>
      </c>
      <c r="Z314" s="52">
        <f>IF(C314="","",MIN(100,IF(I314&lt;&gt;"",60,10)+IF(AA314&gt;0,MIN(40,AA314*20),0)))</f>
        <v/>
      </c>
      <c r="AA314" s="52">
        <f>IF(T314="","",ROUND(T314*25%+U314*15%+V314*10%+W314*15%+X314*15%+Y314*10%+Z314*10%,0))</f>
        <v/>
      </c>
      <c r="AB314" s="52">
        <f>IF(AA314="","",IF(X314&lt;50,"Selective / Barrier",IF(AA314&gt;=80,"Tier 1 - Pursue",IF(AA314&gt;=70,"Tier 2 - Pursue",IF(AA314&gt;=60,"Tier 3 - Selective","Do Not Pursue")))))</f>
        <v/>
      </c>
      <c r="AC314" s="52">
        <f>IF(C314="","",IF(I314&lt;&gt;"","Named Contact",IF(AA314&gt;0,"Outreach Logged","Cold")))</f>
        <v/>
      </c>
      <c r="AD314" s="52">
        <f>IF(B314="","",COUNTIF('Outreach Log'!$C:$C,B314))</f>
        <v/>
      </c>
      <c r="AE314" s="52">
        <f>IF(A314="","",IF(OR(K314="Rejected",K314="Closed"),IF(L314&lt;&gt;"",L314-A314,TODAY()-A314),TODAY()-A314))</f>
        <v/>
      </c>
      <c r="AF314" s="52">
        <f>IF(C314="","",IF(AND(AA314&gt;=70,AC314="Cold"),"High-fit but cold",IF(AND(AA314&lt;60,K314="Applied"),"Low-fit application",IF(AND(AA314&gt;=70,OR(AC314="Named Contact",AC314="Outreach Logged")),"Targeted pursuit","Review"))))</f>
        <v/>
      </c>
    </row>
    <row r="315" ht="15" customHeight="1" s="44">
      <c r="A315" s="53" t="n">
        <v>46258</v>
      </c>
      <c r="B315" s="48" t="inlineStr">
        <is>
          <t>Xplore Inc.</t>
        </is>
      </c>
      <c r="C315" s="48" t="inlineStr">
        <is>
          <t>Director, Process Excellence and Enablement</t>
        </is>
      </c>
      <c r="D315" s="48" t="inlineStr">
        <is>
          <t>Director</t>
        </is>
      </c>
      <c r="E315" s="48" t="inlineStr">
        <is>
          <t>Canada</t>
        </is>
      </c>
      <c r="F315" s="48" t="inlineStr">
        <is>
          <t>Toronto</t>
        </is>
      </c>
      <c r="G315" s="48" t="n">
        <v>50</v>
      </c>
      <c r="H315" s="48" t="inlineStr">
        <is>
          <t>Cold Portal</t>
        </is>
      </c>
      <c r="I315" s="48" t="inlineStr">
        <is>
          <t>David Garcia (contact at company — referral not yet activated)</t>
        </is>
      </c>
      <c r="J315" s="48" t="inlineStr">
        <is>
          <t>No</t>
        </is>
      </c>
      <c r="K315" s="55" t="inlineStr">
        <is>
          <t>Applied</t>
        </is>
      </c>
      <c r="L315" s="48" t="n"/>
      <c r="M315" s="48">
        <f>IF(OR(L188="",A188=""),"",L188-A188)</f>
        <v/>
      </c>
      <c r="N315" s="48" t="inlineStr">
        <is>
          <t>Confirm sponsorship question, exact location, and referral activation with Elena</t>
        </is>
      </c>
      <c r="O315" s="48" t="n"/>
      <c r="P315" s="51" t="inlineStr">
        <is>
          <t>Confirmed via Xplore Inc. HR (ADP) application confirmation email, 2026-08-24 2:53pm ET. Role: Director, Process Excellence and Enablement — enterprise Process Excellence CoE leadership, cost-out/productivity transformation pipeline, customer &amp; employee-centered process optimization. FIT SCORE ~50%: strong match on cost-transformation and stakeholder-influence outcomes (Bell TCO ~20% projected cost reduction, Price &amp; Pay $60M savings case) and telecom industry background (Bell Canada). GAPS: no Lean Six Sigma certification (JD preferred qualification; Elena holds SAFe ASM/LPM and LeanIX instead), no demonstrated experience standing up a formal CoE, and no customer journey mapping / contact centre / field operations experience — role is customer-experience-process-specific vs. Elena's platform/technical program delivery background. Applied despite below-threshold fit score due to warm connection: David Garcia works at the company and may be able to refer or flag internally. Tailored resume built: Resume_ElenaShchetinina_ProcessExcellence.docx (reframed cost-out/governance language, did not overclaim Six Sigma or CoE-founding experience).</t>
        </is>
      </c>
      <c r="Q315" s="48" t="n"/>
      <c r="R315" s="48" t="n"/>
      <c r="S315" s="51" t="n"/>
      <c r="T315" s="52">
        <f>IF(G315="","",G315)</f>
        <v/>
      </c>
      <c r="U315" s="52">
        <f>IF(C315="","",IF(OR(ISNUMBER(SEARCH("Director",C315)),ISNUMBER(SEARCH("Lead",C315)),ISNUMBER(SEARCH("Senior",C315)),ISNUMBER(SEARCH("Sr.",C315))),90,IF(OR(ISNUMBER(SEARCH("Manager",C315)),ISNUMBER(SEARCH("Program",C315)),ISNUMBER(SEARCH("Portfolio",C315))),80,60)))</f>
        <v/>
      </c>
      <c r="V315" s="52">
        <f>IF(C315="","",IF(OR(ISNUMBER(SEARCH("AI",C315)),ISNUMBER(SEARCH("Data",C315)),ISNUMBER(SEARCH("Technology",C315)),ISNUMBER(SEARCH("Technical",C315)),ISNUMBER(SEARCH("Engineering",C315)),ISNUMBER(SEARCH("Platform",C315)),ISNUMBER(SEARCH("Portfolio",C315))),85,65))</f>
        <v/>
      </c>
      <c r="W315" s="52">
        <f>IF(C315="","",MIN(100,50+IF(S315&lt;&gt;"",25,0)+IF(R315&lt;&gt;"",15,0)+IF(P315&lt;&gt;"",10,0)))</f>
        <v/>
      </c>
      <c r="X315" s="52">
        <f>IF(E315="","",IF(OR(E315="Canada",E315="CA"),100,IF(OR(E315="United States",E315="USA",E315="US"),IF(J315="Yes",45,75),65)))</f>
        <v/>
      </c>
      <c r="Y315" s="52">
        <f>IF(C315="","",IF(OR(ISNUMBER(SEARCH("Program",C315)),ISNUMBER(SEARCH("Portfolio",C315)),ISNUMBER(SEARCH("Operations",C315)),ISNUMBER(SEARCH("Transformation",C315))),85,IF(ISNUMBER(SEARCH("Product Manager",C315)),55,70)))</f>
        <v/>
      </c>
      <c r="Z315" s="52">
        <f>IF(C315="","",MIN(100,IF(I315&lt;&gt;"",60,10)+IF(AA315&gt;0,MIN(40,AA315*20),0)))</f>
        <v/>
      </c>
      <c r="AA315" s="52">
        <f>IF(T315="","",ROUND(T315*25%+U315*15%+V315*10%+W315*15%+X315*15%+Y315*10%+Z315*10%,0))</f>
        <v/>
      </c>
      <c r="AB315" s="52">
        <f>IF(AA315="","",IF(X315&lt;50,"Selective / Barrier",IF(AA315&gt;=80,"Tier 1 - Pursue",IF(AA315&gt;=70,"Tier 2 - Pursue",IF(AA315&gt;=60,"Tier 3 - Selective","Do Not Pursue")))))</f>
        <v/>
      </c>
      <c r="AC315" s="52">
        <f>IF(C315="","",IF(I315&lt;&gt;"","Named Contact",IF(AA315&gt;0,"Outreach Logged","Cold")))</f>
        <v/>
      </c>
      <c r="AD315" s="52">
        <f>IF(B315="","",COUNTIF('Outreach Log'!$C:$C,B315))</f>
        <v/>
      </c>
      <c r="AE315" s="52">
        <f>IF(A315="","",IF(OR(K315="Rejected",K315="Closed"),IF(L315&lt;&gt;"",L315-A315,TODAY()-A315),TODAY()-A315))</f>
        <v/>
      </c>
      <c r="AF315" s="52">
        <f>IF(C315="","",IF(AND(AA315&gt;=70,AC315="Cold"),"High-fit but cold",IF(AND(AA315&lt;60,K315="Applied"),"Low-fit application",IF(AND(AA315&gt;=70,OR(AC315="Named Contact",AC315="Outreach Logged")),"Targeted pursuit","Review"))))</f>
        <v/>
      </c>
    </row>
    <row r="316" ht="15" customHeight="1" s="44">
      <c r="A316" s="53" t="n">
        <v>46258</v>
      </c>
      <c r="B316" s="48" t="inlineStr">
        <is>
          <t>Xplore Inc.</t>
        </is>
      </c>
      <c r="C316" s="48" t="inlineStr">
        <is>
          <t>Program Manager, Products &amp; Services (confirmation email titled "Senior Program Manager")</t>
        </is>
      </c>
      <c r="D316" s="48" t="inlineStr">
        <is>
          <t>Manager/Senior</t>
        </is>
      </c>
      <c r="E316" s="48" t="inlineStr">
        <is>
          <t>Canada</t>
        </is>
      </c>
      <c r="F316" s="48" t="inlineStr">
        <is>
          <t>Toronto</t>
        </is>
      </c>
      <c r="G316" s="48" t="n">
        <v>83</v>
      </c>
      <c r="H316" s="48" t="inlineStr">
        <is>
          <t>Cold Portal</t>
        </is>
      </c>
      <c r="I316" s="48" t="inlineStr">
        <is>
          <t>David Garcia (contact at company — referral not yet activated)</t>
        </is>
      </c>
      <c r="J316" s="48" t="inlineStr">
        <is>
          <t>No</t>
        </is>
      </c>
      <c r="K316" s="55" t="inlineStr">
        <is>
          <t>Applied</t>
        </is>
      </c>
      <c r="L316" s="48" t="n"/>
      <c r="M316" s="48">
        <f>IF(OR(L189="",A189=""),"",L189-A189)</f>
        <v/>
      </c>
      <c r="N316" s="48" t="inlineStr">
        <is>
          <t>Confirm sponsorship question and exact location with Elena; strongest candidate at Xplore to activate David Garcia referral for</t>
        </is>
      </c>
      <c r="O316" s="48" t="n"/>
      <c r="P316" s="51" t="inlineStr">
        <is>
          <t>Confirmed via Xplore Inc. HR (ADP) application confirmation email, 2026-08-24 3:16pm ET. Role: Program Manager, Products &amp; Services — reports to Director, Business Transformation; drives end-to-end execution across a portfolio of strategic initiatives across all Xplore platforms. FIT SCORE ~83%: strongest match of the three Xplore roles applied to. Direct evidence: Bell TCO (portfolio governance, ~1,400 apps, 60+ stakeholders, 20% projected cost reduction), Bell Customer Profile (5-team systems consolidation, 25% faster than planned), Bell Price &amp; Pay ($60M savings case, executive escalation point), Amazon (3 concurrent programs). Telecom industry experience via Bell Canada (22 months) directly addresses JD requirement, though JD specifies Fixed Wireless/Fibre/Satellite network technologies specifically — Elena's Bell exposure was enterprise Data &amp; AI/architecture side, not network operations side. Minor gap: PMP/PgMP listed as preferred (not required) — Elena holds SAFe ASM/LPM instead. Applied same day as Director, Process Excellence and Enablement (see prior row) and AI Developer role (reviewed only, not applied — fit ~25-35%, hands-on IC engineering role misaligned with Elena's program/portfolio leadership background). David Garcia works at Xplore and is the best candidate for referral activation on this specific role given the strong fit. Tailored resume built: Resume_ElenaShchetinina_ProgramManager_ProductsServices.docx.</t>
        </is>
      </c>
      <c r="Q316" s="48" t="n"/>
      <c r="R316" s="48" t="n"/>
      <c r="S316" s="51" t="n"/>
      <c r="T316" s="52">
        <f>IF(G316="","",G316)</f>
        <v/>
      </c>
      <c r="U316" s="52">
        <f>IF(C316="","",IF(OR(ISNUMBER(SEARCH("Director",C316)),ISNUMBER(SEARCH("Lead",C316)),ISNUMBER(SEARCH("Senior",C316)),ISNUMBER(SEARCH("Sr.",C316))),90,IF(OR(ISNUMBER(SEARCH("Manager",C316)),ISNUMBER(SEARCH("Program",C316)),ISNUMBER(SEARCH("Portfolio",C316))),80,60)))</f>
        <v/>
      </c>
      <c r="V316" s="52">
        <f>IF(C316="","",IF(OR(ISNUMBER(SEARCH("AI",C316)),ISNUMBER(SEARCH("Data",C316)),ISNUMBER(SEARCH("Technology",C316)),ISNUMBER(SEARCH("Technical",C316)),ISNUMBER(SEARCH("Engineering",C316)),ISNUMBER(SEARCH("Platform",C316)),ISNUMBER(SEARCH("Portfolio",C316))),85,65))</f>
        <v/>
      </c>
      <c r="W316" s="52">
        <f>IF(C316="","",MIN(100,50+IF(S316&lt;&gt;"",25,0)+IF(R316&lt;&gt;"",15,0)+IF(P316&lt;&gt;"",10,0)))</f>
        <v/>
      </c>
      <c r="X316" s="52">
        <f>IF(E316="","",IF(OR(E316="Canada",E316="CA"),100,IF(OR(E316="United States",E316="USA",E316="US"),IF(J316="Yes",45,75),65)))</f>
        <v/>
      </c>
      <c r="Y316" s="52">
        <f>IF(C316="","",IF(OR(ISNUMBER(SEARCH("Program",C316)),ISNUMBER(SEARCH("Portfolio",C316)),ISNUMBER(SEARCH("Operations",C316)),ISNUMBER(SEARCH("Transformation",C316))),85,IF(ISNUMBER(SEARCH("Product Manager",C316)),55,70)))</f>
        <v/>
      </c>
      <c r="Z316" s="52">
        <f>IF(C316="","",MIN(100,IF(I316&lt;&gt;"",60,10)+IF(AA316&gt;0,MIN(40,AA316*20),0)))</f>
        <v/>
      </c>
      <c r="AA316" s="52">
        <f>IF(T316="","",ROUND(T316*25%+U316*15%+V316*10%+W316*15%+X316*15%+Y316*10%+Z316*10%,0))</f>
        <v/>
      </c>
      <c r="AB316" s="52">
        <f>IF(AA316="","",IF(X316&lt;50,"Selective / Barrier",IF(AA316&gt;=80,"Tier 1 - Pursue",IF(AA316&gt;=70,"Tier 2 - Pursue",IF(AA316&gt;=60,"Tier 3 - Selective","Do Not Pursue")))))</f>
        <v/>
      </c>
      <c r="AC316" s="52">
        <f>IF(C316="","",IF(I316&lt;&gt;"","Named Contact",IF(AA316&gt;0,"Outreach Logged","Cold")))</f>
        <v/>
      </c>
      <c r="AD316" s="52">
        <f>IF(B316="","",COUNTIF('Outreach Log'!$C:$C,B316))</f>
        <v/>
      </c>
      <c r="AE316" s="52">
        <f>IF(A316="","",IF(OR(K316="Rejected",K316="Closed"),IF(L316&lt;&gt;"",L316-A316,TODAY()-A316),TODAY()-A316))</f>
        <v/>
      </c>
      <c r="AF316" s="52">
        <f>IF(C316="","",IF(AND(AA316&gt;=70,AC316="Cold"),"High-fit but cold",IF(AND(AA316&lt;60,K316="Applied"),"Low-fit application",IF(AND(AA316&gt;=70,OR(AC316="Named Contact",AC316="Outreach Logged")),"Targeted pursuit","Review"))))</f>
        <v/>
      </c>
    </row>
    <row r="317" ht="15" customHeight="1" s="44">
      <c r="A317" s="53" t="n">
        <v>46258</v>
      </c>
      <c r="B317" s="48" t="inlineStr">
        <is>
          <t>Veriforce</t>
        </is>
      </c>
      <c r="C317" s="48" t="inlineStr">
        <is>
          <t>Program Manager - Program Delivery and Governance</t>
        </is>
      </c>
      <c r="D317" s="48" t="inlineStr">
        <is>
          <t>Program Manager (Intermediate rung of Project Manager -&gt; Sr PM -&gt; Program Manager -&gt; Lead PM ladder)</t>
        </is>
      </c>
      <c r="E317" s="48" t="inlineStr">
        <is>
          <t>Canada</t>
        </is>
      </c>
      <c r="F317" s="48" t="inlineStr">
        <is>
          <t>Toronto</t>
        </is>
      </c>
      <c r="G317" s="48" t="n">
        <v>75</v>
      </c>
      <c r="H317" s="48" t="inlineStr">
        <is>
          <t>Cold Portal</t>
        </is>
      </c>
      <c r="I317" s="48" t="n"/>
      <c r="J317" s="48" t="inlineStr">
        <is>
          <t>No</t>
        </is>
      </c>
      <c r="K317" s="55" t="inlineStr">
        <is>
          <t>Applied</t>
        </is>
      </c>
      <c r="L317" s="48" t="n"/>
      <c r="M317" s="48">
        <f>IF(OR(L190="",A190=""),"",L190-A190)</f>
        <v/>
      </c>
      <c r="N317" s="48" t="inlineStr">
        <is>
          <t>Confirm sponsorship question with Elena; note: level/comp (CA$130-150K) is below her recent Director-level targeting despite strong skills match</t>
        </is>
      </c>
      <c r="O317" s="48" t="n"/>
      <c r="P317" s="51" t="inlineStr">
        <is>
          <t>Confirmed via Alcumus/Pinpoint recruitment system (alcumus@pinpoint.email) application confirmation email, 2026-08-24 3:20pm ET. Role: Program Manager - Program Delivery and Governance at Veriforce (a Product/Technology brand under Alcumus, UK-based risk management company). Fully remote, Canada. Compensation CA$130,000-150,000/year. Reports to Group Director, Enterprise Delivery &amp; Governance. Career-ladder role (Project Manager -&gt; Senior Project Manager -&gt; Program Manager -&gt; Lead Program Manager), tagged "Intermediate" on job boards. FIT SCORE ~75%: strong match on full program ownership end-to-end (Bell TCO, Customer Profile), complex cross-org stakeholder negotiation (Bell/Amazon pattern), delivery health reporting to leadership, and multi-program/multi-region delivery (Amazon 3 concurrent programs). GAP: level and compensation band sit below Elena's recent Director-level targeting despite the day-to-day work matching her skill set well; no telecom-specific relevance (Veriforce is supply-chain risk management SaaS, not telecom). Response expected within 10-15 business days per confirmation email (~early-to-mid September). No JD-tailored resume built yet.</t>
        </is>
      </c>
      <c r="Q317" s="48" t="n"/>
      <c r="R317" s="48" t="n"/>
      <c r="S317" s="51" t="n"/>
      <c r="T317" s="52">
        <f>IF(G317="","",G317)</f>
        <v/>
      </c>
      <c r="U317" s="52">
        <f>IF(C317="","",IF(OR(ISNUMBER(SEARCH("Director",C317)),ISNUMBER(SEARCH("Lead",C317)),ISNUMBER(SEARCH("Senior",C317)),ISNUMBER(SEARCH("Sr.",C317))),90,IF(OR(ISNUMBER(SEARCH("Manager",C317)),ISNUMBER(SEARCH("Program",C317)),ISNUMBER(SEARCH("Portfolio",C317))),80,60)))</f>
        <v/>
      </c>
      <c r="V317" s="52">
        <f>IF(C317="","",IF(OR(ISNUMBER(SEARCH("AI",C317)),ISNUMBER(SEARCH("Data",C317)),ISNUMBER(SEARCH("Technology",C317)),ISNUMBER(SEARCH("Technical",C317)),ISNUMBER(SEARCH("Engineering",C317)),ISNUMBER(SEARCH("Platform",C317)),ISNUMBER(SEARCH("Portfolio",C317))),85,65))</f>
        <v/>
      </c>
      <c r="W317" s="52">
        <f>IF(C317="","",MIN(100,50+IF(S317&lt;&gt;"",25,0)+IF(R317&lt;&gt;"",15,0)+IF(P317&lt;&gt;"",10,0)))</f>
        <v/>
      </c>
      <c r="X317" s="52">
        <f>IF(E317="","",IF(OR(E317="Canada",E317="CA"),100,IF(OR(E317="United States",E317="USA",E317="US"),IF(J317="Yes",45,75),65)))</f>
        <v/>
      </c>
      <c r="Y317" s="52">
        <f>IF(C317="","",IF(OR(ISNUMBER(SEARCH("Program",C317)),ISNUMBER(SEARCH("Portfolio",C317)),ISNUMBER(SEARCH("Operations",C317)),ISNUMBER(SEARCH("Transformation",C317))),85,IF(ISNUMBER(SEARCH("Product Manager",C317)),55,70)))</f>
        <v/>
      </c>
      <c r="Z317" s="52">
        <f>IF(C317="","",MIN(100,IF(I317&lt;&gt;"",60,10)+IF(AA317&gt;0,MIN(40,AA317*20),0)))</f>
        <v/>
      </c>
      <c r="AA317" s="52">
        <f>IF(T317="","",ROUND(T317*25%+U317*15%+V317*10%+W317*15%+X317*15%+Y317*10%+Z317*10%,0))</f>
        <v/>
      </c>
      <c r="AB317" s="52">
        <f>IF(AA317="","",IF(X317&lt;50,"Selective / Barrier",IF(AA317&gt;=80,"Tier 1 - Pursue",IF(AA317&gt;=70,"Tier 2 - Pursue",IF(AA317&gt;=60,"Tier 3 - Selective","Do Not Pursue")))))</f>
        <v/>
      </c>
      <c r="AC317" s="52">
        <f>IF(C317="","",IF(I317&lt;&gt;"","Named Contact",IF(AA317&gt;0,"Outreach Logged","Cold")))</f>
        <v/>
      </c>
      <c r="AD317" s="52">
        <f>IF(B317="","",COUNTIF('Outreach Log'!$C:$C,B317))</f>
        <v/>
      </c>
      <c r="AE317" s="52">
        <f>IF(A317="","",IF(OR(K317="Rejected",K317="Closed"),IF(L317&lt;&gt;"",L317-A317,TODAY()-A317),TODAY()-A317))</f>
        <v/>
      </c>
      <c r="AF317" s="52">
        <f>IF(C317="","",IF(AND(AA317&gt;=70,AC317="Cold"),"High-fit but cold",IF(AND(AA317&lt;60,K317="Applied"),"Low-fit application",IF(AND(AA317&gt;=70,OR(AC317="Named Contact",AC317="Outreach Logged")),"Targeted pursuit","Review"))))</f>
        <v/>
      </c>
    </row>
    <row r="318" ht="15" customHeight="1" s="44">
      <c r="A318" s="53" t="n">
        <v>46258</v>
      </c>
      <c r="B318" s="48" t="inlineStr">
        <is>
          <t>Google</t>
        </is>
      </c>
      <c r="C318" s="48" t="inlineStr">
        <is>
          <t>Program Manager, Search Content Platform (SCP)</t>
        </is>
      </c>
      <c r="D318" s="48" t="inlineStr">
        <is>
          <t>Senior/Staff</t>
        </is>
      </c>
      <c r="E318" s="48" t="inlineStr">
        <is>
          <t>US</t>
        </is>
      </c>
      <c r="F318" s="48" t="inlineStr">
        <is>
          <t>US (specific location unconfirmed)</t>
        </is>
      </c>
      <c r="G318" s="48" t="n">
        <v>58</v>
      </c>
      <c r="H318" s="48" t="inlineStr">
        <is>
          <t>Cold Portal</t>
        </is>
      </c>
      <c r="I318" s="48" t="n"/>
      <c r="J318" s="48" t="inlineStr">
        <is>
          <t>Yes</t>
        </is>
      </c>
      <c r="K318" s="55" t="inlineStr">
        <is>
          <t>Applied</t>
        </is>
      </c>
      <c r="L318" s="48" t="n"/>
      <c r="M318" s="48">
        <f>IF(OR(L191="",A191=""),"",L191-A191)</f>
        <v/>
      </c>
      <c r="N318" s="48" t="inlineStr">
        <is>
          <t>Confirm exact location, sponsorship details, and referral status with Elena</t>
        </is>
      </c>
      <c r="O318" s="48" t="n"/>
      <c r="P318" s="51" t="inlineStr">
        <is>
          <t>Confirmed via Google application confirmation email (noreply@google.com), 2026-08-24 11:54pm ET. Role: Program Manager, Search Content Platform (SCP) — drives strategic execution of programs powering AI Mode, AI Overviews, and Gemini content capabilities; multi-quarter roadmaps, OKR/milestone tracking, cross-org dependency management, executive communications. Compensation per posting: $240,000-$333,000 USD + 25% bonus target + equity + benefits. FIT SCORE ~55-60% (revised up from initial 40-45% after accounting for Amazon Senior Program Manager - Search &amp; Catalog Data Platforms experience, which is a genuine domain match: concurrent programs on distributed search retrieval/ranking/discovery platforms, ontology/content domain expansion across 500 product types). GAP: Amazon experience is comparable in scale/domain but not Google-Search-specific; likely to be probed on Search/AI Mode/Gemini-specific platform familiarity in interviews. Compensation band signals Senior/Staff-level Google PM leveling — worth confirming Elena's Amazon title level maps appropriately. Tailored resume built: Resume_ElenaShchetinina_GoogleSearchContentPlatform.docx (reordered to lead with Amazon search/catalog platform experience ahead of Bell; Core Capabilities rewritten around JD language — multi-quarter programs, OKRs, cross-org dependencies, content velocity). Separate, earlier Google application on file: Technical Program Manager, PDI - Sunnyvale (applied 2026-07-21, currently Interviewing/Hiring Assessment stage, fit ~30% due to hardware/data-center infrastructure domain mismatch).</t>
        </is>
      </c>
      <c r="Q318" s="48" t="n"/>
      <c r="R318" s="48" t="n"/>
      <c r="S318" s="51" t="n"/>
      <c r="T318" s="52">
        <f>IF(G318="","",G318)</f>
        <v/>
      </c>
      <c r="U318" s="52">
        <f>IF(C318="","",IF(OR(ISNUMBER(SEARCH("Director",C318)),ISNUMBER(SEARCH("Lead",C318)),ISNUMBER(SEARCH("Senior",C318)),ISNUMBER(SEARCH("Sr.",C318))),90,IF(OR(ISNUMBER(SEARCH("Manager",C318)),ISNUMBER(SEARCH("Program",C318)),ISNUMBER(SEARCH("Portfolio",C318))),80,60)))</f>
        <v/>
      </c>
      <c r="V318" s="52">
        <f>IF(C318="","",IF(OR(ISNUMBER(SEARCH("AI",C318)),ISNUMBER(SEARCH("Data",C318)),ISNUMBER(SEARCH("Technology",C318)),ISNUMBER(SEARCH("Technical",C318)),ISNUMBER(SEARCH("Engineering",C318)),ISNUMBER(SEARCH("Platform",C318)),ISNUMBER(SEARCH("Portfolio",C318))),85,65))</f>
        <v/>
      </c>
      <c r="W318" s="52">
        <f>IF(C318="","",MIN(100,50+IF(S318&lt;&gt;"",25,0)+IF(R318&lt;&gt;"",15,0)+IF(P318&lt;&gt;"",10,0)))</f>
        <v/>
      </c>
      <c r="X318" s="52">
        <f>IF(E318="","",IF(OR(E318="Canada",E318="CA"),100,IF(OR(E318="United States",E318="USA",E318="US"),IF(J318="Yes",45,75),65)))</f>
        <v/>
      </c>
      <c r="Y318" s="52">
        <f>IF(C318="","",IF(OR(ISNUMBER(SEARCH("Program",C318)),ISNUMBER(SEARCH("Portfolio",C318)),ISNUMBER(SEARCH("Operations",C318)),ISNUMBER(SEARCH("Transformation",C318))),85,IF(ISNUMBER(SEARCH("Product Manager",C318)),55,70)))</f>
        <v/>
      </c>
      <c r="Z318" s="52">
        <f>IF(C318="","",MIN(100,IF(I318&lt;&gt;"",60,10)+IF(AA318&gt;0,MIN(40,AA318*20),0)))</f>
        <v/>
      </c>
      <c r="AA318" s="52">
        <f>IF(T318="","",ROUND(T318*25%+U318*15%+V318*10%+W318*15%+X318*15%+Y318*10%+Z318*10%,0))</f>
        <v/>
      </c>
      <c r="AB318" s="52">
        <f>IF(AA318="","",IF(X318&lt;50,"Selective / Barrier",IF(AA318&gt;=80,"Tier 1 - Pursue",IF(AA318&gt;=70,"Tier 2 - Pursue",IF(AA318&gt;=60,"Tier 3 - Selective","Do Not Pursue")))))</f>
        <v/>
      </c>
      <c r="AC318" s="52">
        <f>IF(C318="","",IF(I318&lt;&gt;"","Named Contact",IF(AA318&gt;0,"Outreach Logged","Cold")))</f>
        <v/>
      </c>
      <c r="AD318" s="52">
        <f>IF(B318="","",COUNTIF('Outreach Log'!$C:$C,B318))</f>
        <v/>
      </c>
      <c r="AE318" s="52">
        <f>IF(A318="","",IF(OR(K318="Rejected",K318="Closed"),IF(L318&lt;&gt;"",L318-A318,TODAY()-A318),TODAY()-A318))</f>
        <v/>
      </c>
      <c r="AF318" s="52">
        <f>IF(C318="","",IF(AND(AA318&gt;=70,AC318="Cold"),"High-fit but cold",IF(AND(AA318&lt;60,K318="Applied"),"Low-fit application",IF(AND(AA318&gt;=70,OR(AC318="Named Contact",AC318="Outreach Logged")),"Targeted pursuit","Review"))))</f>
        <v/>
      </c>
    </row>
    <row r="319" ht="15" customHeight="1" s="44">
      <c r="A319" s="53" t="n">
        <v>46258</v>
      </c>
      <c r="B319" s="48" t="inlineStr">
        <is>
          <t>Alcumus</t>
        </is>
      </c>
      <c r="C319" s="48" t="inlineStr">
        <is>
          <t>Program Manager - Program Delivery and Governance</t>
        </is>
      </c>
      <c r="D319" s="48" t="n"/>
      <c r="E319" s="48" t="n"/>
      <c r="F319" s="48" t="n"/>
      <c r="G319" s="48" t="n"/>
      <c r="H319" s="48" t="n"/>
      <c r="I319" s="48" t="n"/>
      <c r="J319" s="48" t="n"/>
      <c r="K319" s="55" t="inlineStr">
        <is>
          <t>Applied</t>
        </is>
      </c>
      <c r="L319" s="48" t="n"/>
      <c r="M319" s="48" t="n"/>
      <c r="N319" s="48" t="n"/>
      <c r="O319" s="48" t="n"/>
      <c r="P319" s="51" t="inlineStr">
        <is>
          <t>'Still considering' follow-up received</t>
        </is>
      </c>
      <c r="Q319" s="48" t="n"/>
      <c r="R319" s="48" t="n"/>
      <c r="S319" s="51" t="n"/>
      <c r="T319" s="52">
        <f>IF(G319="","",G319)</f>
        <v/>
      </c>
      <c r="U319" s="52">
        <f>IF(C319="","",IF(OR(ISNUMBER(SEARCH("Director",C319)),ISNUMBER(SEARCH("Lead",C319)),ISNUMBER(SEARCH("Senior",C319)),ISNUMBER(SEARCH("Sr.",C319))),90,IF(OR(ISNUMBER(SEARCH("Manager",C319)),ISNUMBER(SEARCH("Program",C319)),ISNUMBER(SEARCH("Portfolio",C319))),80,60)))</f>
        <v/>
      </c>
      <c r="V319" s="52">
        <f>IF(C319="","",IF(OR(ISNUMBER(SEARCH("AI",C319)),ISNUMBER(SEARCH("Data",C319)),ISNUMBER(SEARCH("Technology",C319)),ISNUMBER(SEARCH("Technical",C319)),ISNUMBER(SEARCH("Engineering",C319)),ISNUMBER(SEARCH("Platform",C319)),ISNUMBER(SEARCH("Portfolio",C319))),85,65))</f>
        <v/>
      </c>
      <c r="W319" s="52">
        <f>IF(C319="","",MIN(100,50+IF(S319&lt;&gt;"",25,0)+IF(R319&lt;&gt;"",15,0)+IF(P319&lt;&gt;"",10,0)))</f>
        <v/>
      </c>
      <c r="X319" s="52">
        <f>IF(E319="","",IF(OR(E319="Canada",E319="CA"),100,IF(OR(E319="United States",E319="USA",E319="US"),IF(J319="Yes",45,75),65)))</f>
        <v/>
      </c>
      <c r="Y319" s="52">
        <f>IF(C319="","",IF(OR(ISNUMBER(SEARCH("Program",C319)),ISNUMBER(SEARCH("Portfolio",C319)),ISNUMBER(SEARCH("Operations",C319)),ISNUMBER(SEARCH("Transformation",C319))),85,IF(ISNUMBER(SEARCH("Product Manager",C319)),55,70)))</f>
        <v/>
      </c>
      <c r="Z319" s="52">
        <f>IF(C319="","",MIN(100,IF(I319&lt;&gt;"",60,10)+IF(AA319&gt;0,MIN(40,AA319*20),0)))</f>
        <v/>
      </c>
      <c r="AA319" s="52">
        <f>IF(T319="","",ROUND(T319*25%+U319*15%+V319*10%+W319*15%+X319*15%+Y319*10%+Z319*10%,0))</f>
        <v/>
      </c>
      <c r="AB319" s="52">
        <f>IF(AA319="","",IF(X319&lt;50,"Selective / Barrier",IF(AA319&gt;=80,"Tier 1 - Pursue",IF(AA319&gt;=70,"Tier 2 - Pursue",IF(AA319&gt;=60,"Tier 3 - Selective","Do Not Pursue")))))</f>
        <v/>
      </c>
      <c r="AC319" s="52">
        <f>IF(C319="","",IF(I319&lt;&gt;"","Named Contact",IF(AA319&gt;0,"Outreach Logged","Cold")))</f>
        <v/>
      </c>
      <c r="AD319" s="52">
        <f>IF(B319="","",COUNTIF('Outreach Log'!$C:$C,B319))</f>
        <v/>
      </c>
      <c r="AE319" s="52">
        <f>IF(A319="","",IF(OR(K319="Rejected",K319="Closed"),IF(L319&lt;&gt;"",L319-A319,TODAY()-A319),TODAY()-A319))</f>
        <v/>
      </c>
      <c r="AF319" s="52">
        <f>IF(C319="","",IF(AND(AA319&gt;=70,AC319="Cold"),"High-fit but cold",IF(AND(AA319&lt;60,K319="Applied"),"Low-fit application",IF(AND(AA319&gt;=70,OR(AC319="Named Contact",AC319="Outreach Logged")),"Targeted pursuit","Review"))))</f>
        <v/>
      </c>
    </row>
    <row r="320" ht="15" customHeight="1" s="44">
      <c r="A320" s="53" t="n">
        <v>46258</v>
      </c>
      <c r="B320" s="48" t="inlineStr">
        <is>
          <t>Xplore Inc</t>
        </is>
      </c>
      <c r="C320" s="48" t="inlineStr">
        <is>
          <t>Senior Program Manager</t>
        </is>
      </c>
      <c r="D320" s="48" t="n"/>
      <c r="E320" s="48" t="n"/>
      <c r="F320" s="48" t="n"/>
      <c r="G320" s="48" t="n"/>
      <c r="H320" s="48" t="n"/>
      <c r="I320" s="48" t="n"/>
      <c r="J320" s="48" t="n"/>
      <c r="K320" s="55" t="inlineStr">
        <is>
          <t>Applied</t>
        </is>
      </c>
      <c r="L320" s="48" t="n"/>
      <c r="M320" s="48" t="n"/>
      <c r="N320" s="48" t="n"/>
      <c r="O320" s="48" t="n"/>
      <c r="P320" s="51" t="n"/>
      <c r="Q320" s="48" t="n"/>
      <c r="R320" s="48" t="n"/>
      <c r="S320" s="51" t="n"/>
      <c r="T320" s="52">
        <f>IF(G320="","",G320)</f>
        <v/>
      </c>
      <c r="U320" s="52">
        <f>IF(C320="","",IF(OR(ISNUMBER(SEARCH("Director",C320)),ISNUMBER(SEARCH("Lead",C320)),ISNUMBER(SEARCH("Senior",C320)),ISNUMBER(SEARCH("Sr.",C320))),90,IF(OR(ISNUMBER(SEARCH("Manager",C320)),ISNUMBER(SEARCH("Program",C320)),ISNUMBER(SEARCH("Portfolio",C320))),80,60)))</f>
        <v/>
      </c>
      <c r="V320" s="52">
        <f>IF(C320="","",IF(OR(ISNUMBER(SEARCH("AI",C320)),ISNUMBER(SEARCH("Data",C320)),ISNUMBER(SEARCH("Technology",C320)),ISNUMBER(SEARCH("Technical",C320)),ISNUMBER(SEARCH("Engineering",C320)),ISNUMBER(SEARCH("Platform",C320)),ISNUMBER(SEARCH("Portfolio",C320))),85,65))</f>
        <v/>
      </c>
      <c r="W320" s="52">
        <f>IF(C320="","",MIN(100,50+IF(S320&lt;&gt;"",25,0)+IF(R320&lt;&gt;"",15,0)+IF(P320&lt;&gt;"",10,0)))</f>
        <v/>
      </c>
      <c r="X320" s="52">
        <f>IF(E320="","",IF(OR(E320="Canada",E320="CA"),100,IF(OR(E320="United States",E320="USA",E320="US"),IF(J320="Yes",45,75),65)))</f>
        <v/>
      </c>
      <c r="Y320" s="52">
        <f>IF(C320="","",IF(OR(ISNUMBER(SEARCH("Program",C320)),ISNUMBER(SEARCH("Portfolio",C320)),ISNUMBER(SEARCH("Operations",C320)),ISNUMBER(SEARCH("Transformation",C320))),85,IF(ISNUMBER(SEARCH("Product Manager",C320)),55,70)))</f>
        <v/>
      </c>
      <c r="Z320" s="52">
        <f>IF(C320="","",MIN(100,IF(I320&lt;&gt;"",60,10)+IF(AA320&gt;0,MIN(40,AA320*20),0)))</f>
        <v/>
      </c>
      <c r="AA320" s="52">
        <f>IF(T320="","",ROUND(T320*25%+U320*15%+V320*10%+W320*15%+X320*15%+Y320*10%+Z320*10%,0))</f>
        <v/>
      </c>
      <c r="AB320" s="52">
        <f>IF(AA320="","",IF(X320&lt;50,"Selective / Barrier",IF(AA320&gt;=80,"Tier 1 - Pursue",IF(AA320&gt;=70,"Tier 2 - Pursue",IF(AA320&gt;=60,"Tier 3 - Selective","Do Not Pursue")))))</f>
        <v/>
      </c>
      <c r="AC320" s="52">
        <f>IF(C320="","",IF(I320&lt;&gt;"","Named Contact",IF(AA320&gt;0,"Outreach Logged","Cold")))</f>
        <v/>
      </c>
      <c r="AD320" s="52">
        <f>IF(B320="","",COUNTIF('Outreach Log'!$C:$C,B320))</f>
        <v/>
      </c>
      <c r="AE320" s="52">
        <f>IF(A320="","",IF(OR(K320="Rejected",K320="Closed"),IF(L320&lt;&gt;"",L320-A320,TODAY()-A320),TODAY()-A320))</f>
        <v/>
      </c>
      <c r="AF320" s="52">
        <f>IF(C320="","",IF(AND(AA320&gt;=70,AC320="Cold"),"High-fit but cold",IF(AND(AA320&lt;60,K320="Applied"),"Low-fit application",IF(AND(AA320&gt;=70,OR(AC320="Named Contact",AC320="Outreach Logged")),"Targeted pursuit","Review"))))</f>
        <v/>
      </c>
    </row>
    <row r="321" ht="15" customHeight="1" s="44">
      <c r="A321" s="53" t="n">
        <v>46259</v>
      </c>
      <c r="B321" s="48" t="inlineStr">
        <is>
          <t>Google</t>
        </is>
      </c>
      <c r="C321" s="48" t="inlineStr">
        <is>
          <t>Product and Business Strategy Leader, Core (BizOps)</t>
        </is>
      </c>
      <c r="D321" s="48" t="inlineStr">
        <is>
          <t>Senior/Staff</t>
        </is>
      </c>
      <c r="E321" s="48" t="inlineStr">
        <is>
          <t>US</t>
        </is>
      </c>
      <c r="F321" s="48" t="inlineStr">
        <is>
          <t>US (specific location unconfirmed)</t>
        </is>
      </c>
      <c r="G321" s="48" t="n">
        <v>55</v>
      </c>
      <c r="H321" s="48" t="inlineStr">
        <is>
          <t>Cold Portal</t>
        </is>
      </c>
      <c r="I321" s="48" t="n"/>
      <c r="J321" s="48" t="inlineStr">
        <is>
          <t>Yes</t>
        </is>
      </c>
      <c r="K321" s="55" t="inlineStr">
        <is>
          <t>Applied</t>
        </is>
      </c>
      <c r="L321" s="48" t="n"/>
      <c r="M321" s="48">
        <f>IF(OR(L192="",A192=""),"",L192-A192)</f>
        <v/>
      </c>
      <c r="N321" s="48" t="inlineStr">
        <is>
          <t>Confirm exact location and sponsorship details with Elena</t>
        </is>
      </c>
      <c r="O321" s="48" t="n"/>
      <c r="P321" s="51" t="inlineStr">
        <is>
          <t>Confirmed via Google application confirmation email (noreply@google.com), 2026-08-25 1:32am ET. Role: Product and Business Strategy Leader, Core team (BizOps) — internal consulting group on company-wide priorities (AI-native enterprise transformation, AI product/monetization strategy); Core team specifically owns technical foundation/infrastructure (developer platforms, product components, infrastructure). Requires 11 years in management consulting, product management and strategy, OR analytics in a technology company. FIT SCORE ~55% (revised up from initial 45-50% after confirming Elena has SQL and Excel/spreadsheet analysis experience, directly addressing the preferred qualification for analytics tooling). Strong matches: 20+ years experience clears the 11-year bar; managing multiple concurrent cross-functional programs (Bell, Amazon, IBM); leading teams on cross-company initiatives aligned with executive leadership (Bell TCO, Price &amp; Pay); technical foundation relevant to the Core teams infrastructure focus. Persistent gap: qualifying background is consulting/product/strategy/analytics-functional — Elena's 20 years have been program/portfolio delivery management, a related but distinct discipline; no product management or corporate strategy titles on resume. Related to but distinct from the earlier BizOps role (5-year requirement) reviewed same day, fit ~40-45%, resume: Resume_ElenaShchetinina_GoogleBizOps.docx (not confirmed submitted). Tailored resume for this role: Resume_ElenaShchetinina_GoogleBizOpsCore.docx (added SQL/Excel analytics emphasis, reframed around "data-driven analysis," "cross-functional programs," "executive alignment" language from this JD).</t>
        </is>
      </c>
      <c r="Q321" s="48" t="n"/>
      <c r="R321" s="48" t="n"/>
      <c r="S321" s="51" t="n"/>
      <c r="T321" s="52">
        <f>IF(G321="","",G321)</f>
        <v/>
      </c>
      <c r="U321" s="52">
        <f>IF(C321="","",IF(OR(ISNUMBER(SEARCH("Director",C321)),ISNUMBER(SEARCH("Lead",C321)),ISNUMBER(SEARCH("Senior",C321)),ISNUMBER(SEARCH("Sr.",C321))),90,IF(OR(ISNUMBER(SEARCH("Manager",C321)),ISNUMBER(SEARCH("Program",C321)),ISNUMBER(SEARCH("Portfolio",C321))),80,60)))</f>
        <v/>
      </c>
      <c r="V321" s="52">
        <f>IF(C321="","",IF(OR(ISNUMBER(SEARCH("AI",C321)),ISNUMBER(SEARCH("Data",C321)),ISNUMBER(SEARCH("Technology",C321)),ISNUMBER(SEARCH("Technical",C321)),ISNUMBER(SEARCH("Engineering",C321)),ISNUMBER(SEARCH("Platform",C321)),ISNUMBER(SEARCH("Portfolio",C321))),85,65))</f>
        <v/>
      </c>
      <c r="W321" s="52">
        <f>IF(C321="","",MIN(100,50+IF(S321&lt;&gt;"",25,0)+IF(R321&lt;&gt;"",15,0)+IF(P321&lt;&gt;"",10,0)))</f>
        <v/>
      </c>
      <c r="X321" s="52">
        <f>IF(E321="","",IF(OR(E321="Canada",E321="CA"),100,IF(OR(E321="United States",E321="USA",E321="US"),IF(J321="Yes",45,75),65)))</f>
        <v/>
      </c>
      <c r="Y321" s="52">
        <f>IF(C321="","",IF(OR(ISNUMBER(SEARCH("Program",C321)),ISNUMBER(SEARCH("Portfolio",C321)),ISNUMBER(SEARCH("Operations",C321)),ISNUMBER(SEARCH("Transformation",C321))),85,IF(ISNUMBER(SEARCH("Product Manager",C321)),55,70)))</f>
        <v/>
      </c>
      <c r="Z321" s="52">
        <f>IF(C321="","",MIN(100,IF(I321&lt;&gt;"",60,10)+IF(AA321&gt;0,MIN(40,AA321*20),0)))</f>
        <v/>
      </c>
      <c r="AA321" s="52">
        <f>IF(T321="","",ROUND(T321*25%+U321*15%+V321*10%+W321*15%+X321*15%+Y321*10%+Z321*10%,0))</f>
        <v/>
      </c>
      <c r="AB321" s="52">
        <f>IF(AA321="","",IF(X321&lt;50,"Selective / Barrier",IF(AA321&gt;=80,"Tier 1 - Pursue",IF(AA321&gt;=70,"Tier 2 - Pursue",IF(AA321&gt;=60,"Tier 3 - Selective","Do Not Pursue")))))</f>
        <v/>
      </c>
      <c r="AC321" s="52">
        <f>IF(C321="","",IF(I321&lt;&gt;"","Named Contact",IF(AA321&gt;0,"Outreach Logged","Cold")))</f>
        <v/>
      </c>
      <c r="AD321" s="52">
        <f>IF(B321="","",COUNTIF('Outreach Log'!$C:$C,B321))</f>
        <v/>
      </c>
      <c r="AE321" s="52">
        <f>IF(A321="","",IF(OR(K321="Rejected",K321="Closed"),IF(L321&lt;&gt;"",L321-A321,TODAY()-A321),TODAY()-A321))</f>
        <v/>
      </c>
      <c r="AF321" s="52">
        <f>IF(C321="","",IF(AND(AA321&gt;=70,AC321="Cold"),"High-fit but cold",IF(AND(AA321&lt;60,K321="Applied"),"Low-fit application",IF(AND(AA321&gt;=70,OR(AC321="Named Contact",AC321="Outreach Logged")),"Targeted pursuit","Review"))))</f>
        <v/>
      </c>
    </row>
    <row r="322" ht="15" customHeight="1" s="44">
      <c r="A322" s="53" t="n">
        <v>46259</v>
      </c>
      <c r="B322" s="48" t="inlineStr">
        <is>
          <t>Sun Life</t>
        </is>
      </c>
      <c r="C322" s="48" t="inlineStr">
        <is>
          <t>Product Manager, Health Platform (JR00126838)</t>
        </is>
      </c>
      <c r="D322" s="48" t="inlineStr">
        <is>
          <t>Manager/Senior</t>
        </is>
      </c>
      <c r="E322" s="48" t="inlineStr">
        <is>
          <t>Canada</t>
        </is>
      </c>
      <c r="F322" s="48" t="inlineStr">
        <is>
          <t>Toronto</t>
        </is>
      </c>
      <c r="G322" s="48" t="n">
        <v>65</v>
      </c>
      <c r="H322" s="48" t="inlineStr">
        <is>
          <t>Cold Portal</t>
        </is>
      </c>
      <c r="I322" s="48" t="n"/>
      <c r="J322" s="48" t="inlineStr">
        <is>
          <t>No</t>
        </is>
      </c>
      <c r="K322" s="55" t="inlineStr">
        <is>
          <t>Applied</t>
        </is>
      </c>
      <c r="L322" s="48" t="n"/>
      <c r="M322" s="48">
        <f>IF(OR(L193="",A193=""),"",L193-A193)</f>
        <v/>
      </c>
      <c r="N322" s="48" t="inlineStr">
        <is>
          <t>If interview offered, be ready to lead with Watson Health / DHSS health-benefits-eligibility experience — likely underrepresented in the submitted resume</t>
        </is>
      </c>
      <c r="O322" s="48" t="n"/>
      <c r="P322" s="51" t="inlineStr">
        <is>
          <t>Confirmed via Sun Life/Workday application confirmation email (sunlife@myworkday.com), 2026-08-25 7:30pm ET. Role: Product Manager, Health Platform, Job ID JR00126838. Full JD obtained from Elena 2026-08-25. Role owns product roadmap for health product eligibility, access, and information exchange capabilities; leads platform/API solution definition partnering with product, business, technology, operations, and external health partners; part of Sun Life Health team. FIT SCORE ~51%: strong match on Technical &amp; Platform Acumen (APIs, system integrations, cross-platform architectures) via Bell Customer Profile work (Salesforce/ServiceNow/third-platform integration) and original software development background (APIs, distributed systems); Cross-Functional Delivery with engineering teams (Bell, Amazon, IBM); Stakeholder Management &amp; Influence (Price &amp; Pay, TCO business cases); Strategic Problem Solving (TCO 3-option evaluation, 20% cost-reduction case). Most literal match: IBM Product Owner role (Nov 2019-Jul 2021) owning a contract/vendor management pipeline application end-to-end with systems integration across distributed platforms. GAPS: product management is one ~20-month role versus 20 years of program/portfolio management — JD wants a career product manager with repeated roadmap ownership; no health, benefits, insurance, or regulated-industry domain experience (listed as preferred, not required); no evidence of eligibility-rules/customer-journey requirements analysis specifically. No tailored resume built yet. UPDATE 2026-08-25: Elena confirmed she worked on IBM Watson Health implementations with a Department of Health and Social Services client, specifically on health benefits applications (within the IBM GBS Senior Consultant engagement covering U.S. federal/state health-agency clients). This closes the main domain gap flagged in the original assessment (health/benefits/eligibility experience) and maps closely to the JD's core scope (health product eligibility, access, and information exchange capabilities). REVISED FIT SCORE: 65% (up from 51%). IMPORTANT: resume was already submitted before this detail was shared, so the submitted version likely only reflects the general 'U.S. federal/state health-agency clients' line, not the specific Watson Health/DHSS/health-benefits framing. Recommend Elena lead with this story explicitly if she reaches an interview stage, since it is probably underrepresented in the written application.</t>
        </is>
      </c>
      <c r="Q322" s="48" t="n"/>
      <c r="R322" s="48" t="n"/>
      <c r="S322" s="51" t="n"/>
      <c r="T322" s="52">
        <f>IF(G322="","",G322)</f>
        <v/>
      </c>
      <c r="U322" s="52">
        <f>IF(C322="","",IF(OR(ISNUMBER(SEARCH("Director",C322)),ISNUMBER(SEARCH("Lead",C322)),ISNUMBER(SEARCH("Senior",C322)),ISNUMBER(SEARCH("Sr.",C322))),90,IF(OR(ISNUMBER(SEARCH("Manager",C322)),ISNUMBER(SEARCH("Program",C322)),ISNUMBER(SEARCH("Portfolio",C322))),80,60)))</f>
        <v/>
      </c>
      <c r="V322" s="52">
        <f>IF(C322="","",IF(OR(ISNUMBER(SEARCH("AI",C322)),ISNUMBER(SEARCH("Data",C322)),ISNUMBER(SEARCH("Technology",C322)),ISNUMBER(SEARCH("Technical",C322)),ISNUMBER(SEARCH("Engineering",C322)),ISNUMBER(SEARCH("Platform",C322)),ISNUMBER(SEARCH("Portfolio",C322))),85,65))</f>
        <v/>
      </c>
      <c r="W322" s="52">
        <f>IF(C322="","",MIN(100,50+IF(S322&lt;&gt;"",25,0)+IF(R322&lt;&gt;"",15,0)+IF(P322&lt;&gt;"",10,0)))</f>
        <v/>
      </c>
      <c r="X322" s="52">
        <f>IF(E322="","",IF(OR(E322="Canada",E322="CA"),100,IF(OR(E322="United States",E322="USA",E322="US"),IF(J322="Yes",45,75),65)))</f>
        <v/>
      </c>
      <c r="Y322" s="52">
        <f>IF(C322="","",IF(OR(ISNUMBER(SEARCH("Program",C322)),ISNUMBER(SEARCH("Portfolio",C322)),ISNUMBER(SEARCH("Operations",C322)),ISNUMBER(SEARCH("Transformation",C322))),85,IF(ISNUMBER(SEARCH("Product Manager",C322)),55,70)))</f>
        <v/>
      </c>
      <c r="Z322" s="52">
        <f>IF(C322="","",MIN(100,IF(I322&lt;&gt;"",60,10)+IF(AA322&gt;0,MIN(40,AA322*20),0)))</f>
        <v/>
      </c>
      <c r="AA322" s="52">
        <f>IF(T322="","",ROUND(T322*25%+U322*15%+V322*10%+W322*15%+X322*15%+Y322*10%+Z322*10%,0))</f>
        <v/>
      </c>
      <c r="AB322" s="52">
        <f>IF(AA322="","",IF(X322&lt;50,"Selective / Barrier",IF(AA322&gt;=80,"Tier 1 - Pursue",IF(AA322&gt;=70,"Tier 2 - Pursue",IF(AA322&gt;=60,"Tier 3 - Selective","Do Not Pursue")))))</f>
        <v/>
      </c>
      <c r="AC322" s="52">
        <f>IF(C322="","",IF(I322&lt;&gt;"","Named Contact",IF(AA322&gt;0,"Outreach Logged","Cold")))</f>
        <v/>
      </c>
      <c r="AD322" s="52">
        <f>IF(B322="","",COUNTIF('Outreach Log'!$C:$C,B322))</f>
        <v/>
      </c>
      <c r="AE322" s="52">
        <f>IF(A322="","",IF(OR(K322="Rejected",K322="Closed"),IF(L322&lt;&gt;"",L322-A322,TODAY()-A322),TODAY()-A322))</f>
        <v/>
      </c>
      <c r="AF322" s="52">
        <f>IF(C322="","",IF(AND(AA322&gt;=70,AC322="Cold"),"High-fit but cold",IF(AND(AA322&lt;60,K322="Applied"),"Low-fit application",IF(AND(AA322&gt;=70,OR(AC322="Named Contact",AC322="Outreach Logged")),"Targeted pursuit","Review"))))</f>
        <v/>
      </c>
    </row>
    <row r="323" ht="15" customHeight="1" s="44">
      <c r="A323" s="53" t="n">
        <v>46259</v>
      </c>
      <c r="B323" s="48" t="inlineStr">
        <is>
          <t>eBay</t>
        </is>
      </c>
      <c r="C323" s="48" t="inlineStr">
        <is>
          <t>Lead Product Program Manager, Buyer Experience</t>
        </is>
      </c>
      <c r="D323" s="48" t="inlineStr">
        <is>
          <t>Lead/Senior</t>
        </is>
      </c>
      <c r="E323" s="48" t="inlineStr">
        <is>
          <t>Canada</t>
        </is>
      </c>
      <c r="F323" s="48" t="inlineStr">
        <is>
          <t>Toronto</t>
        </is>
      </c>
      <c r="G323" s="48" t="n">
        <v>72</v>
      </c>
      <c r="H323" s="48" t="inlineStr">
        <is>
          <t>Recruiter Outreach (Inbound)</t>
        </is>
      </c>
      <c r="I323" s="48" t="inlineStr">
        <is>
          <t>Carlie (internal eBay recruiter) — inbound outreach</t>
        </is>
      </c>
      <c r="J323" s="48" t="inlineStr">
        <is>
          <t>No</t>
        </is>
      </c>
      <c r="K323" s="57" t="inlineStr">
        <is>
          <t>Interviewing</t>
        </is>
      </c>
      <c r="L323" s="50" t="n">
        <v>46259</v>
      </c>
      <c r="M323" s="48">
        <f>IF(OR(L194="",A194=""),"",L194-A194)</f>
        <v/>
      </c>
      <c r="N323" s="48" t="inlineStr">
        <is>
          <t>Awaiting outcome from hiring manager interview</t>
        </is>
      </c>
      <c r="O323" s="48" t="n"/>
      <c r="P323" s="51" t="inlineStr">
        <is>
          <t>Inbound recruiter outreach from Carlie, internal eBay recruiter, 2026-08-25. Role: Lead Product Program Manager, Buyer Experience product team, Toronto. Hybrid (3 days/week in office). Seeking a senior program manager who has led large-scale marketplace programs, partnering closely with PdMs, TPMs, and engineers — work spans buyer discovery, seller reach, shipping, platform integration, and global operations. Compensation: base $160-170K CAD, 20% annual bonus target, $74,000 USD RSUs (1-year cliff, 4-year vest). PRELIMINARY FIT SCORE ~72%: strong alignment with Amazon Senior Program Manager - Search &amp; Catalog Data Platforms experience (large-scale marketplace/catalog/discovery platform programs, partnering with Product, Engineering, and Data Science) and general cross-functional program leadership pattern (Bell, IBM). This is one of the strongest domain matches reviewed to date given direct marketplace-platform experience. Full JD not yet reviewed in detail (only recruiter outreach message available) — recommend requesting full JD once available to confirm/refine score. Interview stage initiated via recruiter outreach; no resume submission needed yet unless requested by recruiter. | UPDATE 2026-09-06 (recruiter Carlie, follow-up email): recruiter screen complete, profile shared with hiring manager Mohan Jayapal, who is reviewing. Next step confirmed: 45-minute Zoom interview with Mohan Jayapal (hiring manager, Toronto). Coordinator Rachel Johnson (rachjohnson@ebay.com) will schedule once Mohan confirms and send formal invite by end of week. ACTION NEEDED: submit 5-7 availability time slots (starting 1-2 business days out) + time zone via recruiter's Google Form. HM INTERVIEW PREP FOCUS: most complex cross-functional programs led (close to Product/Engineering, multi-team alignment); how structure is created amid ambiguity; dependency/risk management; how tradeoff decisions are driven; senior-stakeholder communication. Prep 2-3 strong examples covering: what the program was and why it mattered, what made it complex, what she owned vs. influenced, structure put in place, risks/dependencies/tradeoffs managed, decisions moved forward, and outcome/impact — with specifics on timelines, teams, regions, stakeholder level, and operating rhythms. | UPDATE 2026-09-10: Interview confirmed and scheduled for today, 12:00–12:45 PM EDT, virtual (Zoom, ID 92227480924) with hiring manager Mohan Jayapal. | UPDATE 2026-09-11: Interview with Mohan Jayapal was held as scheduled 9/10, 12:00 PM EDT. Awaiting outcome.</t>
        </is>
      </c>
      <c r="Q323" s="50" t="n">
        <v>46275</v>
      </c>
      <c r="R323" s="48" t="n"/>
      <c r="S323" s="51" t="n"/>
      <c r="T323" s="52">
        <f>IF(G323="","",G323)</f>
        <v/>
      </c>
      <c r="U323" s="52">
        <f>IF(C323="","",IF(OR(ISNUMBER(SEARCH("Director",C323)),ISNUMBER(SEARCH("Lead",C323)),ISNUMBER(SEARCH("Senior",C323)),ISNUMBER(SEARCH("Sr.",C323))),90,IF(OR(ISNUMBER(SEARCH("Manager",C323)),ISNUMBER(SEARCH("Program",C323)),ISNUMBER(SEARCH("Portfolio",C323))),80,60)))</f>
        <v/>
      </c>
      <c r="V323" s="52">
        <f>IF(C323="","",IF(OR(ISNUMBER(SEARCH("AI",C323)),ISNUMBER(SEARCH("Data",C323)),ISNUMBER(SEARCH("Technology",C323)),ISNUMBER(SEARCH("Technical",C323)),ISNUMBER(SEARCH("Engineering",C323)),ISNUMBER(SEARCH("Platform",C323)),ISNUMBER(SEARCH("Portfolio",C323))),85,65))</f>
        <v/>
      </c>
      <c r="W323" s="52">
        <f>IF(C323="","",MIN(100,50+IF(S323&lt;&gt;"",25,0)+IF(R323&lt;&gt;"",15,0)+IF(P323&lt;&gt;"",10,0)))</f>
        <v/>
      </c>
      <c r="X323" s="52">
        <f>IF(E323="","",IF(OR(E323="Canada",E323="CA"),100,IF(OR(E323="United States",E323="USA",E323="US"),IF(J323="Yes",45,75),65)))</f>
        <v/>
      </c>
      <c r="Y323" s="52">
        <f>IF(C323="","",IF(OR(ISNUMBER(SEARCH("Program",C323)),ISNUMBER(SEARCH("Portfolio",C323)),ISNUMBER(SEARCH("Operations",C323)),ISNUMBER(SEARCH("Transformation",C323))),85,IF(ISNUMBER(SEARCH("Product Manager",C323)),55,70)))</f>
        <v/>
      </c>
      <c r="Z323" s="52">
        <f>IF(C323="","",MIN(100,IF(I323&lt;&gt;"",60,10)+IF(AA323&gt;0,MIN(40,AA323*20),0)))</f>
        <v/>
      </c>
      <c r="AA323" s="52">
        <f>IF(T323="","",ROUND(T323*25%+U323*15%+V323*10%+W323*15%+X323*15%+Y323*10%+Z323*10%,0))</f>
        <v/>
      </c>
      <c r="AB323" s="52">
        <f>IF(AA323="","",IF(X323&lt;50,"Selective / Barrier",IF(AA323&gt;=80,"Tier 1 - Pursue",IF(AA323&gt;=70,"Tier 2 - Pursue",IF(AA323&gt;=60,"Tier 3 - Selective","Do Not Pursue")))))</f>
        <v/>
      </c>
      <c r="AC323" s="52">
        <f>IF(C323="","",IF(I323&lt;&gt;"","Named Contact",IF(AA323&gt;0,"Outreach Logged","Cold")))</f>
        <v/>
      </c>
      <c r="AD323" s="52">
        <f>IF(B323="","",COUNTIF('Outreach Log'!$C:$C,B323))</f>
        <v/>
      </c>
      <c r="AE323" s="52">
        <f>IF(A323="","",IF(OR(K323="Rejected",K323="Closed"),IF(L323&lt;&gt;"",L323-A323,TODAY()-A323),TODAY()-A323))</f>
        <v/>
      </c>
      <c r="AF323" s="52">
        <f>IF(C323="","",IF(AND(AA323&gt;=70,AC323="Cold"),"High-fit but cold",IF(AND(AA323&lt;60,K323="Applied"),"Low-fit application",IF(AND(AA323&gt;=70,OR(AC323="Named Contact",AC323="Outreach Logged")),"Targeted pursuit","Review"))))</f>
        <v/>
      </c>
    </row>
    <row r="324" ht="15" customHeight="1" s="44">
      <c r="A324" s="53" t="n">
        <v>46259</v>
      </c>
      <c r="B324" s="48" t="inlineStr">
        <is>
          <t>Klick Health</t>
        </is>
      </c>
      <c r="C324" s="48" t="inlineStr">
        <is>
          <t>Associate Director, Technology Enablement</t>
        </is>
      </c>
      <c r="D324" s="48" t="inlineStr">
        <is>
          <t>Assoc Director</t>
        </is>
      </c>
      <c r="E324" s="48" t="inlineStr">
        <is>
          <t>Canada</t>
        </is>
      </c>
      <c r="F324" s="48" t="inlineStr">
        <is>
          <t>Toronto (Hybrid)</t>
        </is>
      </c>
      <c r="G324" s="48" t="n">
        <v>70</v>
      </c>
      <c r="H324" s="48" t="inlineStr">
        <is>
          <t>LinkedIn</t>
        </is>
      </c>
      <c r="I324" s="48" t="n"/>
      <c r="J324" s="48" t="inlineStr">
        <is>
          <t>No</t>
        </is>
      </c>
      <c r="K324" s="55" t="inlineStr">
        <is>
          <t>Applied</t>
        </is>
      </c>
      <c r="L324" s="48" t="n"/>
      <c r="M324" s="48">
        <f>IF(OR(L195="",A195=""),"",L195-A195)</f>
        <v/>
      </c>
      <c r="N324" s="48" t="n"/>
      <c r="O324" s="48" t="n"/>
      <c r="P324" s="51" t="inlineStr">
        <is>
          <t>Applied ~2026-08-25 (per LinkedIn "My Jobs" — "Applied 3w ago", reposted 4d ago, still no longer accepting note absent). Retroactively logged via LinkedIn tracker screenshot review 2026-09-15 — was missing from tracker entirely. Klick Health is a Toronto-based healthcare marketing/tech company. Est. fit score: 70 — Associate Director, Technology Enablement matches her cross-functional delivery/enablement track record; healthcare marketing is a new-ish vertical though adjacent to her McKesson/healthcare exposure.</t>
        </is>
      </c>
      <c r="Q324" s="48" t="n"/>
      <c r="R324" s="48" t="n"/>
      <c r="S324" s="51" t="n"/>
      <c r="T324" s="52">
        <f>IF(G324="","",G324)</f>
        <v/>
      </c>
      <c r="U324" s="52">
        <f>IF(C324="","",IF(OR(ISNUMBER(SEARCH("Director",C324)),ISNUMBER(SEARCH("Lead",C324)),ISNUMBER(SEARCH("Senior",C324)),ISNUMBER(SEARCH("Sr.",C324))),90,IF(OR(ISNUMBER(SEARCH("Manager",C324)),ISNUMBER(SEARCH("Program",C324)),ISNUMBER(SEARCH("Portfolio",C324))),80,60)))</f>
        <v/>
      </c>
      <c r="V324" s="52">
        <f>IF(C324="","",IF(OR(ISNUMBER(SEARCH("AI",C324)),ISNUMBER(SEARCH("Data",C324)),ISNUMBER(SEARCH("Technology",C324)),ISNUMBER(SEARCH("Technical",C324)),ISNUMBER(SEARCH("Engineering",C324)),ISNUMBER(SEARCH("Platform",C324)),ISNUMBER(SEARCH("Portfolio",C324))),85,65))</f>
        <v/>
      </c>
      <c r="W324" s="52">
        <f>IF(C324="","",MIN(100,50+IF(S324&lt;&gt;"",25,0)+IF(R324&lt;&gt;"",15,0)+IF(P324&lt;&gt;"",10,0)))</f>
        <v/>
      </c>
      <c r="X324" s="52">
        <f>IF(E324="","",IF(OR(E324="Canada",E324="CA"),100,IF(OR(E324="United States",E324="USA",E324="US"),IF(J324="Yes",45,75),65)))</f>
        <v/>
      </c>
      <c r="Y324" s="52">
        <f>IF(C324="","",IF(OR(ISNUMBER(SEARCH("Program",C324)),ISNUMBER(SEARCH("Portfolio",C324)),ISNUMBER(SEARCH("Operations",C324)),ISNUMBER(SEARCH("Transformation",C324))),85,IF(ISNUMBER(SEARCH("Product Manager",C324)),55,70)))</f>
        <v/>
      </c>
      <c r="Z324" s="52">
        <f>IF(C324="","",MIN(100,IF(I324&lt;&gt;"",60,10)+IF(AA324&gt;0,MIN(40,AA324*20),0)))</f>
        <v/>
      </c>
      <c r="AA324" s="52">
        <f>IF(T324="","",ROUND(T324*25%+U324*15%+V324*10%+W324*15%+X324*15%+Y324*10%+Z324*10%,0))</f>
        <v/>
      </c>
      <c r="AB324" s="52">
        <f>IF(AA324="","",IF(X324&lt;50,"Selective / Barrier",IF(AA324&gt;=80,"Tier 1 - Pursue",IF(AA324&gt;=70,"Tier 2 - Pursue",IF(AA324&gt;=60,"Tier 3 - Selective","Do Not Pursue")))))</f>
        <v/>
      </c>
      <c r="AC324" s="52">
        <f>IF(C324="","",IF(I324&lt;&gt;"","Named Contact",IF(AA324&gt;0,"Outreach Logged","Cold")))</f>
        <v/>
      </c>
      <c r="AD324" s="52">
        <f>IF(B324="","",COUNTIF('Outreach Log'!$C:$C,B324))</f>
        <v/>
      </c>
      <c r="AE324" s="52">
        <f>IF(A324="","",IF(OR(K324="Rejected",K324="Closed"),IF(L324&lt;&gt;"",L324-A324,TODAY()-A324),TODAY()-A324))</f>
        <v/>
      </c>
      <c r="AF324" s="52">
        <f>IF(C324="","",IF(AND(AA324&gt;=70,AC324="Cold"),"High-fit but cold",IF(AND(AA324&lt;60,K324="Applied"),"Low-fit application",IF(AND(AA324&gt;=70,OR(AC324="Named Contact",AC324="Outreach Logged")),"Targeted pursuit","Review"))))</f>
        <v/>
      </c>
    </row>
    <row r="325" ht="15" customHeight="1" s="44">
      <c r="A325" s="53" t="n">
        <v>46259</v>
      </c>
      <c r="B325" s="48" t="inlineStr">
        <is>
          <t>Netflix</t>
        </is>
      </c>
      <c r="C325" s="48" t="inlineStr">
        <is>
          <t>Technical Program Manager 5 – Engagement Intelligence (AIMS)</t>
        </is>
      </c>
      <c r="D325" s="48" t="inlineStr">
        <is>
          <t>TPM 5 (senior/staff-equivalent level)</t>
        </is>
      </c>
      <c r="E325" s="48" t="inlineStr">
        <is>
          <t>US</t>
        </is>
      </c>
      <c r="F325" s="48" t="inlineStr">
        <is>
          <t>United States (Remote)</t>
        </is>
      </c>
      <c r="G325" s="48" t="n">
        <v>81</v>
      </c>
      <c r="H325" s="48" t="inlineStr">
        <is>
          <t>LinkedIn</t>
        </is>
      </c>
      <c r="I325" s="48" t="n"/>
      <c r="J325" s="48" t="inlineStr">
        <is>
          <t>Yes</t>
        </is>
      </c>
      <c r="K325" s="55" t="inlineStr">
        <is>
          <t>Applied</t>
        </is>
      </c>
      <c r="L325" s="48" t="n"/>
      <c r="M325" s="48">
        <f>IF(OR(L196="",A196=""),"",L196-A196)</f>
        <v/>
      </c>
      <c r="N325" s="48" t="n"/>
      <c r="O325" s="48" t="n"/>
      <c r="P325" s="51" t="inlineStr">
        <is>
          <t>Applied ~2026-08-25 (per LinkedIn "My Jobs" — "Applied 3w ago", reposted 2w ago). Retroactively logged via LinkedIn tracker screenshot review 2026-09-15 — was missing from tracker; distinct from rows 158/159 (TPM 5 / TPM 4, Enterprise Engineering) and row 44 (TPM 6, Data Systems) — 4th distinct Netflix application. Est. fit score: 81 — same strong TPM-level fit as her other Netflix applications.</t>
        </is>
      </c>
      <c r="Q325" s="48" t="n"/>
      <c r="R325" s="48" t="n"/>
      <c r="S325" s="51" t="n"/>
      <c r="T325" s="52">
        <f>IF(G325="","",G325)</f>
        <v/>
      </c>
      <c r="U325" s="52">
        <f>IF(C325="","",IF(OR(ISNUMBER(SEARCH("Director",C325)),ISNUMBER(SEARCH("Lead",C325)),ISNUMBER(SEARCH("Senior",C325)),ISNUMBER(SEARCH("Sr.",C325))),90,IF(OR(ISNUMBER(SEARCH("Manager",C325)),ISNUMBER(SEARCH("Program",C325)),ISNUMBER(SEARCH("Portfolio",C325))),80,60)))</f>
        <v/>
      </c>
      <c r="V325" s="52">
        <f>IF(C325="","",IF(OR(ISNUMBER(SEARCH("AI",C325)),ISNUMBER(SEARCH("Data",C325)),ISNUMBER(SEARCH("Technology",C325)),ISNUMBER(SEARCH("Technical",C325)),ISNUMBER(SEARCH("Engineering",C325)),ISNUMBER(SEARCH("Platform",C325)),ISNUMBER(SEARCH("Portfolio",C325))),85,65))</f>
        <v/>
      </c>
      <c r="W325" s="52">
        <f>IF(C325="","",MIN(100,50+IF(S325&lt;&gt;"",25,0)+IF(R325&lt;&gt;"",15,0)+IF(P325&lt;&gt;"",10,0)))</f>
        <v/>
      </c>
      <c r="X325" s="52">
        <f>IF(E325="","",IF(OR(E325="Canada",E325="CA"),100,IF(OR(E325="United States",E325="USA",E325="US"),IF(J325="Yes",45,75),65)))</f>
        <v/>
      </c>
      <c r="Y325" s="52">
        <f>IF(C325="","",IF(OR(ISNUMBER(SEARCH("Program",C325)),ISNUMBER(SEARCH("Portfolio",C325)),ISNUMBER(SEARCH("Operations",C325)),ISNUMBER(SEARCH("Transformation",C325))),85,IF(ISNUMBER(SEARCH("Product Manager",C325)),55,70)))</f>
        <v/>
      </c>
      <c r="Z325" s="52">
        <f>IF(C325="","",MIN(100,IF(I325&lt;&gt;"",60,10)+IF(AA325&gt;0,MIN(40,AA325*20),0)))</f>
        <v/>
      </c>
      <c r="AA325" s="52">
        <f>IF(T325="","",ROUND(T325*25%+U325*15%+V325*10%+W325*15%+X325*15%+Y325*10%+Z325*10%,0))</f>
        <v/>
      </c>
      <c r="AB325" s="52">
        <f>IF(AA325="","",IF(X325&lt;50,"Selective / Barrier",IF(AA325&gt;=80,"Tier 1 - Pursue",IF(AA325&gt;=70,"Tier 2 - Pursue",IF(AA325&gt;=60,"Tier 3 - Selective","Do Not Pursue")))))</f>
        <v/>
      </c>
      <c r="AC325" s="52">
        <f>IF(C325="","",IF(I325&lt;&gt;"","Named Contact",IF(AA325&gt;0,"Outreach Logged","Cold")))</f>
        <v/>
      </c>
      <c r="AD325" s="52">
        <f>IF(B325="","",COUNTIF('Outreach Log'!$C:$C,B325))</f>
        <v/>
      </c>
      <c r="AE325" s="52">
        <f>IF(A325="","",IF(OR(K325="Rejected",K325="Closed"),IF(L325&lt;&gt;"",L325-A325,TODAY()-A325),TODAY()-A325))</f>
        <v/>
      </c>
      <c r="AF325" s="52">
        <f>IF(C325="","",IF(AND(AA325&gt;=70,AC325="Cold"),"High-fit but cold",IF(AND(AA325&lt;60,K325="Applied"),"Low-fit application",IF(AND(AA325&gt;=70,OR(AC325="Named Contact",AC325="Outreach Logged")),"Targeted pursuit","Review"))))</f>
        <v/>
      </c>
    </row>
    <row r="326" ht="15" customHeight="1" s="44">
      <c r="A326" s="53" t="n">
        <v>46259</v>
      </c>
      <c r="B326" s="48" t="inlineStr">
        <is>
          <t>Xplor Technologies</t>
        </is>
      </c>
      <c r="C326" s="48" t="inlineStr">
        <is>
          <t>Senior Manager, Transformation</t>
        </is>
      </c>
      <c r="D326" s="48" t="inlineStr">
        <is>
          <t>Senior Manager</t>
        </is>
      </c>
      <c r="E326" s="48" t="inlineStr">
        <is>
          <t>US</t>
        </is>
      </c>
      <c r="F326" s="48" t="inlineStr">
        <is>
          <t>Atlanta, GA (Remote)</t>
        </is>
      </c>
      <c r="G326" s="48" t="n">
        <v>78</v>
      </c>
      <c r="H326" s="48" t="inlineStr">
        <is>
          <t>LinkedIn</t>
        </is>
      </c>
      <c r="I326" s="48" t="n"/>
      <c r="J326" s="48" t="inlineStr">
        <is>
          <t>Yes</t>
        </is>
      </c>
      <c r="K326" s="56" t="inlineStr">
        <is>
          <t>Closed</t>
        </is>
      </c>
      <c r="L326" s="50" t="n">
        <v>46281</v>
      </c>
      <c r="M326" s="48">
        <f>IF(OR(L197="",A197=""),"",L197-A197)</f>
        <v/>
      </c>
      <c r="N326" s="48" t="n"/>
      <c r="O326" s="48" t="n"/>
      <c r="P326" s="51" t="inlineStr">
        <is>
          <t>Applied ~2026-08-25 (per LinkedIn "My Jobs" — "Applied 3w ago"). Retroactively logged via LinkedIn tracker screenshot review 2026-09-15 — was missing; distinct from row 160 (Director, Transformation, Toronto, Rejected) — 2nd, separate Xplor Technologies application. Est. fit score: 78 — Transformation-focused Senior Manager role matches her core delivery/change-leadership track record. | CLOSED 2026-09-16: Xplor (Eric, via Outlook/Hotmail) — "the team just informed me about a change in business priorities, hence they decided to put the recruitment process for this role on hold." Not a comparative rejection; role paused, may be readvertised. Distinct from row 161 (Director/Senior Manager, Transformation, Toronto, rejected 8/20 for sponsorship reasons).</t>
        </is>
      </c>
      <c r="Q326" s="48" t="n"/>
      <c r="R326" s="48" t="n"/>
      <c r="S326" s="51" t="n"/>
      <c r="T326" s="52">
        <f>IF(G326="","",G326)</f>
        <v/>
      </c>
      <c r="U326" s="52">
        <f>IF(C326="","",IF(OR(ISNUMBER(SEARCH("Director",C326)),ISNUMBER(SEARCH("Lead",C326)),ISNUMBER(SEARCH("Senior",C326)),ISNUMBER(SEARCH("Sr.",C326))),90,IF(OR(ISNUMBER(SEARCH("Manager",C326)),ISNUMBER(SEARCH("Program",C326)),ISNUMBER(SEARCH("Portfolio",C326))),80,60)))</f>
        <v/>
      </c>
      <c r="V326" s="52">
        <f>IF(C326="","",IF(OR(ISNUMBER(SEARCH("AI",C326)),ISNUMBER(SEARCH("Data",C326)),ISNUMBER(SEARCH("Technology",C326)),ISNUMBER(SEARCH("Technical",C326)),ISNUMBER(SEARCH("Engineering",C326)),ISNUMBER(SEARCH("Platform",C326)),ISNUMBER(SEARCH("Portfolio",C326))),85,65))</f>
        <v/>
      </c>
      <c r="W326" s="52">
        <f>IF(C326="","",MIN(100,50+IF(S326&lt;&gt;"",25,0)+IF(R326&lt;&gt;"",15,0)+IF(P326&lt;&gt;"",10,0)))</f>
        <v/>
      </c>
      <c r="X326" s="52">
        <f>IF(E326="","",IF(OR(E326="Canada",E326="CA"),100,IF(OR(E326="United States",E326="USA",E326="US"),IF(J326="Yes",45,75),65)))</f>
        <v/>
      </c>
      <c r="Y326" s="52">
        <f>IF(C326="","",IF(OR(ISNUMBER(SEARCH("Program",C326)),ISNUMBER(SEARCH("Portfolio",C326)),ISNUMBER(SEARCH("Operations",C326)),ISNUMBER(SEARCH("Transformation",C326))),85,IF(ISNUMBER(SEARCH("Product Manager",C326)),55,70)))</f>
        <v/>
      </c>
      <c r="Z326" s="52">
        <f>IF(C326="","",MIN(100,IF(I326&lt;&gt;"",60,10)+IF(AA326&gt;0,MIN(40,AA326*20),0)))</f>
        <v/>
      </c>
      <c r="AA326" s="52">
        <f>IF(T326="","",ROUND(T326*25%+U326*15%+V326*10%+W326*15%+X326*15%+Y326*10%+Z326*10%,0))</f>
        <v/>
      </c>
      <c r="AB326" s="52">
        <f>IF(AA326="","",IF(X326&lt;50,"Selective / Barrier",IF(AA326&gt;=80,"Tier 1 - Pursue",IF(AA326&gt;=70,"Tier 2 - Pursue",IF(AA326&gt;=60,"Tier 3 - Selective","Do Not Pursue")))))</f>
        <v/>
      </c>
      <c r="AC326" s="52">
        <f>IF(C326="","",IF(I326&lt;&gt;"","Named Contact",IF(AA326&gt;0,"Outreach Logged","Cold")))</f>
        <v/>
      </c>
      <c r="AD326" s="52">
        <f>IF(B326="","",COUNTIF('Outreach Log'!$C:$C,B326))</f>
        <v/>
      </c>
      <c r="AE326" s="52">
        <f>IF(A326="","",IF(OR(K326="Rejected",K326="Closed"),IF(L326&lt;&gt;"",L326-A326,TODAY()-A326),TODAY()-A326))</f>
        <v/>
      </c>
      <c r="AF326" s="52">
        <f>IF(C326="","",IF(AND(AA326&gt;=70,AC326="Cold"),"High-fit but cold",IF(AND(AA326&lt;60,K326="Applied"),"Low-fit application",IF(AND(AA326&gt;=70,OR(AC326="Named Contact",AC326="Outreach Logged")),"Targeted pursuit","Review"))))</f>
        <v/>
      </c>
    </row>
    <row r="327" ht="15" customHeight="1" s="44">
      <c r="A327" s="53" t="n">
        <v>46260</v>
      </c>
      <c r="B327" s="48" t="inlineStr">
        <is>
          <t>Plaid</t>
        </is>
      </c>
      <c r="C327" s="48" t="inlineStr">
        <is>
          <t>Technical Program Manager (Data Governance / ML Platform generalist req)</t>
        </is>
      </c>
      <c r="D327" s="48" t="inlineStr">
        <is>
          <t>Mid-Senior</t>
        </is>
      </c>
      <c r="E327" s="48" t="inlineStr">
        <is>
          <t>US</t>
        </is>
      </c>
      <c r="F327" s="48" t="inlineStr">
        <is>
          <t>US (SF HQ; remote option unconfirmed)</t>
        </is>
      </c>
      <c r="G327" s="48" t="n">
        <v>78</v>
      </c>
      <c r="H327" s="48" t="inlineStr">
        <is>
          <t>Cold Portal</t>
        </is>
      </c>
      <c r="I327" s="48" t="n"/>
      <c r="J327" s="48" t="inlineStr">
        <is>
          <t>Yes</t>
        </is>
      </c>
      <c r="K327" s="55" t="inlineStr">
        <is>
          <t>Applied</t>
        </is>
      </c>
      <c r="L327" s="48" t="n"/>
      <c r="M327" s="48">
        <f>IF(OR(L198="",A198=""),"",L198-A198)</f>
        <v/>
      </c>
      <c r="N327" s="48" t="inlineStr">
        <is>
          <t>Confirm exact req/level and sponsorship details with Elena; second, distinct Plaid TPM application from the one logged 2026-08-17</t>
        </is>
      </c>
      <c r="O327" s="48" t="n"/>
      <c r="P327" s="51" t="inlineStr">
        <is>
          <t>Confirmed via Ashby (no-reply@ashbyhq.com), 2026-08-26 12:43am ET. SEPARATE from the earlier Plaid TPM application logged 2026-08-17 (row 138, fit 65%, req unconfirmed) — Plaid has multiple open TPM postings. This submission matches a specific JD reviewed with Elena: generalist TPM role leading cross-functional technical programs across Engineering, Infrastructure, Data, Security, ML, Legal, and Product; example program cited is strengthening data and ML platforms (data governance, ML infrastructure modernization, trusted dataset adoption). Requires 6+ years leading complex technical programs; strong plus for data/ML/infrastructure platform experience and fintech/regulated environment background. FIT SCORE ~78%: strong match — Bell Price &amp; Pay (payment-platform strategy, fintech-adjacent), Bell TCO (data governance/standards from the ground up), Amazon (3 concurrent cross-functional technical programs on distributed data platforms, data-pipeline validation standards), IBM GBS regulated-environment delivery (Watson Health/DHSS health benefits, federal/state health-agency clients). Clears the 6-year bar comfortably with 20+ years. Tailored resume built: Resume_ElenaShchetinina_PlaidTPM.docx (led with Price &amp; Pay as fintech-adjacent proof point, reframed TCO/Amazon work around data governance language, added Watson Health/DHSS regulated-environment detail to IBM GBS bullet).</t>
        </is>
      </c>
      <c r="Q327" s="48" t="n"/>
      <c r="R327" s="48" t="n"/>
      <c r="S327" s="51" t="n"/>
      <c r="T327" s="52">
        <f>IF(G327="","",G327)</f>
        <v/>
      </c>
      <c r="U327" s="52">
        <f>IF(C327="","",IF(OR(ISNUMBER(SEARCH("Director",C327)),ISNUMBER(SEARCH("Lead",C327)),ISNUMBER(SEARCH("Senior",C327)),ISNUMBER(SEARCH("Sr.",C327))),90,IF(OR(ISNUMBER(SEARCH("Manager",C327)),ISNUMBER(SEARCH("Program",C327)),ISNUMBER(SEARCH("Portfolio",C327))),80,60)))</f>
        <v/>
      </c>
      <c r="V327" s="52">
        <f>IF(C327="","",IF(OR(ISNUMBER(SEARCH("AI",C327)),ISNUMBER(SEARCH("Data",C327)),ISNUMBER(SEARCH("Technology",C327)),ISNUMBER(SEARCH("Technical",C327)),ISNUMBER(SEARCH("Engineering",C327)),ISNUMBER(SEARCH("Platform",C327)),ISNUMBER(SEARCH("Portfolio",C327))),85,65))</f>
        <v/>
      </c>
      <c r="W327" s="52">
        <f>IF(C327="","",MIN(100,50+IF(S327&lt;&gt;"",25,0)+IF(R327&lt;&gt;"",15,0)+IF(P327&lt;&gt;"",10,0)))</f>
        <v/>
      </c>
      <c r="X327" s="52">
        <f>IF(E327="","",IF(OR(E327="Canada",E327="CA"),100,IF(OR(E327="United States",E327="USA",E327="US"),IF(J327="Yes",45,75),65)))</f>
        <v/>
      </c>
      <c r="Y327" s="52">
        <f>IF(C327="","",IF(OR(ISNUMBER(SEARCH("Program",C327)),ISNUMBER(SEARCH("Portfolio",C327)),ISNUMBER(SEARCH("Operations",C327)),ISNUMBER(SEARCH("Transformation",C327))),85,IF(ISNUMBER(SEARCH("Product Manager",C327)),55,70)))</f>
        <v/>
      </c>
      <c r="Z327" s="52">
        <f>IF(C327="","",MIN(100,IF(I327&lt;&gt;"",60,10)+IF(AA327&gt;0,MIN(40,AA327*20),0)))</f>
        <v/>
      </c>
      <c r="AA327" s="52">
        <f>IF(T327="","",ROUND(T327*25%+U327*15%+V327*10%+W327*15%+X327*15%+Y327*10%+Z327*10%,0))</f>
        <v/>
      </c>
      <c r="AB327" s="52">
        <f>IF(AA327="","",IF(X327&lt;50,"Selective / Barrier",IF(AA327&gt;=80,"Tier 1 - Pursue",IF(AA327&gt;=70,"Tier 2 - Pursue",IF(AA327&gt;=60,"Tier 3 - Selective","Do Not Pursue")))))</f>
        <v/>
      </c>
      <c r="AC327" s="52">
        <f>IF(C327="","",IF(I327&lt;&gt;"","Named Contact",IF(AA327&gt;0,"Outreach Logged","Cold")))</f>
        <v/>
      </c>
      <c r="AD327" s="52">
        <f>IF(B327="","",COUNTIF('Outreach Log'!$C:$C,B327))</f>
        <v/>
      </c>
      <c r="AE327" s="52">
        <f>IF(A327="","",IF(OR(K327="Rejected",K327="Closed"),IF(L327&lt;&gt;"",L327-A327,TODAY()-A327),TODAY()-A327))</f>
        <v/>
      </c>
      <c r="AF327" s="52">
        <f>IF(C327="","",IF(AND(AA327&gt;=70,AC327="Cold"),"High-fit but cold",IF(AND(AA327&lt;60,K327="Applied"),"Low-fit application",IF(AND(AA327&gt;=70,OR(AC327="Named Contact",AC327="Outreach Logged")),"Targeted pursuit","Review"))))</f>
        <v/>
      </c>
    </row>
    <row r="328" ht="15" customHeight="1" s="44">
      <c r="A328" s="53" t="n">
        <v>46260</v>
      </c>
      <c r="B328" s="48" t="inlineStr">
        <is>
          <t>Moody's</t>
        </is>
      </c>
      <c r="C328" s="48" t="inlineStr">
        <is>
          <t>Associate Director, Product Manager (Model Context Protocol)</t>
        </is>
      </c>
      <c r="D328" s="48" t="inlineStr">
        <is>
          <t>Director</t>
        </is>
      </c>
      <c r="E328" s="48" t="inlineStr">
        <is>
          <t>US</t>
        </is>
      </c>
      <c r="F328" s="48" t="inlineStr">
        <is>
          <t>New York, NY</t>
        </is>
      </c>
      <c r="G328" s="48" t="n">
        <v>45</v>
      </c>
      <c r="H328" s="48" t="inlineStr">
        <is>
          <t>Cold Portal</t>
        </is>
      </c>
      <c r="I328" s="48" t="n"/>
      <c r="J328" s="48" t="inlineStr">
        <is>
          <t>Yes</t>
        </is>
      </c>
      <c r="K328" s="55" t="inlineStr">
        <is>
          <t>Applied</t>
        </is>
      </c>
      <c r="L328" s="48" t="n"/>
      <c r="M328" s="48">
        <f>IF(OR(L199="",A199=""),"",L199-A199)</f>
        <v/>
      </c>
      <c r="N328" s="48" t="inlineStr">
        <is>
          <t>Confirm exact location, sponsorship status, and level with Elena</t>
        </is>
      </c>
      <c r="O328" s="48" t="n"/>
      <c r="P328" s="51" t="inlineStr">
        <is>
          <t>Confirmed via SuccessFactors (donotreply@successfactors.com), 2026-08-26 ~3:20pm ET. Role: Associate Director, Product Manager, owning Moody's Model Context Protocol (MCP) server/application portfolio enabling agentic AI workflows — product roadmap, backlog, agile ceremonies, AI governance, stakeholder management across engineering/design/data/security. JD asks for 8-10 years of PRODUCT MANAGEMENT experience specifically (title gap — Elena's background is TPM/Portfolio Manager with one ~1.5yr Product Owner stint at IBM, not a PM title history). FIT SCORE ~45%: genuine strengths are AI/GenAI use-case ownership and vendor evaluation at Bell Canada, end-to-end product ownership at IBM (NLP/document-processing module), and technical fluency (APIs, distributed systems, architecture). GAP: no direct MCP or agent-tooling-protocol exposure; product-title tenure is short relative to the 8-10yr ask. Tailored resume built: Resume_ElenaShchetinina_MoodysMCP.docx (reframed around AI product leadership and agentic AI use cases, led with IBM Product Owner role, honest framing — no MCP-specific claims fabricated).</t>
        </is>
      </c>
      <c r="Q328" s="48" t="n"/>
      <c r="R328" s="48" t="n"/>
      <c r="S328" s="51" t="n"/>
      <c r="T328" s="52">
        <f>IF(G328="","",G328)</f>
        <v/>
      </c>
      <c r="U328" s="52">
        <f>IF(C328="","",IF(OR(ISNUMBER(SEARCH("Director",C328)),ISNUMBER(SEARCH("Lead",C328)),ISNUMBER(SEARCH("Senior",C328)),ISNUMBER(SEARCH("Sr.",C328))),90,IF(OR(ISNUMBER(SEARCH("Manager",C328)),ISNUMBER(SEARCH("Program",C328)),ISNUMBER(SEARCH("Portfolio",C328))),80,60)))</f>
        <v/>
      </c>
      <c r="V328" s="52">
        <f>IF(C328="","",IF(OR(ISNUMBER(SEARCH("AI",C328)),ISNUMBER(SEARCH("Data",C328)),ISNUMBER(SEARCH("Technology",C328)),ISNUMBER(SEARCH("Technical",C328)),ISNUMBER(SEARCH("Engineering",C328)),ISNUMBER(SEARCH("Platform",C328)),ISNUMBER(SEARCH("Portfolio",C328))),85,65))</f>
        <v/>
      </c>
      <c r="W328" s="52">
        <f>IF(C328="","",MIN(100,50+IF(S328&lt;&gt;"",25,0)+IF(R328&lt;&gt;"",15,0)+IF(P328&lt;&gt;"",10,0)))</f>
        <v/>
      </c>
      <c r="X328" s="52">
        <f>IF(E328="","",IF(OR(E328="Canada",E328="CA"),100,IF(OR(E328="United States",E328="USA",E328="US"),IF(J328="Yes",45,75),65)))</f>
        <v/>
      </c>
      <c r="Y328" s="52">
        <f>IF(C328="","",IF(OR(ISNUMBER(SEARCH("Program",C328)),ISNUMBER(SEARCH("Portfolio",C328)),ISNUMBER(SEARCH("Operations",C328)),ISNUMBER(SEARCH("Transformation",C328))),85,IF(ISNUMBER(SEARCH("Product Manager",C328)),55,70)))</f>
        <v/>
      </c>
      <c r="Z328" s="52">
        <f>IF(C328="","",MIN(100,IF(I328&lt;&gt;"",60,10)+IF(AA328&gt;0,MIN(40,AA328*20),0)))</f>
        <v/>
      </c>
      <c r="AA328" s="52">
        <f>IF(T328="","",ROUND(T328*25%+U328*15%+V328*10%+W328*15%+X328*15%+Y328*10%+Z328*10%,0))</f>
        <v/>
      </c>
      <c r="AB328" s="52">
        <f>IF(AA328="","",IF(X328&lt;50,"Selective / Barrier",IF(AA328&gt;=80,"Tier 1 - Pursue",IF(AA328&gt;=70,"Tier 2 - Pursue",IF(AA328&gt;=60,"Tier 3 - Selective","Do Not Pursue")))))</f>
        <v/>
      </c>
      <c r="AC328" s="52">
        <f>IF(C328="","",IF(I328&lt;&gt;"","Named Contact",IF(AA328&gt;0,"Outreach Logged","Cold")))</f>
        <v/>
      </c>
      <c r="AD328" s="52">
        <f>IF(B328="","",COUNTIF('Outreach Log'!$C:$C,B328))</f>
        <v/>
      </c>
      <c r="AE328" s="52">
        <f>IF(A328="","",IF(OR(K328="Rejected",K328="Closed"),IF(L328&lt;&gt;"",L328-A328,TODAY()-A328),TODAY()-A328))</f>
        <v/>
      </c>
      <c r="AF328" s="52">
        <f>IF(C328="","",IF(AND(AA328&gt;=70,AC328="Cold"),"High-fit but cold",IF(AND(AA328&lt;60,K328="Applied"),"Low-fit application",IF(AND(AA328&gt;=70,OR(AC328="Named Contact",AC328="Outreach Logged")),"Targeted pursuit","Review"))))</f>
        <v/>
      </c>
    </row>
    <row r="329" ht="15" customHeight="1" s="44">
      <c r="A329" s="53" t="n">
        <v>46260</v>
      </c>
      <c r="B329" s="48" t="inlineStr">
        <is>
          <t>Legora</t>
        </is>
      </c>
      <c r="C329" s="48" t="inlineStr">
        <is>
          <t>Engagement Manager, Canada</t>
        </is>
      </c>
      <c r="D329" s="48" t="inlineStr">
        <is>
          <t>Senior/Manager</t>
        </is>
      </c>
      <c r="E329" s="48" t="inlineStr">
        <is>
          <t>Canada</t>
        </is>
      </c>
      <c r="F329" s="48" t="inlineStr">
        <is>
          <t>Toronto</t>
        </is>
      </c>
      <c r="G329" s="48" t="n">
        <v>55</v>
      </c>
      <c r="H329" s="48" t="inlineStr">
        <is>
          <t>Cold Portal</t>
        </is>
      </c>
      <c r="I329" s="48" t="n"/>
      <c r="J329" s="48" t="inlineStr">
        <is>
          <t>No</t>
        </is>
      </c>
      <c r="K329" s="55" t="inlineStr">
        <is>
          <t>Applied</t>
        </is>
      </c>
      <c r="L329" s="48" t="n"/>
      <c r="M329" s="48">
        <f>IF(OR(L200="",A200=""),"",L200-A200)</f>
        <v/>
      </c>
      <c r="N329" s="48" t="inlineStr">
        <is>
          <t>Confirm exact seniority level and comp with Elena</t>
        </is>
      </c>
      <c r="O329" s="48" t="n"/>
      <c r="P329" s="51" t="inlineStr">
        <is>
          <t>Confirmed via Ashby (no-reply@ashbyhq.com), 2026-08-26 4:00pm ET. Role: Engagement Manager, Canada — owns post-sale adoption, change management, and long-term value realization for a portfolio of Enterprise legal/corporate clients using Legora's AI-native legal workspace; designs client transformation roadmaps, drives adoption cadence, orchestrates cross-functional teams (GTM, Product, Engineering, Legal Engineering). In-person, Toronto office. FIT SCORE ~55%: strong match on consulting/regulated-industry delivery (IBM GBS federal/state health-agency clients), stakeholder advisory and escalation-point work (Bell Price &amp; Pay), and end-to-end adoption ownership (IBM Product Owner, pilot-to-production). GAPS: no Customer Success/Account Management title history (JD lists consulting as an acceptable alternate path); no legal or legal-tech industry experience (JD allows for fast domain learning). Tailored resume built: Resume_ElenaShchetinina_LegoraEngagementManager.docx (reframed around change management, client transformation, and adoption — honest framing, no CS/legal-tech experience fabricated).</t>
        </is>
      </c>
      <c r="Q329" s="48" t="n"/>
      <c r="R329" s="48" t="n"/>
      <c r="S329" s="51" t="n"/>
      <c r="T329" s="52">
        <f>IF(G329="","",G329)</f>
        <v/>
      </c>
      <c r="U329" s="52">
        <f>IF(C329="","",IF(OR(ISNUMBER(SEARCH("Director",C329)),ISNUMBER(SEARCH("Lead",C329)),ISNUMBER(SEARCH("Senior",C329)),ISNUMBER(SEARCH("Sr.",C329))),90,IF(OR(ISNUMBER(SEARCH("Manager",C329)),ISNUMBER(SEARCH("Program",C329)),ISNUMBER(SEARCH("Portfolio",C329))),80,60)))</f>
        <v/>
      </c>
      <c r="V329" s="52">
        <f>IF(C329="","",IF(OR(ISNUMBER(SEARCH("AI",C329)),ISNUMBER(SEARCH("Data",C329)),ISNUMBER(SEARCH("Technology",C329)),ISNUMBER(SEARCH("Technical",C329)),ISNUMBER(SEARCH("Engineering",C329)),ISNUMBER(SEARCH("Platform",C329)),ISNUMBER(SEARCH("Portfolio",C329))),85,65))</f>
        <v/>
      </c>
      <c r="W329" s="52">
        <f>IF(C329="","",MIN(100,50+IF(S329&lt;&gt;"",25,0)+IF(R329&lt;&gt;"",15,0)+IF(P329&lt;&gt;"",10,0)))</f>
        <v/>
      </c>
      <c r="X329" s="52">
        <f>IF(E329="","",IF(OR(E329="Canada",E329="CA"),100,IF(OR(E329="United States",E329="USA",E329="US"),IF(J329="Yes",45,75),65)))</f>
        <v/>
      </c>
      <c r="Y329" s="52">
        <f>IF(C329="","",IF(OR(ISNUMBER(SEARCH("Program",C329)),ISNUMBER(SEARCH("Portfolio",C329)),ISNUMBER(SEARCH("Operations",C329)),ISNUMBER(SEARCH("Transformation",C329))),85,IF(ISNUMBER(SEARCH("Product Manager",C329)),55,70)))</f>
        <v/>
      </c>
      <c r="Z329" s="52">
        <f>IF(C329="","",MIN(100,IF(I329&lt;&gt;"",60,10)+IF(AA329&gt;0,MIN(40,AA329*20),0)))</f>
        <v/>
      </c>
      <c r="AA329" s="52">
        <f>IF(T329="","",ROUND(T329*25%+U329*15%+V329*10%+W329*15%+X329*15%+Y329*10%+Z329*10%,0))</f>
        <v/>
      </c>
      <c r="AB329" s="52">
        <f>IF(AA329="","",IF(X329&lt;50,"Selective / Barrier",IF(AA329&gt;=80,"Tier 1 - Pursue",IF(AA329&gt;=70,"Tier 2 - Pursue",IF(AA329&gt;=60,"Tier 3 - Selective","Do Not Pursue")))))</f>
        <v/>
      </c>
      <c r="AC329" s="52">
        <f>IF(C329="","",IF(I329&lt;&gt;"","Named Contact",IF(AA329&gt;0,"Outreach Logged","Cold")))</f>
        <v/>
      </c>
      <c r="AD329" s="52">
        <f>IF(B329="","",COUNTIF('Outreach Log'!$C:$C,B329))</f>
        <v/>
      </c>
      <c r="AE329" s="52">
        <f>IF(A329="","",IF(OR(K329="Rejected",K329="Closed"),IF(L329&lt;&gt;"",L329-A329,TODAY()-A329),TODAY()-A329))</f>
        <v/>
      </c>
      <c r="AF329" s="52">
        <f>IF(C329="","",IF(AND(AA329&gt;=70,AC329="Cold"),"High-fit but cold",IF(AND(AA329&lt;60,K329="Applied"),"Low-fit application",IF(AND(AA329&gt;=70,OR(AC329="Named Contact",AC329="Outreach Logged")),"Targeted pursuit","Review"))))</f>
        <v/>
      </c>
    </row>
    <row r="330" ht="15" customHeight="1" s="44">
      <c r="A330" s="53" t="n">
        <v>46260</v>
      </c>
      <c r="B330" s="48" t="inlineStr">
        <is>
          <t>Legora</t>
        </is>
      </c>
      <c r="C330" s="48" t="inlineStr">
        <is>
          <t>Director, Engagement - Canada</t>
        </is>
      </c>
      <c r="D330" s="48" t="inlineStr">
        <is>
          <t>Director</t>
        </is>
      </c>
      <c r="E330" s="48" t="inlineStr">
        <is>
          <t>Canada</t>
        </is>
      </c>
      <c r="F330" s="48" t="inlineStr">
        <is>
          <t>Toronto</t>
        </is>
      </c>
      <c r="G330" s="48" t="n">
        <v>40</v>
      </c>
      <c r="H330" s="48" t="inlineStr">
        <is>
          <t>Cold Portal</t>
        </is>
      </c>
      <c r="I330" s="48" t="n"/>
      <c r="J330" s="48" t="inlineStr">
        <is>
          <t>No</t>
        </is>
      </c>
      <c r="K330" s="49" t="inlineStr">
        <is>
          <t>Rejected</t>
        </is>
      </c>
      <c r="L330" s="50" t="n">
        <v>46262</v>
      </c>
      <c r="M330" s="48">
        <f>IF(OR(L201="",A201=""),"",L201-A201)</f>
        <v/>
      </c>
      <c r="N330" s="48" t="inlineStr">
        <is>
          <t>Confirm exact seniority level and comp with Elena</t>
        </is>
      </c>
      <c r="O330" s="48" t="n"/>
      <c r="P330" s="51" t="inlineStr">
        <is>
          <t>Confirmed via Ashby (no-reply@ashbyhq.com), 2026-08-26 4:11pm ET. Role: Director, Engagement - Canada — owns adoption and long-term success of an entire vertical (e.g. Enterprise Firms), building and leading a multi-layered team of Engagement Associates, Managers, and Senior Managers; defines the engagement model, operating rhythms, and standards used across the vertical; reserves self for C-suite/strategic accounts. Requires 10+ years in management consulting/customer success/account management AND 5+ years managing client-facing teams including other managers and team leads. In-person, Toronto office. FIT SCORE ~40%: strong match on consulting/regulated-industry delivery (IBM GBS), executive advisory and escalation-point work (Bell Price &amp; Pay), and cross-functional program/team leadership (Bell Customer Profile 5 teams, IBM CIO team of 6). MATERIAL GAP: no confirmed history of managing other managers/team leads (JD's specific 5+ year requirement) — Elena's leadership has been cross-functional program leadership, not a people-management hierarchy; not fabricated on the resume. Also no legal/legal-tech industry experience. NOTE: this is a distinct, more senior posting from the Engagement Manager, Canada role also applied to today (row 168) — same company, two levels; worth confirming with Elena whether submitting both could raise ATS-level questions. Tailored resume built: Resume_ElenaShchetinina_LegoraEngagementDirector.docx (reframed around building teams/standards/operating rhythms at scale, honest framing on the management-hierarchy gap). REJECTED 2026-08-28 via no-reply@ashbyhq.com: moving forward with candidates whose experience aligns more closely with the role.</t>
        </is>
      </c>
      <c r="Q330" s="48" t="n"/>
      <c r="R330" s="48" t="n"/>
      <c r="S330" s="51" t="n"/>
      <c r="T330" s="52">
        <f>IF(G330="","",G330)</f>
        <v/>
      </c>
      <c r="U330" s="52">
        <f>IF(C330="","",IF(OR(ISNUMBER(SEARCH("Director",C330)),ISNUMBER(SEARCH("Lead",C330)),ISNUMBER(SEARCH("Senior",C330)),ISNUMBER(SEARCH("Sr.",C330))),90,IF(OR(ISNUMBER(SEARCH("Manager",C330)),ISNUMBER(SEARCH("Program",C330)),ISNUMBER(SEARCH("Portfolio",C330))),80,60)))</f>
        <v/>
      </c>
      <c r="V330" s="52">
        <f>IF(C330="","",IF(OR(ISNUMBER(SEARCH("AI",C330)),ISNUMBER(SEARCH("Data",C330)),ISNUMBER(SEARCH("Technology",C330)),ISNUMBER(SEARCH("Technical",C330)),ISNUMBER(SEARCH("Engineering",C330)),ISNUMBER(SEARCH("Platform",C330)),ISNUMBER(SEARCH("Portfolio",C330))),85,65))</f>
        <v/>
      </c>
      <c r="W330" s="52">
        <f>IF(C330="","",MIN(100,50+IF(S330&lt;&gt;"",25,0)+IF(R330&lt;&gt;"",15,0)+IF(P330&lt;&gt;"",10,0)))</f>
        <v/>
      </c>
      <c r="X330" s="52">
        <f>IF(E330="","",IF(OR(E330="Canada",E330="CA"),100,IF(OR(E330="United States",E330="USA",E330="US"),IF(J330="Yes",45,75),65)))</f>
        <v/>
      </c>
      <c r="Y330" s="52">
        <f>IF(C330="","",IF(OR(ISNUMBER(SEARCH("Program",C330)),ISNUMBER(SEARCH("Portfolio",C330)),ISNUMBER(SEARCH("Operations",C330)),ISNUMBER(SEARCH("Transformation",C330))),85,IF(ISNUMBER(SEARCH("Product Manager",C330)),55,70)))</f>
        <v/>
      </c>
      <c r="Z330" s="52">
        <f>IF(C330="","",MIN(100,IF(I330&lt;&gt;"",60,10)+IF(AA330&gt;0,MIN(40,AA330*20),0)))</f>
        <v/>
      </c>
      <c r="AA330" s="52">
        <f>IF(T330="","",ROUND(T330*25%+U330*15%+V330*10%+W330*15%+X330*15%+Y330*10%+Z330*10%,0))</f>
        <v/>
      </c>
      <c r="AB330" s="52">
        <f>IF(AA330="","",IF(X330&lt;50,"Selective / Barrier",IF(AA330&gt;=80,"Tier 1 - Pursue",IF(AA330&gt;=70,"Tier 2 - Pursue",IF(AA330&gt;=60,"Tier 3 - Selective","Do Not Pursue")))))</f>
        <v/>
      </c>
      <c r="AC330" s="52">
        <f>IF(C330="","",IF(I330&lt;&gt;"","Named Contact",IF(AA330&gt;0,"Outreach Logged","Cold")))</f>
        <v/>
      </c>
      <c r="AD330" s="52">
        <f>IF(B330="","",COUNTIF('Outreach Log'!$C:$C,B330))</f>
        <v/>
      </c>
      <c r="AE330" s="52">
        <f>IF(A330="","",IF(OR(K330="Rejected",K330="Closed"),IF(L330&lt;&gt;"",L330-A330,TODAY()-A330),TODAY()-A330))</f>
        <v/>
      </c>
      <c r="AF330" s="52">
        <f>IF(C330="","",IF(AND(AA330&gt;=70,AC330="Cold"),"High-fit but cold",IF(AND(AA330&lt;60,K330="Applied"),"Low-fit application",IF(AND(AA330&gt;=70,OR(AC330="Named Contact",AC330="Outreach Logged")),"Targeted pursuit","Review"))))</f>
        <v/>
      </c>
    </row>
    <row r="331" ht="15" customHeight="1" s="44">
      <c r="A331" s="53" t="n">
        <v>46260</v>
      </c>
      <c r="B331" s="48" t="inlineStr">
        <is>
          <t>Microsoft</t>
        </is>
      </c>
      <c r="C331" s="48" t="inlineStr">
        <is>
          <t>Business Program Manager (CISO/MSR Financial Operations) — Job #200048307</t>
        </is>
      </c>
      <c r="D331" s="48" t="inlineStr">
        <is>
          <t>IC/Senior</t>
        </is>
      </c>
      <c r="E331" s="48" t="inlineStr">
        <is>
          <t>US</t>
        </is>
      </c>
      <c r="F331" s="48" t="inlineStr">
        <is>
          <t>Seattle</t>
        </is>
      </c>
      <c r="G331" s="48" t="n">
        <v>60</v>
      </c>
      <c r="H331" s="48" t="inlineStr">
        <is>
          <t>Cold Portal</t>
        </is>
      </c>
      <c r="I331" s="48" t="inlineStr">
        <is>
          <t>Carleton Green (LinkedIn outreach sent)</t>
        </is>
      </c>
      <c r="J331" s="48" t="inlineStr">
        <is>
          <t>Yes</t>
        </is>
      </c>
      <c r="K331" s="55" t="inlineStr">
        <is>
          <t>Applied</t>
        </is>
      </c>
      <c r="L331" s="48" t="n"/>
      <c r="M331" s="48">
        <f>IF(OR(L202="",A202=""),"",L202-A202)</f>
        <v/>
      </c>
      <c r="N331" s="48" t="inlineStr">
        <is>
          <t>PENDING: confirm with Elena whether she is open to US relocation for this role</t>
        </is>
      </c>
      <c r="O331" s="48" t="n"/>
      <c r="P331" s="51" t="inlineStr">
        <is>
          <t>Confirmed via Microsoft Recruiting confirmation email, 2026-08-26. Job number 200048307. Role: Business Program Manager supporting financial operations across CISO and MSR — supplier contracting, internal cloud spend analysis, financial hierarchies, budget tracking, governance mechanisms. Requires 4+ years program/process management. FIT SCORE ~60%: strong match on TCO governance work (1,400-app portfolio, 60+ stakeholders, 20% cost reduction) and Price &amp; Pay business case (financial trade-off analysis, executive savings case); good data/Excel orientation. GAPS flagged in hiring-manager review: no evidence of direct budget/P&amp;L ownership with negotiation (JD asks for 'complex budgets with significant negotiation'); no security-org (CISO) exposure; no supplier contract negotiation evidence (only vendor evaluation); title trajectory (Senior Portfolio/Program Manager) reads more senior than a 4+ year-experience req, possible level-fit question; no direct Microsoft business systems/workforce analytics experience. Tailored resume built: Resume_ElenaShchetinina_MicrosoftBPM.docx. LinkedIn outreach sent to Carleton Green (Microsoft recruiter) about this role. UPDATE 2026-08-28: Carleton Green (Microsoft recruiter) confirmed via LinkedIn that this role is U.S.-based only and requires relocating to/working from the U.S. (not remote from Canada). Elena has not yet confirmed whether she is open to relocating - pending her decision.</t>
        </is>
      </c>
      <c r="Q331" s="48" t="n"/>
      <c r="R331" s="48" t="n"/>
      <c r="S331" s="51" t="n"/>
      <c r="T331" s="52">
        <f>IF(G331="","",G331)</f>
        <v/>
      </c>
      <c r="U331" s="52">
        <f>IF(C331="","",IF(OR(ISNUMBER(SEARCH("Director",C331)),ISNUMBER(SEARCH("Lead",C331)),ISNUMBER(SEARCH("Senior",C331)),ISNUMBER(SEARCH("Sr.",C331))),90,IF(OR(ISNUMBER(SEARCH("Manager",C331)),ISNUMBER(SEARCH("Program",C331)),ISNUMBER(SEARCH("Portfolio",C331))),80,60)))</f>
        <v/>
      </c>
      <c r="V331" s="52">
        <f>IF(C331="","",IF(OR(ISNUMBER(SEARCH("AI",C331)),ISNUMBER(SEARCH("Data",C331)),ISNUMBER(SEARCH("Technology",C331)),ISNUMBER(SEARCH("Technical",C331)),ISNUMBER(SEARCH("Engineering",C331)),ISNUMBER(SEARCH("Platform",C331)),ISNUMBER(SEARCH("Portfolio",C331))),85,65))</f>
        <v/>
      </c>
      <c r="W331" s="52">
        <f>IF(C331="","",MIN(100,50+IF(S331&lt;&gt;"",25,0)+IF(R331&lt;&gt;"",15,0)+IF(P331&lt;&gt;"",10,0)))</f>
        <v/>
      </c>
      <c r="X331" s="52">
        <f>IF(E331="","",IF(OR(E331="Canada",E331="CA"),100,IF(OR(E331="United States",E331="USA",E331="US"),IF(J331="Yes",45,75),65)))</f>
        <v/>
      </c>
      <c r="Y331" s="52">
        <f>IF(C331="","",IF(OR(ISNUMBER(SEARCH("Program",C331)),ISNUMBER(SEARCH("Portfolio",C331)),ISNUMBER(SEARCH("Operations",C331)),ISNUMBER(SEARCH("Transformation",C331))),85,IF(ISNUMBER(SEARCH("Product Manager",C331)),55,70)))</f>
        <v/>
      </c>
      <c r="Z331" s="52">
        <f>IF(C331="","",MIN(100,IF(I331&lt;&gt;"",60,10)+IF(AA331&gt;0,MIN(40,AA331*20),0)))</f>
        <v/>
      </c>
      <c r="AA331" s="52">
        <f>IF(T331="","",ROUND(T331*25%+U331*15%+V331*10%+W331*15%+X331*15%+Y331*10%+Z331*10%,0))</f>
        <v/>
      </c>
      <c r="AB331" s="52">
        <f>IF(AA331="","",IF(X331&lt;50,"Selective / Barrier",IF(AA331&gt;=80,"Tier 1 - Pursue",IF(AA331&gt;=70,"Tier 2 - Pursue",IF(AA331&gt;=60,"Tier 3 - Selective","Do Not Pursue")))))</f>
        <v/>
      </c>
      <c r="AC331" s="52">
        <f>IF(C331="","",IF(I331&lt;&gt;"","Named Contact",IF(AA331&gt;0,"Outreach Logged","Cold")))</f>
        <v/>
      </c>
      <c r="AD331" s="52">
        <f>IF(B331="","",COUNTIF('Outreach Log'!$C:$C,B331))</f>
        <v/>
      </c>
      <c r="AE331" s="52">
        <f>IF(A331="","",IF(OR(K331="Rejected",K331="Closed"),IF(L331&lt;&gt;"",L331-A331,TODAY()-A331),TODAY()-A331))</f>
        <v/>
      </c>
      <c r="AF331" s="52">
        <f>IF(C331="","",IF(AND(AA331&gt;=70,AC331="Cold"),"High-fit but cold",IF(AND(AA331&lt;60,K331="Applied"),"Low-fit application",IF(AND(AA331&gt;=70,OR(AC331="Named Contact",AC331="Outreach Logged")),"Targeted pursuit","Review"))))</f>
        <v/>
      </c>
    </row>
    <row r="332" ht="15" customHeight="1" s="44">
      <c r="A332" s="53" t="n">
        <v>46260</v>
      </c>
      <c r="B332" s="48" t="inlineStr">
        <is>
          <t>OpenText</t>
        </is>
      </c>
      <c r="C332" s="48" t="inlineStr">
        <is>
          <t>Senior Director, Product Portfolio</t>
        </is>
      </c>
      <c r="D332" s="48" t="inlineStr">
        <is>
          <t>Senior Director</t>
        </is>
      </c>
      <c r="E332" s="48" t="inlineStr">
        <is>
          <t>Canada</t>
        </is>
      </c>
      <c r="F332" s="48" t="inlineStr">
        <is>
          <t>Toronto</t>
        </is>
      </c>
      <c r="G332" s="48" t="n">
        <v>50</v>
      </c>
      <c r="H332" s="48" t="inlineStr">
        <is>
          <t>Cold Portal</t>
        </is>
      </c>
      <c r="I332" s="48" t="n"/>
      <c r="J332" s="48" t="inlineStr">
        <is>
          <t>No</t>
        </is>
      </c>
      <c r="K332" s="49" t="inlineStr">
        <is>
          <t>Rejected</t>
        </is>
      </c>
      <c r="L332" s="50" t="n">
        <v>46278</v>
      </c>
      <c r="M332" s="48">
        <f>IF(OR(L203="",A203=""),"",L203-A203)</f>
        <v/>
      </c>
      <c r="N332" s="48" t="n"/>
      <c r="O332" s="48" t="n"/>
      <c r="P332" s="51" t="inlineStr">
        <is>
          <t>Confirmed via OpenText Global Talent Acquisition confirmation email, 2026-08-26. Role: Senior Director, Product Portfolio — owns portfolio strategy, planning, and governance for ~45 master products across 8 lines of business; leads/coaches a team of ~16 Product Management professionals including 2-3 people managers; drives investment prioritization, business cases, product rationalization/modernization/end-of-life decisions; champions AI tool adoption across the PM team; presents to Portfolio Review Boards and executive leadership. FIT SCORE ~50%: strong match on portfolio governance (Bell TCO, 1,400-app portfolio), AI roadmap/use-case ownership, executive business case development (Price &amp; Pay), and end-to-end product ownership (IBM PO). MATERIAL GAP: no confirmed history of directly managing Product Managers as direct reports (JD requires leading ~16 PMs incl. 2-3 people managers) — Elena's team leadership has been cross-functional program teams (architects, developers), not a PM org; not fabricated on resume. Tailored resume built: Resume_ElenaShchetinina_SrDirProductPortfolio.docx (reframed around portfolio strategy/governance and AI-enabled decision-making, honest framing on the PM people-management gap). | REJECTED 2026-09-11: OpenText (Mike Lavigne, correspondenceOpentext@products60.sapsf.com) — "Director, Product Management - Portfolio (52611)" — "the position has been filled." (Req/posting title confirmed as 52611; tracker previously listed as "Senior Director, Product Portfolio".) | REVERTED 2026-09-12: The 9/11 "rejection" email (sender "Mike Lavigne," req 52611) could not be located in Gmail on re-check, and a separate automated review flagged it as a suspected fake/unverifiable message. Reverting to Applied until the email can be confirmed as genuine. | CONFIRMED REJECTED 2026-09-13: legitimate email from recruiting@jobalerts.opentext.com (real OpenText domain, req 52611) — "we have decided to move forward with another candidate." This verifies the req number from the earlier unverifiable 9/11 email, though that email itself remains unconfirmed as genuine. Status re-set to Rejected based on this verified source.</t>
        </is>
      </c>
      <c r="Q332" s="48" t="n"/>
      <c r="R332" s="48" t="n"/>
      <c r="S332" s="51" t="n"/>
      <c r="T332" s="52">
        <f>IF(G332="","",G332)</f>
        <v/>
      </c>
      <c r="U332" s="52">
        <f>IF(C332="","",IF(OR(ISNUMBER(SEARCH("Director",C332)),ISNUMBER(SEARCH("Lead",C332)),ISNUMBER(SEARCH("Senior",C332)),ISNUMBER(SEARCH("Sr.",C332))),90,IF(OR(ISNUMBER(SEARCH("Manager",C332)),ISNUMBER(SEARCH("Program",C332)),ISNUMBER(SEARCH("Portfolio",C332))),80,60)))</f>
        <v/>
      </c>
      <c r="V332" s="52">
        <f>IF(C332="","",IF(OR(ISNUMBER(SEARCH("AI",C332)),ISNUMBER(SEARCH("Data",C332)),ISNUMBER(SEARCH("Technology",C332)),ISNUMBER(SEARCH("Technical",C332)),ISNUMBER(SEARCH("Engineering",C332)),ISNUMBER(SEARCH("Platform",C332)),ISNUMBER(SEARCH("Portfolio",C332))),85,65))</f>
        <v/>
      </c>
      <c r="W332" s="52">
        <f>IF(C332="","",MIN(100,50+IF(S332&lt;&gt;"",25,0)+IF(R332&lt;&gt;"",15,0)+IF(P332&lt;&gt;"",10,0)))</f>
        <v/>
      </c>
      <c r="X332" s="52">
        <f>IF(E332="","",IF(OR(E332="Canada",E332="CA"),100,IF(OR(E332="United States",E332="USA",E332="US"),IF(J332="Yes",45,75),65)))</f>
        <v/>
      </c>
      <c r="Y332" s="52">
        <f>IF(C332="","",IF(OR(ISNUMBER(SEARCH("Program",C332)),ISNUMBER(SEARCH("Portfolio",C332)),ISNUMBER(SEARCH("Operations",C332)),ISNUMBER(SEARCH("Transformation",C332))),85,IF(ISNUMBER(SEARCH("Product Manager",C332)),55,70)))</f>
        <v/>
      </c>
      <c r="Z332" s="52">
        <f>IF(C332="","",MIN(100,IF(I332&lt;&gt;"",60,10)+IF(AA332&gt;0,MIN(40,AA332*20),0)))</f>
        <v/>
      </c>
      <c r="AA332" s="52">
        <f>IF(T332="","",ROUND(T332*25%+U332*15%+V332*10%+W332*15%+X332*15%+Y332*10%+Z332*10%,0))</f>
        <v/>
      </c>
      <c r="AB332" s="52">
        <f>IF(AA332="","",IF(X332&lt;50,"Selective / Barrier",IF(AA332&gt;=80,"Tier 1 - Pursue",IF(AA332&gt;=70,"Tier 2 - Pursue",IF(AA332&gt;=60,"Tier 3 - Selective","Do Not Pursue")))))</f>
        <v/>
      </c>
      <c r="AC332" s="52">
        <f>IF(C332="","",IF(I332&lt;&gt;"","Named Contact",IF(AA332&gt;0,"Outreach Logged","Cold")))</f>
        <v/>
      </c>
      <c r="AD332" s="52">
        <f>IF(B332="","",COUNTIF('Outreach Log'!$C:$C,B332))</f>
        <v/>
      </c>
      <c r="AE332" s="52">
        <f>IF(A332="","",IF(OR(K332="Rejected",K332="Closed"),IF(L332&lt;&gt;"",L332-A332,TODAY()-A332),TODAY()-A332))</f>
        <v/>
      </c>
      <c r="AF332" s="52">
        <f>IF(C332="","",IF(AND(AA332&gt;=70,AC332="Cold"),"High-fit but cold",IF(AND(AA332&lt;60,K332="Applied"),"Low-fit application",IF(AND(AA332&gt;=70,OR(AC332="Named Contact",AC332="Outreach Logged")),"Targeted pursuit","Review"))))</f>
        <v/>
      </c>
    </row>
    <row r="333" ht="15" customHeight="1" s="44">
      <c r="A333" s="53" t="n">
        <v>46260</v>
      </c>
      <c r="B333" s="48" t="inlineStr">
        <is>
          <t>Moody's</t>
        </is>
      </c>
      <c r="C333" s="48" t="inlineStr">
        <is>
          <t>Associate Director - Product Manager</t>
        </is>
      </c>
      <c r="D333" s="48" t="n"/>
      <c r="E333" s="48" t="n"/>
      <c r="F333" s="48" t="n"/>
      <c r="G333" s="48" t="n"/>
      <c r="H333" s="48" t="n"/>
      <c r="I333" s="48" t="n"/>
      <c r="J333" s="48" t="n"/>
      <c r="K333" s="55" t="inlineStr">
        <is>
          <t>Applied</t>
        </is>
      </c>
      <c r="L333" s="48" t="n"/>
      <c r="M333" s="48" t="n"/>
      <c r="N333" s="48" t="n"/>
      <c r="O333" s="48" t="n"/>
      <c r="P333" s="51" t="n"/>
      <c r="Q333" s="48" t="n"/>
      <c r="R333" s="48" t="n"/>
      <c r="S333" s="51" t="n"/>
      <c r="T333" s="52">
        <f>IF(G333="","",G333)</f>
        <v/>
      </c>
      <c r="U333" s="52">
        <f>IF(C333="","",IF(OR(ISNUMBER(SEARCH("Director",C333)),ISNUMBER(SEARCH("Lead",C333)),ISNUMBER(SEARCH("Senior",C333)),ISNUMBER(SEARCH("Sr.",C333))),90,IF(OR(ISNUMBER(SEARCH("Manager",C333)),ISNUMBER(SEARCH("Program",C333)),ISNUMBER(SEARCH("Portfolio",C333))),80,60)))</f>
        <v/>
      </c>
      <c r="V333" s="52">
        <f>IF(C333="","",IF(OR(ISNUMBER(SEARCH("AI",C333)),ISNUMBER(SEARCH("Data",C333)),ISNUMBER(SEARCH("Technology",C333)),ISNUMBER(SEARCH("Technical",C333)),ISNUMBER(SEARCH("Engineering",C333)),ISNUMBER(SEARCH("Platform",C333)),ISNUMBER(SEARCH("Portfolio",C333))),85,65))</f>
        <v/>
      </c>
      <c r="W333" s="52">
        <f>IF(C333="","",MIN(100,50+IF(S333&lt;&gt;"",25,0)+IF(R333&lt;&gt;"",15,0)+IF(P333&lt;&gt;"",10,0)))</f>
        <v/>
      </c>
      <c r="X333" s="52">
        <f>IF(E333="","",IF(OR(E333="Canada",E333="CA"),100,IF(OR(E333="United States",E333="USA",E333="US"),IF(J333="Yes",45,75),65)))</f>
        <v/>
      </c>
      <c r="Y333" s="52">
        <f>IF(C333="","",IF(OR(ISNUMBER(SEARCH("Program",C333)),ISNUMBER(SEARCH("Portfolio",C333)),ISNUMBER(SEARCH("Operations",C333)),ISNUMBER(SEARCH("Transformation",C333))),85,IF(ISNUMBER(SEARCH("Product Manager",C333)),55,70)))</f>
        <v/>
      </c>
      <c r="Z333" s="52">
        <f>IF(C333="","",MIN(100,IF(I333&lt;&gt;"",60,10)+IF(AA333&gt;0,MIN(40,AA333*20),0)))</f>
        <v/>
      </c>
      <c r="AA333" s="52">
        <f>IF(T333="","",ROUND(T333*25%+U333*15%+V333*10%+W333*15%+X333*15%+Y333*10%+Z333*10%,0))</f>
        <v/>
      </c>
      <c r="AB333" s="52">
        <f>IF(AA333="","",IF(X333&lt;50,"Selective / Barrier",IF(AA333&gt;=80,"Tier 1 - Pursue",IF(AA333&gt;=70,"Tier 2 - Pursue",IF(AA333&gt;=60,"Tier 3 - Selective","Do Not Pursue")))))</f>
        <v/>
      </c>
      <c r="AC333" s="52">
        <f>IF(C333="","",IF(I333&lt;&gt;"","Named Contact",IF(AA333&gt;0,"Outreach Logged","Cold")))</f>
        <v/>
      </c>
      <c r="AD333" s="52">
        <f>IF(B333="","",COUNTIF('Outreach Log'!$C:$C,B333))</f>
        <v/>
      </c>
      <c r="AE333" s="52">
        <f>IF(A333="","",IF(OR(K333="Rejected",K333="Closed"),IF(L333&lt;&gt;"",L333-A333,TODAY()-A333),TODAY()-A333))</f>
        <v/>
      </c>
      <c r="AF333" s="52">
        <f>IF(C333="","",IF(AND(AA333&gt;=70,AC333="Cold"),"High-fit but cold",IF(AND(AA333&lt;60,K333="Applied"),"Low-fit application",IF(AND(AA333&gt;=70,OR(AC333="Named Contact",AC333="Outreach Logged")),"Targeted pursuit","Review"))))</f>
        <v/>
      </c>
    </row>
    <row r="334" ht="15" customHeight="1" s="44">
      <c r="A334" s="53" t="n">
        <v>46260</v>
      </c>
      <c r="B334" s="48" t="inlineStr">
        <is>
          <t>Parloa</t>
        </is>
      </c>
      <c r="C334" s="48" t="inlineStr">
        <is>
          <t>Sr Technical Program Manager</t>
        </is>
      </c>
      <c r="D334" s="48" t="n"/>
      <c r="E334" s="48" t="n"/>
      <c r="F334" s="48" t="n"/>
      <c r="G334" s="48" t="n"/>
      <c r="H334" s="48" t="n"/>
      <c r="I334" s="48" t="n"/>
      <c r="J334" s="48" t="n"/>
      <c r="K334" s="55" t="inlineStr">
        <is>
          <t>Applied</t>
        </is>
      </c>
      <c r="L334" s="48" t="n"/>
      <c r="M334" s="48" t="n"/>
      <c r="N334" s="48" t="n"/>
      <c r="O334" s="48" t="n"/>
      <c r="P334" s="51" t="n"/>
      <c r="Q334" s="48" t="n"/>
      <c r="R334" s="48" t="n"/>
      <c r="S334" s="51" t="n"/>
      <c r="T334" s="52">
        <f>IF(G334="","",G334)</f>
        <v/>
      </c>
      <c r="U334" s="52">
        <f>IF(C334="","",IF(OR(ISNUMBER(SEARCH("Director",C334)),ISNUMBER(SEARCH("Lead",C334)),ISNUMBER(SEARCH("Senior",C334)),ISNUMBER(SEARCH("Sr.",C334))),90,IF(OR(ISNUMBER(SEARCH("Manager",C334)),ISNUMBER(SEARCH("Program",C334)),ISNUMBER(SEARCH("Portfolio",C334))),80,60)))</f>
        <v/>
      </c>
      <c r="V334" s="52">
        <f>IF(C334="","",IF(OR(ISNUMBER(SEARCH("AI",C334)),ISNUMBER(SEARCH("Data",C334)),ISNUMBER(SEARCH("Technology",C334)),ISNUMBER(SEARCH("Technical",C334)),ISNUMBER(SEARCH("Engineering",C334)),ISNUMBER(SEARCH("Platform",C334)),ISNUMBER(SEARCH("Portfolio",C334))),85,65))</f>
        <v/>
      </c>
      <c r="W334" s="52">
        <f>IF(C334="","",MIN(100,50+IF(S334&lt;&gt;"",25,0)+IF(R334&lt;&gt;"",15,0)+IF(P334&lt;&gt;"",10,0)))</f>
        <v/>
      </c>
      <c r="X334" s="52">
        <f>IF(E334="","",IF(OR(E334="Canada",E334="CA"),100,IF(OR(E334="United States",E334="USA",E334="US"),IF(J334="Yes",45,75),65)))</f>
        <v/>
      </c>
      <c r="Y334" s="52">
        <f>IF(C334="","",IF(OR(ISNUMBER(SEARCH("Program",C334)),ISNUMBER(SEARCH("Portfolio",C334)),ISNUMBER(SEARCH("Operations",C334)),ISNUMBER(SEARCH("Transformation",C334))),85,IF(ISNUMBER(SEARCH("Product Manager",C334)),55,70)))</f>
        <v/>
      </c>
      <c r="Z334" s="52">
        <f>IF(C334="","",MIN(100,IF(I334&lt;&gt;"",60,10)+IF(AA334&gt;0,MIN(40,AA334*20),0)))</f>
        <v/>
      </c>
      <c r="AA334" s="52">
        <f>IF(T334="","",ROUND(T334*25%+U334*15%+V334*10%+W334*15%+X334*15%+Y334*10%+Z334*10%,0))</f>
        <v/>
      </c>
      <c r="AB334" s="52">
        <f>IF(AA334="","",IF(X334&lt;50,"Selective / Barrier",IF(AA334&gt;=80,"Tier 1 - Pursue",IF(AA334&gt;=70,"Tier 2 - Pursue",IF(AA334&gt;=60,"Tier 3 - Selective","Do Not Pursue")))))</f>
        <v/>
      </c>
      <c r="AC334" s="52">
        <f>IF(C334="","",IF(I334&lt;&gt;"","Named Contact",IF(AA334&gt;0,"Outreach Logged","Cold")))</f>
        <v/>
      </c>
      <c r="AD334" s="52">
        <f>IF(B334="","",COUNTIF('Outreach Log'!$C:$C,B334))</f>
        <v/>
      </c>
      <c r="AE334" s="52">
        <f>IF(A334="","",IF(OR(K334="Rejected",K334="Closed"),IF(L334&lt;&gt;"",L334-A334,TODAY()-A334),TODAY()-A334))</f>
        <v/>
      </c>
      <c r="AF334" s="52">
        <f>IF(C334="","",IF(AND(AA334&gt;=70,AC334="Cold"),"High-fit but cold",IF(AND(AA334&lt;60,K334="Applied"),"Low-fit application",IF(AND(AA334&gt;=70,OR(AC334="Named Contact",AC334="Outreach Logged")),"Targeted pursuit","Review"))))</f>
        <v/>
      </c>
    </row>
    <row r="335" ht="15" customHeight="1" s="44">
      <c r="A335" s="53" t="n">
        <v>46261</v>
      </c>
      <c r="B335" s="48" t="inlineStr">
        <is>
          <t>Vector Institute</t>
        </is>
      </c>
      <c r="C335" s="48" t="inlineStr">
        <is>
          <t>Director, AI Engineering Portfolio &amp; Operations</t>
        </is>
      </c>
      <c r="D335" s="48" t="inlineStr">
        <is>
          <t>Director</t>
        </is>
      </c>
      <c r="E335" s="48" t="inlineStr">
        <is>
          <t>Canada</t>
        </is>
      </c>
      <c r="F335" s="48" t="inlineStr">
        <is>
          <t>Toronto</t>
        </is>
      </c>
      <c r="G335" s="48" t="n">
        <v>70</v>
      </c>
      <c r="H335" s="48" t="inlineStr">
        <is>
          <t>Cold Portal (Indeed)</t>
        </is>
      </c>
      <c r="I335" s="48" t="n"/>
      <c r="J335" s="48" t="inlineStr">
        <is>
          <t>No</t>
        </is>
      </c>
      <c r="K335" s="57" t="inlineStr">
        <is>
          <t>Interviewing</t>
        </is>
      </c>
      <c r="L335" s="48" t="n"/>
      <c r="M335" s="48">
        <f>IF(OR(L204="",A204=""),"",L204-A204)</f>
        <v/>
      </c>
      <c r="N335" s="48" t="inlineStr">
        <is>
          <t>URGENT: complete Ribbon.ai AI interview by 11:59 PM ET today (Sept 10)</t>
        </is>
      </c>
      <c r="O335" s="48" t="n"/>
      <c r="P335" s="51" t="inlineStr">
        <is>
          <t>Confirmed via Vector Institute HR (VectorInstitute.hr@adp.com) and Indeed, 2026-08-27. Role: operating leader for AI Engineering team reporting to VP AI Engineering — owns portfolio management, intake/prioritization, capacity planning, financial management, governance, and board-level reporting for a research-to-product AI portfolio; manages a team of TPMs and PMs. FIT SCORE ~70% (strongest fit among recent applications): TCO governance work (1,400-app portfolio, built from scratch) and AI roadmap/vendor evaluation work map almost directly onto the JD's core asks; Price &amp; Pay experience matches 'senior right hand to executive' framing; IBM CIO operating-rhythms work matches governance/delivery-cadence requirement. GAPS: no direct management of TPMs/PMs as individual reports (JD requires this) — addressed head-on, not hidden, in the 'tell us anything else' application question; no AI/ML research-org, public-sector, or grant-funded experience (JD lists as 'asset', not required). Tailored resume built: Resume_ElenaShchetinina_VectorAIEngPortfolio.docx. Drafted honest response to open-ended application question addressing the TPM/PM management gap directly. | ADVANCED 2026-09-08: Vector Institute sent a Ribbon.ai AI-interview link (VectorInstitute.hr@adp.com, subject 'The Vector Institute - Ribbon.ai Interview'). MUST COMPLETE BY 11:59 PM ET THURSDAY 2026-09-10 (TODAY). ~10-15 min, AI interviewer asks questions based on the application/resume, unlimited retries allowed. Link: https://app.ribbon.ai/interview/1bf78f78 . Contact if issues: michelle.dsouza@vectorinstitute.ai</t>
        </is>
      </c>
      <c r="Q335" s="48" t="n"/>
      <c r="R335" s="48" t="n"/>
      <c r="S335" s="51" t="n"/>
      <c r="T335" s="52">
        <f>IF(G335="","",G335)</f>
        <v/>
      </c>
      <c r="U335" s="52">
        <f>IF(C335="","",IF(OR(ISNUMBER(SEARCH("Director",C335)),ISNUMBER(SEARCH("Lead",C335)),ISNUMBER(SEARCH("Senior",C335)),ISNUMBER(SEARCH("Sr.",C335))),90,IF(OR(ISNUMBER(SEARCH("Manager",C335)),ISNUMBER(SEARCH("Program",C335)),ISNUMBER(SEARCH("Portfolio",C335))),80,60)))</f>
        <v/>
      </c>
      <c r="V335" s="52">
        <f>IF(C335="","",IF(OR(ISNUMBER(SEARCH("AI",C335)),ISNUMBER(SEARCH("Data",C335)),ISNUMBER(SEARCH("Technology",C335)),ISNUMBER(SEARCH("Technical",C335)),ISNUMBER(SEARCH("Engineering",C335)),ISNUMBER(SEARCH("Platform",C335)),ISNUMBER(SEARCH("Portfolio",C335))),85,65))</f>
        <v/>
      </c>
      <c r="W335" s="52">
        <f>IF(C335="","",MIN(100,50+IF(S335&lt;&gt;"",25,0)+IF(R335&lt;&gt;"",15,0)+IF(P335&lt;&gt;"",10,0)))</f>
        <v/>
      </c>
      <c r="X335" s="52">
        <f>IF(E335="","",IF(OR(E335="Canada",E335="CA"),100,IF(OR(E335="United States",E335="USA",E335="US"),IF(J335="Yes",45,75),65)))</f>
        <v/>
      </c>
      <c r="Y335" s="52">
        <f>IF(C335="","",IF(OR(ISNUMBER(SEARCH("Program",C335)),ISNUMBER(SEARCH("Portfolio",C335)),ISNUMBER(SEARCH("Operations",C335)),ISNUMBER(SEARCH("Transformation",C335))),85,IF(ISNUMBER(SEARCH("Product Manager",C335)),55,70)))</f>
        <v/>
      </c>
      <c r="Z335" s="52">
        <f>IF(C335="","",MIN(100,IF(I335&lt;&gt;"",60,10)+IF(AA335&gt;0,MIN(40,AA335*20),0)))</f>
        <v/>
      </c>
      <c r="AA335" s="52">
        <f>IF(T335="","",ROUND(T335*25%+U335*15%+V335*10%+W335*15%+X335*15%+Y335*10%+Z335*10%,0))</f>
        <v/>
      </c>
      <c r="AB335" s="52">
        <f>IF(AA335="","",IF(X335&lt;50,"Selective / Barrier",IF(AA335&gt;=80,"Tier 1 - Pursue",IF(AA335&gt;=70,"Tier 2 - Pursue",IF(AA335&gt;=60,"Tier 3 - Selective","Do Not Pursue")))))</f>
        <v/>
      </c>
      <c r="AC335" s="52">
        <f>IF(C335="","",IF(I335&lt;&gt;"","Named Contact",IF(AA335&gt;0,"Outreach Logged","Cold")))</f>
        <v/>
      </c>
      <c r="AD335" s="52">
        <f>IF(B335="","",COUNTIF('Outreach Log'!$C:$C,B335))</f>
        <v/>
      </c>
      <c r="AE335" s="52">
        <f>IF(A335="","",IF(OR(K335="Rejected",K335="Closed"),IF(L335&lt;&gt;"",L335-A335,TODAY()-A335),TODAY()-A335))</f>
        <v/>
      </c>
      <c r="AF335" s="52">
        <f>IF(C335="","",IF(AND(AA335&gt;=70,AC335="Cold"),"High-fit but cold",IF(AND(AA335&lt;60,K335="Applied"),"Low-fit application",IF(AND(AA335&gt;=70,OR(AC335="Named Contact",AC335="Outreach Logged")),"Targeted pursuit","Review"))))</f>
        <v/>
      </c>
    </row>
    <row r="336" ht="15" customHeight="1" s="44">
      <c r="A336" s="53" t="n">
        <v>46261</v>
      </c>
      <c r="B336" s="48" t="inlineStr">
        <is>
          <t>Prenuvo</t>
        </is>
      </c>
      <c r="C336" s="48" t="inlineStr">
        <is>
          <t>Director, Technical Program Management</t>
        </is>
      </c>
      <c r="D336" s="48" t="inlineStr">
        <is>
          <t>Director</t>
        </is>
      </c>
      <c r="E336" s="48" t="inlineStr">
        <is>
          <t>Canada</t>
        </is>
      </c>
      <c r="F336" s="48" t="inlineStr">
        <is>
          <t>Toronto</t>
        </is>
      </c>
      <c r="G336" s="48" t="n">
        <v>60</v>
      </c>
      <c r="H336" s="48" t="inlineStr">
        <is>
          <t>Cold Portal (Indeed)</t>
        </is>
      </c>
      <c r="I336" s="48" t="n"/>
      <c r="J336" s="48" t="inlineStr">
        <is>
          <t>No</t>
        </is>
      </c>
      <c r="K336" s="49" t="inlineStr">
        <is>
          <t>Rejected</t>
        </is>
      </c>
      <c r="L336" s="50" t="n">
        <v>46276</v>
      </c>
      <c r="M336" s="48">
        <f>IF(OR(L205="",A205=""),"",L205-A205)</f>
        <v/>
      </c>
      <c r="N336" s="48" t="n"/>
      <c r="O336" s="48" t="n"/>
      <c r="P336" s="51" t="inlineStr">
        <is>
          <t>Confirmed via Prenuvo (no-reply@prenuvo.com) and Indeed, 2026-08-27. Role: establish and lead the TPM function at Prenuvo (whole-body MRI/preventive health tech) — builder role defining operating model, planning/dependency/risk/launch-readiness disciplines; also personally leads complex cross-functional programs (initial focus: patient retention/longitudinal care across Product, Engineering, Clinical, Operations, Data, Marketing). No visa sponsorship offered/required for this role. FIT SCORE ~60%: strong match on 'building program functions from scratch' (Bell TCO, IBM CIO operating rhythms), hands-on complex program leadership (Price &amp; Pay), and technical fluency (software dev background). GAPS: no confirmed 2+ years directly managing/developing other TPMs as reports (stated requirement, not preference) — same recurring gap as OpenText/Legora Director/Vector; no healthcare/health-tech/regulated-tech experience (preferred, not required); no high-growth/scale-up environment experience (preferred, not required). Tailored resume built: Resume_ElenaShchetinina_PrenuvoDirectorTPM.docx, leading with 'builder' framing throughout. | REJECTED 2026-09-11: Prenuvo (no-reply@prenuvo.com) — "we have now filled the Director, Technical Program Management position... we will not be proceeding with your application."</t>
        </is>
      </c>
      <c r="Q336" s="48" t="n"/>
      <c r="R336" s="48" t="n"/>
      <c r="S336" s="51" t="n"/>
      <c r="T336" s="52">
        <f>IF(G336="","",G336)</f>
        <v/>
      </c>
      <c r="U336" s="52">
        <f>IF(C336="","",IF(OR(ISNUMBER(SEARCH("Director",C336)),ISNUMBER(SEARCH("Lead",C336)),ISNUMBER(SEARCH("Senior",C336)),ISNUMBER(SEARCH("Sr.",C336))),90,IF(OR(ISNUMBER(SEARCH("Manager",C336)),ISNUMBER(SEARCH("Program",C336)),ISNUMBER(SEARCH("Portfolio",C336))),80,60)))</f>
        <v/>
      </c>
      <c r="V336" s="52">
        <f>IF(C336="","",IF(OR(ISNUMBER(SEARCH("AI",C336)),ISNUMBER(SEARCH("Data",C336)),ISNUMBER(SEARCH("Technology",C336)),ISNUMBER(SEARCH("Technical",C336)),ISNUMBER(SEARCH("Engineering",C336)),ISNUMBER(SEARCH("Platform",C336)),ISNUMBER(SEARCH("Portfolio",C336))),85,65))</f>
        <v/>
      </c>
      <c r="W336" s="52">
        <f>IF(C336="","",MIN(100,50+IF(S336&lt;&gt;"",25,0)+IF(R336&lt;&gt;"",15,0)+IF(P336&lt;&gt;"",10,0)))</f>
        <v/>
      </c>
      <c r="X336" s="52">
        <f>IF(E336="","",IF(OR(E336="Canada",E336="CA"),100,IF(OR(E336="United States",E336="USA",E336="US"),IF(J336="Yes",45,75),65)))</f>
        <v/>
      </c>
      <c r="Y336" s="52">
        <f>IF(C336="","",IF(OR(ISNUMBER(SEARCH("Program",C336)),ISNUMBER(SEARCH("Portfolio",C336)),ISNUMBER(SEARCH("Operations",C336)),ISNUMBER(SEARCH("Transformation",C336))),85,IF(ISNUMBER(SEARCH("Product Manager",C336)),55,70)))</f>
        <v/>
      </c>
      <c r="Z336" s="52">
        <f>IF(C336="","",MIN(100,IF(I336&lt;&gt;"",60,10)+IF(AA336&gt;0,MIN(40,AA336*20),0)))</f>
        <v/>
      </c>
      <c r="AA336" s="52">
        <f>IF(T336="","",ROUND(T336*25%+U336*15%+V336*10%+W336*15%+X336*15%+Y336*10%+Z336*10%,0))</f>
        <v/>
      </c>
      <c r="AB336" s="52">
        <f>IF(AA336="","",IF(X336&lt;50,"Selective / Barrier",IF(AA336&gt;=80,"Tier 1 - Pursue",IF(AA336&gt;=70,"Tier 2 - Pursue",IF(AA336&gt;=60,"Tier 3 - Selective","Do Not Pursue")))))</f>
        <v/>
      </c>
      <c r="AC336" s="52">
        <f>IF(C336="","",IF(I336&lt;&gt;"","Named Contact",IF(AA336&gt;0,"Outreach Logged","Cold")))</f>
        <v/>
      </c>
      <c r="AD336" s="52">
        <f>IF(B336="","",COUNTIF('Outreach Log'!$C:$C,B336))</f>
        <v/>
      </c>
      <c r="AE336" s="52">
        <f>IF(A336="","",IF(OR(K336="Rejected",K336="Closed"),IF(L336&lt;&gt;"",L336-A336,TODAY()-A336),TODAY()-A336))</f>
        <v/>
      </c>
      <c r="AF336" s="52">
        <f>IF(C336="","",IF(AND(AA336&gt;=70,AC336="Cold"),"High-fit but cold",IF(AND(AA336&lt;60,K336="Applied"),"Low-fit application",IF(AND(AA336&gt;=70,OR(AC336="Named Contact",AC336="Outreach Logged")),"Targeted pursuit","Review"))))</f>
        <v/>
      </c>
    </row>
    <row r="337" ht="15" customHeight="1" s="44">
      <c r="A337" s="53" t="n">
        <v>46261</v>
      </c>
      <c r="B337" s="48" t="inlineStr">
        <is>
          <t>Martyn Bassett Associates</t>
        </is>
      </c>
      <c r="C337" s="48" t="inlineStr">
        <is>
          <t>Portfolio Product Manager</t>
        </is>
      </c>
      <c r="D337" s="48" t="inlineStr">
        <is>
          <t>Manager</t>
        </is>
      </c>
      <c r="E337" s="48" t="inlineStr">
        <is>
          <t>Canada</t>
        </is>
      </c>
      <c r="F337" s="48" t="inlineStr">
        <is>
          <t>Toronto</t>
        </is>
      </c>
      <c r="G337" s="48" t="n">
        <v>20</v>
      </c>
      <c r="H337" s="48" t="inlineStr">
        <is>
          <t>Recruiter</t>
        </is>
      </c>
      <c r="I337" s="48" t="n"/>
      <c r="J337" s="48" t="inlineStr">
        <is>
          <t>No</t>
        </is>
      </c>
      <c r="K337" s="55" t="inlineStr">
        <is>
          <t>Applied</t>
        </is>
      </c>
      <c r="L337" s="48" t="n"/>
      <c r="M337" s="48">
        <f>IF(OR(L206="",A206=""),"",L206-A206)</f>
        <v/>
      </c>
      <c r="N337" s="48" t="n"/>
      <c r="O337" s="48" t="n"/>
      <c r="P337" s="51" t="inlineStr">
        <is>
          <t>Applied via recruiter/staffing agency Martyn Bassett Associates, 2026-08-27, for Portfolio Product Manager role, Toronto (Hybrid). No JD reviewed yet — fit score and resume not yet assessed. Role: Portfolio Product Manager at a B2B SaaS unicorn (Series C, Toronto hub). Mandate: transform/modernize a portfolio of B2B SaaS products, determine AI applicability per surface, protect churn, act with VP Product-level ownership. Requirements are explicitly founder/founding-PM focused: must have been a founding PM building zero-to-one products, made build decisions (not executed someone else's roadmap), transformed legacy products, high autonomy/low ego, Toronto/GTA based with office flexibility. FIT SCORE ~20% (weak fit): Elena has NO founding-PM or zero-to-one product-building experience — her career is large-enterprise TPM/Portfolio Manager/Product Owner roles (Bell, Amazon, IBM), not startup founder-style product ownership. Her IBM Product Owner stint is the closest match but is roadmap ownership within an existing enterprise structure, not zero-to-one founding work. This is a poor structural fit — flagging for Elena to decide whether to proceed or deprioritize.</t>
        </is>
      </c>
      <c r="Q337" s="48" t="n"/>
      <c r="R337" s="48" t="n"/>
      <c r="S337" s="51" t="n"/>
      <c r="T337" s="52">
        <f>IF(G337="","",G337)</f>
        <v/>
      </c>
      <c r="U337" s="52">
        <f>IF(C337="","",IF(OR(ISNUMBER(SEARCH("Director",C337)),ISNUMBER(SEARCH("Lead",C337)),ISNUMBER(SEARCH("Senior",C337)),ISNUMBER(SEARCH("Sr.",C337))),90,IF(OR(ISNUMBER(SEARCH("Manager",C337)),ISNUMBER(SEARCH("Program",C337)),ISNUMBER(SEARCH("Portfolio",C337))),80,60)))</f>
        <v/>
      </c>
      <c r="V337" s="52">
        <f>IF(C337="","",IF(OR(ISNUMBER(SEARCH("AI",C337)),ISNUMBER(SEARCH("Data",C337)),ISNUMBER(SEARCH("Technology",C337)),ISNUMBER(SEARCH("Technical",C337)),ISNUMBER(SEARCH("Engineering",C337)),ISNUMBER(SEARCH("Platform",C337)),ISNUMBER(SEARCH("Portfolio",C337))),85,65))</f>
        <v/>
      </c>
      <c r="W337" s="52">
        <f>IF(C337="","",MIN(100,50+IF(S337&lt;&gt;"",25,0)+IF(R337&lt;&gt;"",15,0)+IF(P337&lt;&gt;"",10,0)))</f>
        <v/>
      </c>
      <c r="X337" s="52">
        <f>IF(E337="","",IF(OR(E337="Canada",E337="CA"),100,IF(OR(E337="United States",E337="USA",E337="US"),IF(J337="Yes",45,75),65)))</f>
        <v/>
      </c>
      <c r="Y337" s="52">
        <f>IF(C337="","",IF(OR(ISNUMBER(SEARCH("Program",C337)),ISNUMBER(SEARCH("Portfolio",C337)),ISNUMBER(SEARCH("Operations",C337)),ISNUMBER(SEARCH("Transformation",C337))),85,IF(ISNUMBER(SEARCH("Product Manager",C337)),55,70)))</f>
        <v/>
      </c>
      <c r="Z337" s="52">
        <f>IF(C337="","",MIN(100,IF(I337&lt;&gt;"",60,10)+IF(AA337&gt;0,MIN(40,AA337*20),0)))</f>
        <v/>
      </c>
      <c r="AA337" s="52">
        <f>IF(T337="","",ROUND(T337*25%+U337*15%+V337*10%+W337*15%+X337*15%+Y337*10%+Z337*10%,0))</f>
        <v/>
      </c>
      <c r="AB337" s="52">
        <f>IF(AA337="","",IF(X337&lt;50,"Selective / Barrier",IF(AA337&gt;=80,"Tier 1 - Pursue",IF(AA337&gt;=70,"Tier 2 - Pursue",IF(AA337&gt;=60,"Tier 3 - Selective","Do Not Pursue")))))</f>
        <v/>
      </c>
      <c r="AC337" s="52">
        <f>IF(C337="","",IF(I337&lt;&gt;"","Named Contact",IF(AA337&gt;0,"Outreach Logged","Cold")))</f>
        <v/>
      </c>
      <c r="AD337" s="52">
        <f>IF(B337="","",COUNTIF('Outreach Log'!$C:$C,B337))</f>
        <v/>
      </c>
      <c r="AE337" s="52">
        <f>IF(A337="","",IF(OR(K337="Rejected",K337="Closed"),IF(L337&lt;&gt;"",L337-A337,TODAY()-A337),TODAY()-A337))</f>
        <v/>
      </c>
      <c r="AF337" s="52">
        <f>IF(C337="","",IF(AND(AA337&gt;=70,AC337="Cold"),"High-fit but cold",IF(AND(AA337&lt;60,K337="Applied"),"Low-fit application",IF(AND(AA337&gt;=70,OR(AC337="Named Contact",AC337="Outreach Logged")),"Targeted pursuit","Review"))))</f>
        <v/>
      </c>
    </row>
    <row r="338" ht="15" customHeight="1" s="44">
      <c r="A338" s="53" t="n">
        <v>46261</v>
      </c>
      <c r="B338" s="48" t="inlineStr">
        <is>
          <t>Scotiabank</t>
        </is>
      </c>
      <c r="C338" s="48" t="inlineStr">
        <is>
          <t>Senior Delivery Manager, Enterprise Delivery Office (Enterprise Data and AI)</t>
        </is>
      </c>
      <c r="D338" s="48" t="inlineStr">
        <is>
          <t>Senior Manager</t>
        </is>
      </c>
      <c r="E338" s="48" t="inlineStr">
        <is>
          <t>Canada</t>
        </is>
      </c>
      <c r="F338" s="48" t="inlineStr">
        <is>
          <t>Toronto</t>
        </is>
      </c>
      <c r="G338" s="48" t="n">
        <v>85</v>
      </c>
      <c r="H338" s="48" t="inlineStr">
        <is>
          <t>Cold Portal</t>
        </is>
      </c>
      <c r="I338" s="48" t="n"/>
      <c r="J338" s="48" t="inlineStr">
        <is>
          <t>No</t>
        </is>
      </c>
      <c r="K338" s="55" t="inlineStr">
        <is>
          <t>Applied</t>
        </is>
      </c>
      <c r="L338" s="48" t="n"/>
      <c r="M338" s="48">
        <f>IF(OR(L207="",A207=""),"",L207-A207)</f>
        <v/>
      </c>
      <c r="N338" s="48" t="inlineStr">
        <is>
          <t>Confirm location and sponsorship with Elena</t>
        </is>
      </c>
      <c r="O338" s="48" t="n"/>
      <c r="P338" s="51" t="inlineStr">
        <is>
          <t>Confirmed via Scotiabank (me@me.scotiabank.com), 2026-08-27. Role: Senior Delivery Manager, Enterprise Delivery Office (EDO) supporting Director-level leadership on the Enterprise Data and AI portfolio — project delivery, RAID logs/dependency tracking, risk/issue escalation, Director/VP-level status reporting, financial/vendor spend tracking, Agile/hybrid/waterfall delivery, coaching PMs/analysts. FIT SCORE 85% (one of the strongest matches to date): Bell TCO governance work (1,400-app portfolio, built from scratch) and AI roadmap/vendor evaluation map almost directly onto the JD's Data &amp; AI portfolio scope; Price &amp; Pay maps to Director/VP-level decision-ready reporting; IBM CIO risk logs/intake processes map to RAID/governance maturity work. Minor gaps (both 'preferred' not required in JD): no financial-services industry experience (regulated-industry experience is health-agency, not banking); no PMP/ACP certification (has SAFe certifications instead). Tailored resume built: Resume_ElenaShchetinina_ScotiabankSrDeliveryManager.docx.</t>
        </is>
      </c>
      <c r="Q338" s="48" t="n"/>
      <c r="R338" s="48" t="n"/>
      <c r="S338" s="51" t="n"/>
      <c r="T338" s="52">
        <f>IF(G338="","",G338)</f>
        <v/>
      </c>
      <c r="U338" s="52">
        <f>IF(C338="","",IF(OR(ISNUMBER(SEARCH("Director",C338)),ISNUMBER(SEARCH("Lead",C338)),ISNUMBER(SEARCH("Senior",C338)),ISNUMBER(SEARCH("Sr.",C338))),90,IF(OR(ISNUMBER(SEARCH("Manager",C338)),ISNUMBER(SEARCH("Program",C338)),ISNUMBER(SEARCH("Portfolio",C338))),80,60)))</f>
        <v/>
      </c>
      <c r="V338" s="52">
        <f>IF(C338="","",IF(OR(ISNUMBER(SEARCH("AI",C338)),ISNUMBER(SEARCH("Data",C338)),ISNUMBER(SEARCH("Technology",C338)),ISNUMBER(SEARCH("Technical",C338)),ISNUMBER(SEARCH("Engineering",C338)),ISNUMBER(SEARCH("Platform",C338)),ISNUMBER(SEARCH("Portfolio",C338))),85,65))</f>
        <v/>
      </c>
      <c r="W338" s="52">
        <f>IF(C338="","",MIN(100,50+IF(S338&lt;&gt;"",25,0)+IF(R338&lt;&gt;"",15,0)+IF(P338&lt;&gt;"",10,0)))</f>
        <v/>
      </c>
      <c r="X338" s="52">
        <f>IF(E338="","",IF(OR(E338="Canada",E338="CA"),100,IF(OR(E338="United States",E338="USA",E338="US"),IF(J338="Yes",45,75),65)))</f>
        <v/>
      </c>
      <c r="Y338" s="52">
        <f>IF(C338="","",IF(OR(ISNUMBER(SEARCH("Program",C338)),ISNUMBER(SEARCH("Portfolio",C338)),ISNUMBER(SEARCH("Operations",C338)),ISNUMBER(SEARCH("Transformation",C338))),85,IF(ISNUMBER(SEARCH("Product Manager",C338)),55,70)))</f>
        <v/>
      </c>
      <c r="Z338" s="52">
        <f>IF(C338="","",MIN(100,IF(I338&lt;&gt;"",60,10)+IF(AA338&gt;0,MIN(40,AA338*20),0)))</f>
        <v/>
      </c>
      <c r="AA338" s="52">
        <f>IF(T338="","",ROUND(T338*25%+U338*15%+V338*10%+W338*15%+X338*15%+Y338*10%+Z338*10%,0))</f>
        <v/>
      </c>
      <c r="AB338" s="52">
        <f>IF(AA338="","",IF(X338&lt;50,"Selective / Barrier",IF(AA338&gt;=80,"Tier 1 - Pursue",IF(AA338&gt;=70,"Tier 2 - Pursue",IF(AA338&gt;=60,"Tier 3 - Selective","Do Not Pursue")))))</f>
        <v/>
      </c>
      <c r="AC338" s="52">
        <f>IF(C338="","",IF(I338&lt;&gt;"","Named Contact",IF(AA338&gt;0,"Outreach Logged","Cold")))</f>
        <v/>
      </c>
      <c r="AD338" s="52">
        <f>IF(B338="","",COUNTIF('Outreach Log'!$C:$C,B338))</f>
        <v/>
      </c>
      <c r="AE338" s="52">
        <f>IF(A338="","",IF(OR(K338="Rejected",K338="Closed"),IF(L338&lt;&gt;"",L338-A338,TODAY()-A338),TODAY()-A338))</f>
        <v/>
      </c>
      <c r="AF338" s="52">
        <f>IF(C338="","",IF(AND(AA338&gt;=70,AC338="Cold"),"High-fit but cold",IF(AND(AA338&lt;60,K338="Applied"),"Low-fit application",IF(AND(AA338&gt;=70,OR(AC338="Named Contact",AC338="Outreach Logged")),"Targeted pursuit","Review"))))</f>
        <v/>
      </c>
    </row>
    <row r="339" ht="15" customHeight="1" s="44">
      <c r="A339" s="53" t="n">
        <v>46261</v>
      </c>
      <c r="B339" s="48" t="inlineStr">
        <is>
          <t>lululemon</t>
        </is>
      </c>
      <c r="C339" s="48" t="inlineStr">
        <is>
          <t>Technology Director, Program and Product Management, Enterprise Data and AI</t>
        </is>
      </c>
      <c r="D339" s="48" t="inlineStr">
        <is>
          <t>Director</t>
        </is>
      </c>
      <c r="E339" s="48" t="inlineStr">
        <is>
          <t>Canada</t>
        </is>
      </c>
      <c r="F339" s="48" t="inlineStr">
        <is>
          <t>Toronto</t>
        </is>
      </c>
      <c r="G339" s="48" t="n">
        <v>55</v>
      </c>
      <c r="H339" s="48" t="inlineStr">
        <is>
          <t>Cold Portal</t>
        </is>
      </c>
      <c r="I339" s="48" t="n"/>
      <c r="J339" s="48" t="inlineStr">
        <is>
          <t>No</t>
        </is>
      </c>
      <c r="K339" s="55" t="inlineStr">
        <is>
          <t>Applied</t>
        </is>
      </c>
      <c r="L339" s="48" t="n"/>
      <c r="M339" s="48">
        <f>IF(OR(L208="",A208=""),"",L208-A208)</f>
        <v/>
      </c>
      <c r="N339" s="48" t="inlineStr">
        <is>
          <t>Confirm location and sponsorship with Elena</t>
        </is>
      </c>
      <c r="O339" s="48" t="n"/>
      <c r="P339" s="51" t="inlineStr">
        <is>
          <t>Confirmed via lululemon Careers (noreply-careers@lululemon.com), 2026-08-27. Role: Director, Product &amp; Program Management for Enterprise Data &amp; AI — owns portfolio strategy, operating rhythms (planning, governance, reporting), cross-functional dependency/risk management, AI innovation/PoC processes, strategic technology partnerships; builds and leads a global technical Product &amp; Program Management organization. FIT SCORE 55%: strong thematic/technical match on AI/data portfolio governance (Bell TCO, AI roadmap ownership, vendor evaluation) and requirements/backlog management (IBM Product Owner). GAPS: no confirmed history building/leading a global PM/TPM organization as direct reports (JD's core org-building ask, same recurring pattern as OpenText/Legora Director/Vector/Prenuvo); no retail or vertically-integrated consumer retail experience; no confirmed global team scope. Tailored resume built: Resume_ElenaShchetinina_LululemonDirectorPPM.docx.</t>
        </is>
      </c>
      <c r="Q339" s="48" t="n"/>
      <c r="R339" s="48" t="n"/>
      <c r="S339" s="51" t="n"/>
      <c r="T339" s="52">
        <f>IF(G339="","",G339)</f>
        <v/>
      </c>
      <c r="U339" s="52">
        <f>IF(C339="","",IF(OR(ISNUMBER(SEARCH("Director",C339)),ISNUMBER(SEARCH("Lead",C339)),ISNUMBER(SEARCH("Senior",C339)),ISNUMBER(SEARCH("Sr.",C339))),90,IF(OR(ISNUMBER(SEARCH("Manager",C339)),ISNUMBER(SEARCH("Program",C339)),ISNUMBER(SEARCH("Portfolio",C339))),80,60)))</f>
        <v/>
      </c>
      <c r="V339" s="52">
        <f>IF(C339="","",IF(OR(ISNUMBER(SEARCH("AI",C339)),ISNUMBER(SEARCH("Data",C339)),ISNUMBER(SEARCH("Technology",C339)),ISNUMBER(SEARCH("Technical",C339)),ISNUMBER(SEARCH("Engineering",C339)),ISNUMBER(SEARCH("Platform",C339)),ISNUMBER(SEARCH("Portfolio",C339))),85,65))</f>
        <v/>
      </c>
      <c r="W339" s="52">
        <f>IF(C339="","",MIN(100,50+IF(S339&lt;&gt;"",25,0)+IF(R339&lt;&gt;"",15,0)+IF(P339&lt;&gt;"",10,0)))</f>
        <v/>
      </c>
      <c r="X339" s="52">
        <f>IF(E339="","",IF(OR(E339="Canada",E339="CA"),100,IF(OR(E339="United States",E339="USA",E339="US"),IF(J339="Yes",45,75),65)))</f>
        <v/>
      </c>
      <c r="Y339" s="52">
        <f>IF(C339="","",IF(OR(ISNUMBER(SEARCH("Program",C339)),ISNUMBER(SEARCH("Portfolio",C339)),ISNUMBER(SEARCH("Operations",C339)),ISNUMBER(SEARCH("Transformation",C339))),85,IF(ISNUMBER(SEARCH("Product Manager",C339)),55,70)))</f>
        <v/>
      </c>
      <c r="Z339" s="52">
        <f>IF(C339="","",MIN(100,IF(I339&lt;&gt;"",60,10)+IF(AA339&gt;0,MIN(40,AA339*20),0)))</f>
        <v/>
      </c>
      <c r="AA339" s="52">
        <f>IF(T339="","",ROUND(T339*25%+U339*15%+V339*10%+W339*15%+X339*15%+Y339*10%+Z339*10%,0))</f>
        <v/>
      </c>
      <c r="AB339" s="52">
        <f>IF(AA339="","",IF(X339&lt;50,"Selective / Barrier",IF(AA339&gt;=80,"Tier 1 - Pursue",IF(AA339&gt;=70,"Tier 2 - Pursue",IF(AA339&gt;=60,"Tier 3 - Selective","Do Not Pursue")))))</f>
        <v/>
      </c>
      <c r="AC339" s="52">
        <f>IF(C339="","",IF(I339&lt;&gt;"","Named Contact",IF(AA339&gt;0,"Outreach Logged","Cold")))</f>
        <v/>
      </c>
      <c r="AD339" s="52">
        <f>IF(B339="","",COUNTIF('Outreach Log'!$C:$C,B339))</f>
        <v/>
      </c>
      <c r="AE339" s="52">
        <f>IF(A339="","",IF(OR(K339="Rejected",K339="Closed"),IF(L339&lt;&gt;"",L339-A339,TODAY()-A339),TODAY()-A339))</f>
        <v/>
      </c>
      <c r="AF339" s="52">
        <f>IF(C339="","",IF(AND(AA339&gt;=70,AC339="Cold"),"High-fit but cold",IF(AND(AA339&lt;60,K339="Applied"),"Low-fit application",IF(AND(AA339&gt;=70,OR(AC339="Named Contact",AC339="Outreach Logged")),"Targeted pursuit","Review"))))</f>
        <v/>
      </c>
    </row>
    <row r="340" ht="15" customHeight="1" s="44">
      <c r="A340" s="53" t="n">
        <v>46261</v>
      </c>
      <c r="B340" s="48" t="inlineStr">
        <is>
          <t>Randstad Digital</t>
        </is>
      </c>
      <c r="C340" s="48" t="inlineStr">
        <is>
          <t>Portfolio Manager</t>
        </is>
      </c>
      <c r="D340" s="48" t="inlineStr">
        <is>
          <t>Manager</t>
        </is>
      </c>
      <c r="E340" s="48" t="inlineStr">
        <is>
          <t>Canada</t>
        </is>
      </c>
      <c r="F340" s="48" t="inlineStr">
        <is>
          <t>Toronto</t>
        </is>
      </c>
      <c r="G340" s="48" t="n">
        <v>40</v>
      </c>
      <c r="H340" s="48" t="inlineStr">
        <is>
          <t>Cold Portal (LinkedIn)</t>
        </is>
      </c>
      <c r="I340" s="48" t="n"/>
      <c r="J340" s="48" t="inlineStr">
        <is>
          <t>No</t>
        </is>
      </c>
      <c r="K340" s="55" t="inlineStr">
        <is>
          <t>Applied</t>
        </is>
      </c>
      <c r="L340" s="48" t="n"/>
      <c r="M340" s="48">
        <f>IF(OR(L209="",A209=""),"",L209-A209)</f>
        <v/>
      </c>
      <c r="N340" s="48" t="n"/>
      <c r="O340" s="48" t="n"/>
      <c r="P340" s="51" t="inlineStr">
        <is>
          <t>Applied via LinkedIn, confirmed via LinkedIn Application status page (submitted ~16 hours before screenshot taken 2026-08-28 2:32pm ET). Promoted listing, actively reviewing applicants, 98 applicants, Hybrid, Full-time. No JD reviewed yet - fit score and tailored resume not yet assessed. Role clarified: client is a global agriculture/manufacturing/commercial company undergoing digital transformation; two Portfolio Manager openings (Data &amp; Analytics ~$20M budget, or Infrastructure/Engineering/Operations ~$100M budget) via Randstad Digital staffing. FIT SCORE 40%: strong thematic match on portfolio strategy/financials, vendor/contract governance, and executive stakeholder reporting (Bell TCO, Price &amp; Pay). Two explicit MUST-HAVE gaps: (1) 5+ years direct people management experience - Elena's leadership has been cross-functional program leadership, not sustained direct reports; (2) proven management of a portfolio budget at the $20M+/$100M+ scale specifically - no confirmed dollar figure at this scale in her history. Not fabricated on resume.</t>
        </is>
      </c>
      <c r="Q340" s="48" t="n"/>
      <c r="R340" s="48" t="n"/>
      <c r="S340" s="51" t="n"/>
      <c r="T340" s="52">
        <f>IF(G340="","",G340)</f>
        <v/>
      </c>
      <c r="U340" s="52">
        <f>IF(C340="","",IF(OR(ISNUMBER(SEARCH("Director",C340)),ISNUMBER(SEARCH("Lead",C340)),ISNUMBER(SEARCH("Senior",C340)),ISNUMBER(SEARCH("Sr.",C340))),90,IF(OR(ISNUMBER(SEARCH("Manager",C340)),ISNUMBER(SEARCH("Program",C340)),ISNUMBER(SEARCH("Portfolio",C340))),80,60)))</f>
        <v/>
      </c>
      <c r="V340" s="52">
        <f>IF(C340="","",IF(OR(ISNUMBER(SEARCH("AI",C340)),ISNUMBER(SEARCH("Data",C340)),ISNUMBER(SEARCH("Technology",C340)),ISNUMBER(SEARCH("Technical",C340)),ISNUMBER(SEARCH("Engineering",C340)),ISNUMBER(SEARCH("Platform",C340)),ISNUMBER(SEARCH("Portfolio",C340))),85,65))</f>
        <v/>
      </c>
      <c r="W340" s="52">
        <f>IF(C340="","",MIN(100,50+IF(S340&lt;&gt;"",25,0)+IF(R340&lt;&gt;"",15,0)+IF(P340&lt;&gt;"",10,0)))</f>
        <v/>
      </c>
      <c r="X340" s="52">
        <f>IF(E340="","",IF(OR(E340="Canada",E340="CA"),100,IF(OR(E340="United States",E340="USA",E340="US"),IF(J340="Yes",45,75),65)))</f>
        <v/>
      </c>
      <c r="Y340" s="52">
        <f>IF(C340="","",IF(OR(ISNUMBER(SEARCH("Program",C340)),ISNUMBER(SEARCH("Portfolio",C340)),ISNUMBER(SEARCH("Operations",C340)),ISNUMBER(SEARCH("Transformation",C340))),85,IF(ISNUMBER(SEARCH("Product Manager",C340)),55,70)))</f>
        <v/>
      </c>
      <c r="Z340" s="52">
        <f>IF(C340="","",MIN(100,IF(I340&lt;&gt;"",60,10)+IF(AA340&gt;0,MIN(40,AA340*20),0)))</f>
        <v/>
      </c>
      <c r="AA340" s="52">
        <f>IF(T340="","",ROUND(T340*25%+U340*15%+V340*10%+W340*15%+X340*15%+Y340*10%+Z340*10%,0))</f>
        <v/>
      </c>
      <c r="AB340" s="52">
        <f>IF(AA340="","",IF(X340&lt;50,"Selective / Barrier",IF(AA340&gt;=80,"Tier 1 - Pursue",IF(AA340&gt;=70,"Tier 2 - Pursue",IF(AA340&gt;=60,"Tier 3 - Selective","Do Not Pursue")))))</f>
        <v/>
      </c>
      <c r="AC340" s="52">
        <f>IF(C340="","",IF(I340&lt;&gt;"","Named Contact",IF(AA340&gt;0,"Outreach Logged","Cold")))</f>
        <v/>
      </c>
      <c r="AD340" s="52">
        <f>IF(B340="","",COUNTIF('Outreach Log'!$C:$C,B340))</f>
        <v/>
      </c>
      <c r="AE340" s="52">
        <f>IF(A340="","",IF(OR(K340="Rejected",K340="Closed"),IF(L340&lt;&gt;"",L340-A340,TODAY()-A340),TODAY()-A340))</f>
        <v/>
      </c>
      <c r="AF340" s="52">
        <f>IF(C340="","",IF(AND(AA340&gt;=70,AC340="Cold"),"High-fit but cold",IF(AND(AA340&lt;60,K340="Applied"),"Low-fit application",IF(AND(AA340&gt;=70,OR(AC340="Named Contact",AC340="Outreach Logged")),"Targeted pursuit","Review"))))</f>
        <v/>
      </c>
    </row>
    <row r="341" ht="15" customHeight="1" s="44">
      <c r="A341" s="53" t="n">
        <v>46261</v>
      </c>
      <c r="B341" s="48" t="inlineStr">
        <is>
          <t>Scotiabank</t>
        </is>
      </c>
      <c r="C341" s="48" t="inlineStr">
        <is>
          <t>Senior Delivery Manager, Enterprise Data and AI</t>
        </is>
      </c>
      <c r="D341" s="48" t="n"/>
      <c r="E341" s="48" t="n"/>
      <c r="F341" s="48" t="n"/>
      <c r="G341" s="48" t="n"/>
      <c r="H341" s="48" t="n"/>
      <c r="I341" s="48" t="n"/>
      <c r="J341" s="48" t="n"/>
      <c r="K341" s="55" t="inlineStr">
        <is>
          <t>Applied</t>
        </is>
      </c>
      <c r="L341" s="48" t="n"/>
      <c r="M341" s="48" t="n"/>
      <c r="N341" s="48" t="n"/>
      <c r="O341" s="48" t="n"/>
      <c r="P341" s="51" t="n"/>
      <c r="Q341" s="48" t="n"/>
      <c r="R341" s="48" t="n"/>
      <c r="S341" s="51" t="n"/>
      <c r="T341" s="52">
        <f>IF(G341="","",G341)</f>
        <v/>
      </c>
      <c r="U341" s="52">
        <f>IF(C341="","",IF(OR(ISNUMBER(SEARCH("Director",C341)),ISNUMBER(SEARCH("Lead",C341)),ISNUMBER(SEARCH("Senior",C341)),ISNUMBER(SEARCH("Sr.",C341))),90,IF(OR(ISNUMBER(SEARCH("Manager",C341)),ISNUMBER(SEARCH("Program",C341)),ISNUMBER(SEARCH("Portfolio",C341))),80,60)))</f>
        <v/>
      </c>
      <c r="V341" s="52">
        <f>IF(C341="","",IF(OR(ISNUMBER(SEARCH("AI",C341)),ISNUMBER(SEARCH("Data",C341)),ISNUMBER(SEARCH("Technology",C341)),ISNUMBER(SEARCH("Technical",C341)),ISNUMBER(SEARCH("Engineering",C341)),ISNUMBER(SEARCH("Platform",C341)),ISNUMBER(SEARCH("Portfolio",C341))),85,65))</f>
        <v/>
      </c>
      <c r="W341" s="52">
        <f>IF(C341="","",MIN(100,50+IF(S341&lt;&gt;"",25,0)+IF(R341&lt;&gt;"",15,0)+IF(P341&lt;&gt;"",10,0)))</f>
        <v/>
      </c>
      <c r="X341" s="52">
        <f>IF(E341="","",IF(OR(E341="Canada",E341="CA"),100,IF(OR(E341="United States",E341="USA",E341="US"),IF(J341="Yes",45,75),65)))</f>
        <v/>
      </c>
      <c r="Y341" s="52">
        <f>IF(C341="","",IF(OR(ISNUMBER(SEARCH("Program",C341)),ISNUMBER(SEARCH("Portfolio",C341)),ISNUMBER(SEARCH("Operations",C341)),ISNUMBER(SEARCH("Transformation",C341))),85,IF(ISNUMBER(SEARCH("Product Manager",C341)),55,70)))</f>
        <v/>
      </c>
      <c r="Z341" s="52">
        <f>IF(C341="","",MIN(100,IF(I341&lt;&gt;"",60,10)+IF(AA341&gt;0,MIN(40,AA341*20),0)))</f>
        <v/>
      </c>
      <c r="AA341" s="52">
        <f>IF(T341="","",ROUND(T341*25%+U341*15%+V341*10%+W341*15%+X341*15%+Y341*10%+Z341*10%,0))</f>
        <v/>
      </c>
      <c r="AB341" s="52">
        <f>IF(AA341="","",IF(X341&lt;50,"Selective / Barrier",IF(AA341&gt;=80,"Tier 1 - Pursue",IF(AA341&gt;=70,"Tier 2 - Pursue",IF(AA341&gt;=60,"Tier 3 - Selective","Do Not Pursue")))))</f>
        <v/>
      </c>
      <c r="AC341" s="52">
        <f>IF(C341="","",IF(I341&lt;&gt;"","Named Contact",IF(AA341&gt;0,"Outreach Logged","Cold")))</f>
        <v/>
      </c>
      <c r="AD341" s="52">
        <f>IF(B341="","",COUNTIF('Outreach Log'!$C:$C,B341))</f>
        <v/>
      </c>
      <c r="AE341" s="52">
        <f>IF(A341="","",IF(OR(K341="Rejected",K341="Closed"),IF(L341&lt;&gt;"",L341-A341,TODAY()-A341),TODAY()-A341))</f>
        <v/>
      </c>
      <c r="AF341" s="52">
        <f>IF(C341="","",IF(AND(AA341&gt;=70,AC341="Cold"),"High-fit but cold",IF(AND(AA341&lt;60,K341="Applied"),"Low-fit application",IF(AND(AA341&gt;=70,OR(AC341="Named Contact",AC341="Outreach Logged")),"Targeted pursuit","Review"))))</f>
        <v/>
      </c>
    </row>
    <row r="342" ht="15" customHeight="1" s="44">
      <c r="A342" s="53" t="n">
        <v>46261</v>
      </c>
      <c r="B342" s="48" t="inlineStr">
        <is>
          <t>OpenText</t>
        </is>
      </c>
      <c r="C342" s="48" t="inlineStr">
        <is>
          <t>(role unspecified)</t>
        </is>
      </c>
      <c r="D342" s="48" t="n"/>
      <c r="E342" s="48" t="n"/>
      <c r="F342" s="48" t="n"/>
      <c r="G342" s="48" t="n"/>
      <c r="H342" s="48" t="n"/>
      <c r="I342" s="48" t="n"/>
      <c r="J342" s="48" t="n"/>
      <c r="K342" s="55" t="inlineStr">
        <is>
          <t>Applied</t>
        </is>
      </c>
      <c r="L342" s="48" t="n"/>
      <c r="M342" s="48" t="n"/>
      <c r="N342" s="48" t="n"/>
      <c r="O342" s="48" t="n"/>
      <c r="P342" s="51" t="inlineStr">
        <is>
          <t>Initial confirmation</t>
        </is>
      </c>
      <c r="Q342" s="48" t="n"/>
      <c r="R342" s="48" t="n"/>
      <c r="S342" s="51" t="n"/>
      <c r="T342" s="52">
        <f>IF(G342="","",G342)</f>
        <v/>
      </c>
      <c r="U342" s="52">
        <f>IF(C342="","",IF(OR(ISNUMBER(SEARCH("Director",C342)),ISNUMBER(SEARCH("Lead",C342)),ISNUMBER(SEARCH("Senior",C342)),ISNUMBER(SEARCH("Sr.",C342))),90,IF(OR(ISNUMBER(SEARCH("Manager",C342)),ISNUMBER(SEARCH("Program",C342)),ISNUMBER(SEARCH("Portfolio",C342))),80,60)))</f>
        <v/>
      </c>
      <c r="V342" s="52">
        <f>IF(C342="","",IF(OR(ISNUMBER(SEARCH("AI",C342)),ISNUMBER(SEARCH("Data",C342)),ISNUMBER(SEARCH("Technology",C342)),ISNUMBER(SEARCH("Technical",C342)),ISNUMBER(SEARCH("Engineering",C342)),ISNUMBER(SEARCH("Platform",C342)),ISNUMBER(SEARCH("Portfolio",C342))),85,65))</f>
        <v/>
      </c>
      <c r="W342" s="52">
        <f>IF(C342="","",MIN(100,50+IF(S342&lt;&gt;"",25,0)+IF(R342&lt;&gt;"",15,0)+IF(P342&lt;&gt;"",10,0)))</f>
        <v/>
      </c>
      <c r="X342" s="52">
        <f>IF(E342="","",IF(OR(E342="Canada",E342="CA"),100,IF(OR(E342="United States",E342="USA",E342="US"),IF(J342="Yes",45,75),65)))</f>
        <v/>
      </c>
      <c r="Y342" s="52">
        <f>IF(C342="","",IF(OR(ISNUMBER(SEARCH("Program",C342)),ISNUMBER(SEARCH("Portfolio",C342)),ISNUMBER(SEARCH("Operations",C342)),ISNUMBER(SEARCH("Transformation",C342))),85,IF(ISNUMBER(SEARCH("Product Manager",C342)),55,70)))</f>
        <v/>
      </c>
      <c r="Z342" s="52">
        <f>IF(C342="","",MIN(100,IF(I342&lt;&gt;"",60,10)+IF(AA342&gt;0,MIN(40,AA342*20),0)))</f>
        <v/>
      </c>
      <c r="AA342" s="52">
        <f>IF(T342="","",ROUND(T342*25%+U342*15%+V342*10%+W342*15%+X342*15%+Y342*10%+Z342*10%,0))</f>
        <v/>
      </c>
      <c r="AB342" s="52">
        <f>IF(AA342="","",IF(X342&lt;50,"Selective / Barrier",IF(AA342&gt;=80,"Tier 1 - Pursue",IF(AA342&gt;=70,"Tier 2 - Pursue",IF(AA342&gt;=60,"Tier 3 - Selective","Do Not Pursue")))))</f>
        <v/>
      </c>
      <c r="AC342" s="52">
        <f>IF(C342="","",IF(I342&lt;&gt;"","Named Contact",IF(AA342&gt;0,"Outreach Logged","Cold")))</f>
        <v/>
      </c>
      <c r="AD342" s="52">
        <f>IF(B342="","",COUNTIF('Outreach Log'!$C:$C,B342))</f>
        <v/>
      </c>
      <c r="AE342" s="52">
        <f>IF(A342="","",IF(OR(K342="Rejected",K342="Closed"),IF(L342&lt;&gt;"",L342-A342,TODAY()-A342),TODAY()-A342))</f>
        <v/>
      </c>
      <c r="AF342" s="52">
        <f>IF(C342="","",IF(AND(AA342&gt;=70,AC342="Cold"),"High-fit but cold",IF(AND(AA342&lt;60,K342="Applied"),"Low-fit application",IF(AND(AA342&gt;=70,OR(AC342="Named Contact",AC342="Outreach Logged")),"Targeted pursuit","Review"))))</f>
        <v/>
      </c>
    </row>
    <row r="343" ht="15" customHeight="1" s="44">
      <c r="A343" s="53" t="n">
        <v>46262</v>
      </c>
      <c r="B343" s="48" t="inlineStr">
        <is>
          <t>eBay</t>
        </is>
      </c>
      <c r="C343" s="48" t="inlineStr">
        <is>
          <t>Program Manager (PMO), FC Acceleration (Domain Integration)</t>
        </is>
      </c>
      <c r="D343" s="48" t="inlineStr">
        <is>
          <t>Program Manager</t>
        </is>
      </c>
      <c r="E343" s="48" t="inlineStr">
        <is>
          <t>Canada</t>
        </is>
      </c>
      <c r="F343" s="48" t="inlineStr">
        <is>
          <t>Toronto</t>
        </is>
      </c>
      <c r="G343" s="48" t="n">
        <v>80</v>
      </c>
      <c r="H343" s="48" t="inlineStr">
        <is>
          <t>Cold Portal</t>
        </is>
      </c>
      <c r="I343" s="48" t="inlineStr">
        <is>
          <t>Lani (Bettis) Melo (Hiring Manager, LinkedIn outreach sent)</t>
        </is>
      </c>
      <c r="J343" s="48" t="inlineStr">
        <is>
          <t>No</t>
        </is>
      </c>
      <c r="K343" s="55" t="inlineStr">
        <is>
          <t>Applied</t>
        </is>
      </c>
      <c r="L343" s="48" t="n"/>
      <c r="M343" s="48">
        <f>IF(OR(L210="",A210=""),"",L210-A210)</f>
        <v/>
      </c>
      <c r="N343" s="48" t="inlineStr">
        <is>
          <t>Follow up with Lani Melo on LinkedIn</t>
        </is>
      </c>
      <c r="O343" s="48" t="n"/>
      <c r="P343" s="51" t="inlineStr">
        <is>
          <t>Role: Program Manager (PMO) of FC Acceleration (Domain Integration) supporting the Global Focus Categories team at eBay (multi-billion dollar portfolio: Fashion, Collectibles, Vehicles, Parts &amp; Accessories). End-to-end program execution, technical roadmaps, integration decisions, risk/program health monitoring, governance frameworks, stakeholder trust. FIT SCORE 80% (strong match, no material gaps identified): Bell TCO governance work and Amazon multi-program execution map directly onto the JD; software dev foundation supports technical roadmap/integration requirement; Airtable/JIRA/Confluence already in toolset; Toronto-based hybrid matches location. Tailored resume built: Resume_ElenaShchetinina_eBayPMOFCAcceleration.docx. LinkedIn outreach sent to Lani (Bettis) Melo, hiring manager, re: interest in the role. No confirmation email received for this application - logged based on Elena's confirmation that it was submitted.</t>
        </is>
      </c>
      <c r="Q343" s="48" t="n"/>
      <c r="R343" s="48" t="n"/>
      <c r="S343" s="51" t="n"/>
      <c r="T343" s="52">
        <f>IF(G343="","",G343)</f>
        <v/>
      </c>
      <c r="U343" s="52">
        <f>IF(C343="","",IF(OR(ISNUMBER(SEARCH("Director",C343)),ISNUMBER(SEARCH("Lead",C343)),ISNUMBER(SEARCH("Senior",C343)),ISNUMBER(SEARCH("Sr.",C343))),90,IF(OR(ISNUMBER(SEARCH("Manager",C343)),ISNUMBER(SEARCH("Program",C343)),ISNUMBER(SEARCH("Portfolio",C343))),80,60)))</f>
        <v/>
      </c>
      <c r="V343" s="52">
        <f>IF(C343="","",IF(OR(ISNUMBER(SEARCH("AI",C343)),ISNUMBER(SEARCH("Data",C343)),ISNUMBER(SEARCH("Technology",C343)),ISNUMBER(SEARCH("Technical",C343)),ISNUMBER(SEARCH("Engineering",C343)),ISNUMBER(SEARCH("Platform",C343)),ISNUMBER(SEARCH("Portfolio",C343))),85,65))</f>
        <v/>
      </c>
      <c r="W343" s="52">
        <f>IF(C343="","",MIN(100,50+IF(S343&lt;&gt;"",25,0)+IF(R343&lt;&gt;"",15,0)+IF(P343&lt;&gt;"",10,0)))</f>
        <v/>
      </c>
      <c r="X343" s="52">
        <f>IF(E343="","",IF(OR(E343="Canada",E343="CA"),100,IF(OR(E343="United States",E343="USA",E343="US"),IF(J343="Yes",45,75),65)))</f>
        <v/>
      </c>
      <c r="Y343" s="52">
        <f>IF(C343="","",IF(OR(ISNUMBER(SEARCH("Program",C343)),ISNUMBER(SEARCH("Portfolio",C343)),ISNUMBER(SEARCH("Operations",C343)),ISNUMBER(SEARCH("Transformation",C343))),85,IF(ISNUMBER(SEARCH("Product Manager",C343)),55,70)))</f>
        <v/>
      </c>
      <c r="Z343" s="52">
        <f>IF(C343="","",MIN(100,IF(I343&lt;&gt;"",60,10)+IF(AA343&gt;0,MIN(40,AA343*20),0)))</f>
        <v/>
      </c>
      <c r="AA343" s="52">
        <f>IF(T343="","",ROUND(T343*25%+U343*15%+V343*10%+W343*15%+X343*15%+Y343*10%+Z343*10%,0))</f>
        <v/>
      </c>
      <c r="AB343" s="52">
        <f>IF(AA343="","",IF(X343&lt;50,"Selective / Barrier",IF(AA343&gt;=80,"Tier 1 - Pursue",IF(AA343&gt;=70,"Tier 2 - Pursue",IF(AA343&gt;=60,"Tier 3 - Selective","Do Not Pursue")))))</f>
        <v/>
      </c>
      <c r="AC343" s="52">
        <f>IF(C343="","",IF(I343&lt;&gt;"","Named Contact",IF(AA343&gt;0,"Outreach Logged","Cold")))</f>
        <v/>
      </c>
      <c r="AD343" s="52">
        <f>IF(B343="","",COUNTIF('Outreach Log'!$C:$C,B343))</f>
        <v/>
      </c>
      <c r="AE343" s="52">
        <f>IF(A343="","",IF(OR(K343="Rejected",K343="Closed"),IF(L343&lt;&gt;"",L343-A343,TODAY()-A343),TODAY()-A343))</f>
        <v/>
      </c>
      <c r="AF343" s="52">
        <f>IF(C343="","",IF(AND(AA343&gt;=70,AC343="Cold"),"High-fit but cold",IF(AND(AA343&lt;60,K343="Applied"),"Low-fit application",IF(AND(AA343&gt;=70,OR(AC343="Named Contact",AC343="Outreach Logged")),"Targeted pursuit","Review"))))</f>
        <v/>
      </c>
    </row>
    <row r="344" ht="15" customHeight="1" s="44">
      <c r="A344" s="53" t="n">
        <v>46262</v>
      </c>
      <c r="B344" s="48" t="inlineStr">
        <is>
          <t>Canadian Tire Group of Companies</t>
        </is>
      </c>
      <c r="C344" s="48" t="inlineStr">
        <is>
          <t>Director, Dealer Tech Portfolio Management</t>
        </is>
      </c>
      <c r="D344" s="48" t="inlineStr">
        <is>
          <t>Director</t>
        </is>
      </c>
      <c r="E344" s="48" t="inlineStr">
        <is>
          <t>Canada</t>
        </is>
      </c>
      <c r="F344" s="48" t="inlineStr">
        <is>
          <t>Toronto</t>
        </is>
      </c>
      <c r="G344" s="48" t="n">
        <v>75</v>
      </c>
      <c r="H344" s="48" t="inlineStr">
        <is>
          <t>Cold Portal</t>
        </is>
      </c>
      <c r="I344" s="48" t="n"/>
      <c r="J344" s="48" t="inlineStr">
        <is>
          <t>No</t>
        </is>
      </c>
      <c r="K344" s="49" t="inlineStr">
        <is>
          <t>Rejected</t>
        </is>
      </c>
      <c r="L344" s="50" t="n">
        <v>46281</v>
      </c>
      <c r="M344" s="48">
        <f>IF(OR(L211="",A211=""),"",L211-A211)</f>
        <v/>
      </c>
      <c r="N344" s="48" t="inlineStr">
        <is>
          <t>Confirm exact location with Elena</t>
        </is>
      </c>
      <c r="O344" s="48" t="n"/>
      <c r="P344" s="51" t="inlineStr">
        <is>
          <t>Confirmed via Canadian Tire Corporation (canadiantirecorporation@myworkday.com), 2026-08-28. Role: single point of accountability for Store Technology's Dealer-facing governance, financial oversight, strategic alignment, and stakeholder engagement — Dealer committees, roadmap coordination, procurement governance, executive-level Dealer communications. FIT SCORE 75% (strong match, no team-management requirement - notable relief from recurring gap pattern): Bell TCO governance work (1,400-app portfolio, built from scratch, financial/procurement stakeholders) and Price &amp; Pay executive escalation work map closely onto the JD's governance/financial oversight scope. GAPS (soft, not stated requirements): no external dealer/franchise network relationship experience - Elena's stakeholder work has been internal/enterprise, not managing an external commercial partner relationship. Tailored resume built: Resume_ElenaShchetinina_DirectorDealerTechPortfolio.docx. | REJECTED 2026-09-16: Canadian Tire (Workday) — "currently pursuing other candidates whose background more closely meets our immediate needs."</t>
        </is>
      </c>
      <c r="Q344" s="48" t="n"/>
      <c r="R344" s="48" t="n"/>
      <c r="S344" s="51" t="n"/>
      <c r="T344" s="52">
        <f>IF(G344="","",G344)</f>
        <v/>
      </c>
      <c r="U344" s="52">
        <f>IF(C344="","",IF(OR(ISNUMBER(SEARCH("Director",C344)),ISNUMBER(SEARCH("Lead",C344)),ISNUMBER(SEARCH("Senior",C344)),ISNUMBER(SEARCH("Sr.",C344))),90,IF(OR(ISNUMBER(SEARCH("Manager",C344)),ISNUMBER(SEARCH("Program",C344)),ISNUMBER(SEARCH("Portfolio",C344))),80,60)))</f>
        <v/>
      </c>
      <c r="V344" s="52">
        <f>IF(C344="","",IF(OR(ISNUMBER(SEARCH("AI",C344)),ISNUMBER(SEARCH("Data",C344)),ISNUMBER(SEARCH("Technology",C344)),ISNUMBER(SEARCH("Technical",C344)),ISNUMBER(SEARCH("Engineering",C344)),ISNUMBER(SEARCH("Platform",C344)),ISNUMBER(SEARCH("Portfolio",C344))),85,65))</f>
        <v/>
      </c>
      <c r="W344" s="52">
        <f>IF(C344="","",MIN(100,50+IF(S344&lt;&gt;"",25,0)+IF(R344&lt;&gt;"",15,0)+IF(P344&lt;&gt;"",10,0)))</f>
        <v/>
      </c>
      <c r="X344" s="52">
        <f>IF(E344="","",IF(OR(E344="Canada",E344="CA"),100,IF(OR(E344="United States",E344="USA",E344="US"),IF(J344="Yes",45,75),65)))</f>
        <v/>
      </c>
      <c r="Y344" s="52">
        <f>IF(C344="","",IF(OR(ISNUMBER(SEARCH("Program",C344)),ISNUMBER(SEARCH("Portfolio",C344)),ISNUMBER(SEARCH("Operations",C344)),ISNUMBER(SEARCH("Transformation",C344))),85,IF(ISNUMBER(SEARCH("Product Manager",C344)),55,70)))</f>
        <v/>
      </c>
      <c r="Z344" s="52">
        <f>IF(C344="","",MIN(100,IF(I344&lt;&gt;"",60,10)+IF(AA344&gt;0,MIN(40,AA344*20),0)))</f>
        <v/>
      </c>
      <c r="AA344" s="52">
        <f>IF(T344="","",ROUND(T344*25%+U344*15%+V344*10%+W344*15%+X344*15%+Y344*10%+Z344*10%,0))</f>
        <v/>
      </c>
      <c r="AB344" s="52">
        <f>IF(AA344="","",IF(X344&lt;50,"Selective / Barrier",IF(AA344&gt;=80,"Tier 1 - Pursue",IF(AA344&gt;=70,"Tier 2 - Pursue",IF(AA344&gt;=60,"Tier 3 - Selective","Do Not Pursue")))))</f>
        <v/>
      </c>
      <c r="AC344" s="52">
        <f>IF(C344="","",IF(I344&lt;&gt;"","Named Contact",IF(AA344&gt;0,"Outreach Logged","Cold")))</f>
        <v/>
      </c>
      <c r="AD344" s="52">
        <f>IF(B344="","",COUNTIF('Outreach Log'!$C:$C,B344))</f>
        <v/>
      </c>
      <c r="AE344" s="52">
        <f>IF(A344="","",IF(OR(K344="Rejected",K344="Closed"),IF(L344&lt;&gt;"",L344-A344,TODAY()-A344),TODAY()-A344))</f>
        <v/>
      </c>
      <c r="AF344" s="52">
        <f>IF(C344="","",IF(AND(AA344&gt;=70,AC344="Cold"),"High-fit but cold",IF(AND(AA344&lt;60,K344="Applied"),"Low-fit application",IF(AND(AA344&gt;=70,OR(AC344="Named Contact",AC344="Outreach Logged")),"Targeted pursuit","Review"))))</f>
        <v/>
      </c>
    </row>
    <row r="345" ht="15" customHeight="1" s="44">
      <c r="A345" s="53" t="n">
        <v>46262</v>
      </c>
      <c r="B345" s="48" t="inlineStr">
        <is>
          <t>EY</t>
        </is>
      </c>
      <c r="C345" s="48" t="inlineStr">
        <is>
          <t>EY-Parthenon - AI Business Solutions - OneEdge - Portfolio Manager - Senior Director</t>
        </is>
      </c>
      <c r="D345" s="48" t="inlineStr">
        <is>
          <t>Senior Director</t>
        </is>
      </c>
      <c r="E345" s="48" t="inlineStr">
        <is>
          <t>US</t>
        </is>
      </c>
      <c r="F345" s="48" t="inlineStr">
        <is>
          <t>Unconfirmed</t>
        </is>
      </c>
      <c r="G345" s="48" t="n">
        <v>80</v>
      </c>
      <c r="H345" s="48" t="inlineStr">
        <is>
          <t>Cold Portal</t>
        </is>
      </c>
      <c r="I345" s="48" t="n"/>
      <c r="J345" s="48" t="inlineStr">
        <is>
          <t>Yes</t>
        </is>
      </c>
      <c r="K345" s="55" t="inlineStr">
        <is>
          <t>Applied</t>
        </is>
      </c>
      <c r="L345" s="48" t="n"/>
      <c r="M345" s="48">
        <f>IF(OR(L212="",A212=""),"",L212-A212)</f>
        <v/>
      </c>
      <c r="N345" s="48" t="inlineStr">
        <is>
          <t>Confirm exact location with Elena</t>
        </is>
      </c>
      <c r="O345" s="48" t="n"/>
      <c r="P345" s="51" t="inlineStr">
        <is>
          <t>Confirmed via EY Talent Attraction and Acquisition, 2026-08-28. Role: Portfolio Manager for EY-Parthenon's OneEdge AI platform - strategic partner across Product Management, Architecture, Engineering, Regional Leadership, Client Success, and Service Line teams; resolves competing priorities, tracks roadmaps/dependencies/risks, identifies technical/AI/architectural risks, drives adoption, represents portfolio in governance forums. FIT SCORE 80% (strong match): Bell TCO governance work, AI roadmap/vendor evaluation, and Price &amp; Pay executive escalation work map closely onto the JD; multi-region/international team coordination confirmed by Elena across Bell, Amazon, IBM, closing the initial regional-coordination gap. Minor remaining gap: no management consulting/strategy firm experience specifically (Elena's consulting background is technology delivery consulting via IBM GBS, not strategy consulting) - not a stated hard requirement. No people-management gap for this role. Tailored resume built: Resume_ElenaShchetinina_EYParthenonPortfolioManager.docx, with Elena's own wording used for the Professional Summary.</t>
        </is>
      </c>
      <c r="Q345" s="48" t="n"/>
      <c r="R345" s="48" t="n"/>
      <c r="S345" s="51" t="n"/>
      <c r="T345" s="52">
        <f>IF(G345="","",G345)</f>
        <v/>
      </c>
      <c r="U345" s="52">
        <f>IF(C345="","",IF(OR(ISNUMBER(SEARCH("Director",C345)),ISNUMBER(SEARCH("Lead",C345)),ISNUMBER(SEARCH("Senior",C345)),ISNUMBER(SEARCH("Sr.",C345))),90,IF(OR(ISNUMBER(SEARCH("Manager",C345)),ISNUMBER(SEARCH("Program",C345)),ISNUMBER(SEARCH("Portfolio",C345))),80,60)))</f>
        <v/>
      </c>
      <c r="V345" s="52">
        <f>IF(C345="","",IF(OR(ISNUMBER(SEARCH("AI",C345)),ISNUMBER(SEARCH("Data",C345)),ISNUMBER(SEARCH("Technology",C345)),ISNUMBER(SEARCH("Technical",C345)),ISNUMBER(SEARCH("Engineering",C345)),ISNUMBER(SEARCH("Platform",C345)),ISNUMBER(SEARCH("Portfolio",C345))),85,65))</f>
        <v/>
      </c>
      <c r="W345" s="52">
        <f>IF(C345="","",MIN(100,50+IF(S345&lt;&gt;"",25,0)+IF(R345&lt;&gt;"",15,0)+IF(P345&lt;&gt;"",10,0)))</f>
        <v/>
      </c>
      <c r="X345" s="52">
        <f>IF(E345="","",IF(OR(E345="Canada",E345="CA"),100,IF(OR(E345="United States",E345="USA",E345="US"),IF(J345="Yes",45,75),65)))</f>
        <v/>
      </c>
      <c r="Y345" s="52">
        <f>IF(C345="","",IF(OR(ISNUMBER(SEARCH("Program",C345)),ISNUMBER(SEARCH("Portfolio",C345)),ISNUMBER(SEARCH("Operations",C345)),ISNUMBER(SEARCH("Transformation",C345))),85,IF(ISNUMBER(SEARCH("Product Manager",C345)),55,70)))</f>
        <v/>
      </c>
      <c r="Z345" s="52">
        <f>IF(C345="","",MIN(100,IF(I345&lt;&gt;"",60,10)+IF(AA345&gt;0,MIN(40,AA345*20),0)))</f>
        <v/>
      </c>
      <c r="AA345" s="52">
        <f>IF(T345="","",ROUND(T345*25%+U345*15%+V345*10%+W345*15%+X345*15%+Y345*10%+Z345*10%,0))</f>
        <v/>
      </c>
      <c r="AB345" s="52">
        <f>IF(AA345="","",IF(X345&lt;50,"Selective / Barrier",IF(AA345&gt;=80,"Tier 1 - Pursue",IF(AA345&gt;=70,"Tier 2 - Pursue",IF(AA345&gt;=60,"Tier 3 - Selective","Do Not Pursue")))))</f>
        <v/>
      </c>
      <c r="AC345" s="52">
        <f>IF(C345="","",IF(I345&lt;&gt;"","Named Contact",IF(AA345&gt;0,"Outreach Logged","Cold")))</f>
        <v/>
      </c>
      <c r="AD345" s="52">
        <f>IF(B345="","",COUNTIF('Outreach Log'!$C:$C,B345))</f>
        <v/>
      </c>
      <c r="AE345" s="52">
        <f>IF(A345="","",IF(OR(K345="Rejected",K345="Closed"),IF(L345&lt;&gt;"",L345-A345,TODAY()-A345),TODAY()-A345))</f>
        <v/>
      </c>
      <c r="AF345" s="52">
        <f>IF(C345="","",IF(AND(AA345&gt;=70,AC345="Cold"),"High-fit but cold",IF(AND(AA345&lt;60,K345="Applied"),"Low-fit application",IF(AND(AA345&gt;=70,OR(AC345="Named Contact",AC345="Outreach Logged")),"Targeted pursuit","Review"))))</f>
        <v/>
      </c>
    </row>
    <row r="346" ht="15" customHeight="1" s="44">
      <c r="A346" s="53" t="n">
        <v>46262</v>
      </c>
      <c r="B346" s="48" t="inlineStr">
        <is>
          <t>EY / EY-Parthenon</t>
        </is>
      </c>
      <c r="C346" s="48" t="inlineStr">
        <is>
          <t>AI Business Solutions - OneEdge - Portfolio Manager, Sr Director</t>
        </is>
      </c>
      <c r="D346" s="48" t="n"/>
      <c r="E346" s="48" t="n"/>
      <c r="F346" s="48" t="n"/>
      <c r="G346" s="48" t="n"/>
      <c r="H346" s="48" t="n"/>
      <c r="I346" s="48" t="n"/>
      <c r="J346" s="48" t="n"/>
      <c r="K346" s="55" t="inlineStr">
        <is>
          <t>Applied</t>
        </is>
      </c>
      <c r="L346" s="48" t="n"/>
      <c r="M346" s="48" t="n"/>
      <c r="N346" s="48" t="n"/>
      <c r="O346" s="48" t="n"/>
      <c r="P346" s="51" t="n"/>
      <c r="Q346" s="48" t="n"/>
      <c r="R346" s="48" t="n"/>
      <c r="S346" s="51" t="n"/>
      <c r="T346" s="52">
        <f>IF(G346="","",G346)</f>
        <v/>
      </c>
      <c r="U346" s="52">
        <f>IF(C346="","",IF(OR(ISNUMBER(SEARCH("Director",C346)),ISNUMBER(SEARCH("Lead",C346)),ISNUMBER(SEARCH("Senior",C346)),ISNUMBER(SEARCH("Sr.",C346))),90,IF(OR(ISNUMBER(SEARCH("Manager",C346)),ISNUMBER(SEARCH("Program",C346)),ISNUMBER(SEARCH("Portfolio",C346))),80,60)))</f>
        <v/>
      </c>
      <c r="V346" s="52">
        <f>IF(C346="","",IF(OR(ISNUMBER(SEARCH("AI",C346)),ISNUMBER(SEARCH("Data",C346)),ISNUMBER(SEARCH("Technology",C346)),ISNUMBER(SEARCH("Technical",C346)),ISNUMBER(SEARCH("Engineering",C346)),ISNUMBER(SEARCH("Platform",C346)),ISNUMBER(SEARCH("Portfolio",C346))),85,65))</f>
        <v/>
      </c>
      <c r="W346" s="52">
        <f>IF(C346="","",MIN(100,50+IF(S346&lt;&gt;"",25,0)+IF(R346&lt;&gt;"",15,0)+IF(P346&lt;&gt;"",10,0)))</f>
        <v/>
      </c>
      <c r="X346" s="52">
        <f>IF(E346="","",IF(OR(E346="Canada",E346="CA"),100,IF(OR(E346="United States",E346="USA",E346="US"),IF(J346="Yes",45,75),65)))</f>
        <v/>
      </c>
      <c r="Y346" s="52">
        <f>IF(C346="","",IF(OR(ISNUMBER(SEARCH("Program",C346)),ISNUMBER(SEARCH("Portfolio",C346)),ISNUMBER(SEARCH("Operations",C346)),ISNUMBER(SEARCH("Transformation",C346))),85,IF(ISNUMBER(SEARCH("Product Manager",C346)),55,70)))</f>
        <v/>
      </c>
      <c r="Z346" s="52">
        <f>IF(C346="","",MIN(100,IF(I346&lt;&gt;"",60,10)+IF(AA346&gt;0,MIN(40,AA346*20),0)))</f>
        <v/>
      </c>
      <c r="AA346" s="52">
        <f>IF(T346="","",ROUND(T346*25%+U346*15%+V346*10%+W346*15%+X346*15%+Y346*10%+Z346*10%,0))</f>
        <v/>
      </c>
      <c r="AB346" s="52">
        <f>IF(AA346="","",IF(X346&lt;50,"Selective / Barrier",IF(AA346&gt;=80,"Tier 1 - Pursue",IF(AA346&gt;=70,"Tier 2 - Pursue",IF(AA346&gt;=60,"Tier 3 - Selective","Do Not Pursue")))))</f>
        <v/>
      </c>
      <c r="AC346" s="52">
        <f>IF(C346="","",IF(I346&lt;&gt;"","Named Contact",IF(AA346&gt;0,"Outreach Logged","Cold")))</f>
        <v/>
      </c>
      <c r="AD346" s="52">
        <f>IF(B346="","",COUNTIF('Outreach Log'!$C:$C,B346))</f>
        <v/>
      </c>
      <c r="AE346" s="52">
        <f>IF(A346="","",IF(OR(K346="Rejected",K346="Closed"),IF(L346&lt;&gt;"",L346-A346,TODAY()-A346),TODAY()-A346))</f>
        <v/>
      </c>
      <c r="AF346" s="52">
        <f>IF(C346="","",IF(AND(AA346&gt;=70,AC346="Cold"),"High-fit but cold",IF(AND(AA346&lt;60,K346="Applied"),"Low-fit application",IF(AND(AA346&gt;=70,OR(AC346="Named Contact",AC346="Outreach Logged")),"Targeted pursuit","Review"))))</f>
        <v/>
      </c>
    </row>
    <row r="347" ht="15" customHeight="1" s="44">
      <c r="A347" s="53" t="n">
        <v>46262</v>
      </c>
      <c r="B347" s="48" t="inlineStr">
        <is>
          <t>SI Systems (contract)</t>
        </is>
      </c>
      <c r="C347" s="48" t="inlineStr">
        <is>
          <t>Sr Technical Transformation Program Manager - ERP/Enterprise Integration</t>
        </is>
      </c>
      <c r="D347" s="48" t="n"/>
      <c r="E347" s="48" t="n"/>
      <c r="F347" s="48" t="n"/>
      <c r="G347" s="48" t="n"/>
      <c r="H347" s="48" t="n"/>
      <c r="I347" s="48" t="n"/>
      <c r="J347" s="48" t="n"/>
      <c r="K347" s="49" t="inlineStr">
        <is>
          <t>Rejected</t>
        </is>
      </c>
      <c r="L347" s="48" t="n"/>
      <c r="M347" s="48" t="n"/>
      <c r="N347" s="48" t="n"/>
      <c r="O347" s="48" t="n"/>
      <c r="P347" s="51" t="inlineStr">
        <is>
          <t>Rejected (per Greenhouse portal review, Sep 20 2026). Client selected another candidate</t>
        </is>
      </c>
      <c r="Q347" s="48" t="n"/>
      <c r="R347" s="48" t="n"/>
      <c r="S347" s="51" t="n"/>
      <c r="T347" s="52">
        <f>IF(G347="","",G347)</f>
        <v/>
      </c>
      <c r="U347" s="52">
        <f>IF(C347="","",IF(OR(ISNUMBER(SEARCH("Director",C347)),ISNUMBER(SEARCH("Lead",C347)),ISNUMBER(SEARCH("Senior",C347)),ISNUMBER(SEARCH("Sr.",C347))),90,IF(OR(ISNUMBER(SEARCH("Manager",C347)),ISNUMBER(SEARCH("Program",C347)),ISNUMBER(SEARCH("Portfolio",C347))),80,60)))</f>
        <v/>
      </c>
      <c r="V347" s="52">
        <f>IF(C347="","",IF(OR(ISNUMBER(SEARCH("AI",C347)),ISNUMBER(SEARCH("Data",C347)),ISNUMBER(SEARCH("Technology",C347)),ISNUMBER(SEARCH("Technical",C347)),ISNUMBER(SEARCH("Engineering",C347)),ISNUMBER(SEARCH("Platform",C347)),ISNUMBER(SEARCH("Portfolio",C347))),85,65))</f>
        <v/>
      </c>
      <c r="W347" s="52">
        <f>IF(C347="","",MIN(100,50+IF(S347&lt;&gt;"",25,0)+IF(R347&lt;&gt;"",15,0)+IF(P347&lt;&gt;"",10,0)))</f>
        <v/>
      </c>
      <c r="X347" s="52">
        <f>IF(E347="","",IF(OR(E347="Canada",E347="CA"),100,IF(OR(E347="United States",E347="USA",E347="US"),IF(J347="Yes",45,75),65)))</f>
        <v/>
      </c>
      <c r="Y347" s="52">
        <f>IF(C347="","",IF(OR(ISNUMBER(SEARCH("Program",C347)),ISNUMBER(SEARCH("Portfolio",C347)),ISNUMBER(SEARCH("Operations",C347)),ISNUMBER(SEARCH("Transformation",C347))),85,IF(ISNUMBER(SEARCH("Product Manager",C347)),55,70)))</f>
        <v/>
      </c>
      <c r="Z347" s="52">
        <f>IF(C347="","",MIN(100,IF(I347&lt;&gt;"",60,10)+IF(AA347&gt;0,MIN(40,AA347*20),0)))</f>
        <v/>
      </c>
      <c r="AA347" s="52">
        <f>IF(T347="","",ROUND(T347*25%+U347*15%+V347*10%+W347*15%+X347*15%+Y347*10%+Z347*10%,0))</f>
        <v/>
      </c>
      <c r="AB347" s="52">
        <f>IF(AA347="","",IF(X347&lt;50,"Selective / Barrier",IF(AA347&gt;=80,"Tier 1 - Pursue",IF(AA347&gt;=70,"Tier 2 - Pursue",IF(AA347&gt;=60,"Tier 3 - Selective","Do Not Pursue")))))</f>
        <v/>
      </c>
      <c r="AC347" s="52">
        <f>IF(C347="","",IF(I347&lt;&gt;"","Named Contact",IF(AA347&gt;0,"Outreach Logged","Cold")))</f>
        <v/>
      </c>
      <c r="AD347" s="52">
        <f>IF(B347="","",COUNTIF('Outreach Log'!$C:$C,B347))</f>
        <v/>
      </c>
      <c r="AE347" s="52">
        <f>IF(A347="","",IF(OR(K347="Rejected",K347="Closed"),IF(L347&lt;&gt;"",L347-A347,TODAY()-A347),TODAY()-A347))</f>
        <v/>
      </c>
      <c r="AF347" s="52">
        <f>IF(C347="","",IF(AND(AA347&gt;=70,AC347="Cold"),"High-fit but cold",IF(AND(AA347&lt;60,K347="Applied"),"Low-fit application",IF(AND(AA347&gt;=70,OR(AC347="Named Contact",AC347="Outreach Logged")),"Targeted pursuit","Review"))))</f>
        <v/>
      </c>
    </row>
    <row r="348" ht="15" customHeight="1" s="44">
      <c r="A348" s="53" t="n">
        <v>46263</v>
      </c>
      <c r="B348" s="48" t="inlineStr">
        <is>
          <t>Y Combinator</t>
        </is>
      </c>
      <c r="C348" s="48" t="inlineStr">
        <is>
          <t>Startup application (Cloisa AI / Pyxaris)</t>
        </is>
      </c>
      <c r="D348" s="48" t="n"/>
      <c r="E348" s="48" t="n"/>
      <c r="F348" s="48" t="n"/>
      <c r="G348" s="48" t="n"/>
      <c r="H348" s="48" t="n"/>
      <c r="I348" s="48" t="n"/>
      <c r="J348" s="48" t="n"/>
      <c r="K348" s="49" t="inlineStr">
        <is>
          <t>Rejected</t>
        </is>
      </c>
      <c r="L348" s="48" t="n"/>
      <c r="M348" s="48" t="n"/>
      <c r="N348" s="48" t="n"/>
      <c r="O348" s="48" t="n"/>
      <c r="P348" s="51" t="inlineStr">
        <is>
          <t>Rejected (per Greenhouse portal review, Sep 20 2026). Not selected for interview</t>
        </is>
      </c>
      <c r="Q348" s="48" t="n"/>
      <c r="R348" s="48" t="n"/>
      <c r="S348" s="51" t="n"/>
      <c r="T348" s="52">
        <f>IF(G348="","",G348)</f>
        <v/>
      </c>
      <c r="U348" s="52">
        <f>IF(C348="","",IF(OR(ISNUMBER(SEARCH("Director",C348)),ISNUMBER(SEARCH("Lead",C348)),ISNUMBER(SEARCH("Senior",C348)),ISNUMBER(SEARCH("Sr.",C348))),90,IF(OR(ISNUMBER(SEARCH("Manager",C348)),ISNUMBER(SEARCH("Program",C348)),ISNUMBER(SEARCH("Portfolio",C348))),80,60)))</f>
        <v/>
      </c>
      <c r="V348" s="52">
        <f>IF(C348="","",IF(OR(ISNUMBER(SEARCH("AI",C348)),ISNUMBER(SEARCH("Data",C348)),ISNUMBER(SEARCH("Technology",C348)),ISNUMBER(SEARCH("Technical",C348)),ISNUMBER(SEARCH("Engineering",C348)),ISNUMBER(SEARCH("Platform",C348)),ISNUMBER(SEARCH("Portfolio",C348))),85,65))</f>
        <v/>
      </c>
      <c r="W348" s="52">
        <f>IF(C348="","",MIN(100,50+IF(S348&lt;&gt;"",25,0)+IF(R348&lt;&gt;"",15,0)+IF(P348&lt;&gt;"",10,0)))</f>
        <v/>
      </c>
      <c r="X348" s="52">
        <f>IF(E348="","",IF(OR(E348="Canada",E348="CA"),100,IF(OR(E348="United States",E348="USA",E348="US"),IF(J348="Yes",45,75),65)))</f>
        <v/>
      </c>
      <c r="Y348" s="52">
        <f>IF(C348="","",IF(OR(ISNUMBER(SEARCH("Program",C348)),ISNUMBER(SEARCH("Portfolio",C348)),ISNUMBER(SEARCH("Operations",C348)),ISNUMBER(SEARCH("Transformation",C348))),85,IF(ISNUMBER(SEARCH("Product Manager",C348)),55,70)))</f>
        <v/>
      </c>
      <c r="Z348" s="52">
        <f>IF(C348="","",MIN(100,IF(I348&lt;&gt;"",60,10)+IF(AA348&gt;0,MIN(40,AA348*20),0)))</f>
        <v/>
      </c>
      <c r="AA348" s="52">
        <f>IF(T348="","",ROUND(T348*25%+U348*15%+V348*10%+W348*15%+X348*15%+Y348*10%+Z348*10%,0))</f>
        <v/>
      </c>
      <c r="AB348" s="52">
        <f>IF(AA348="","",IF(X348&lt;50,"Selective / Barrier",IF(AA348&gt;=80,"Tier 1 - Pursue",IF(AA348&gt;=70,"Tier 2 - Pursue",IF(AA348&gt;=60,"Tier 3 - Selective","Do Not Pursue")))))</f>
        <v/>
      </c>
      <c r="AC348" s="52">
        <f>IF(C348="","",IF(I348&lt;&gt;"","Named Contact",IF(AA348&gt;0,"Outreach Logged","Cold")))</f>
        <v/>
      </c>
      <c r="AD348" s="52">
        <f>IF(B348="","",COUNTIF('Outreach Log'!$C:$C,B348))</f>
        <v/>
      </c>
      <c r="AE348" s="52">
        <f>IF(A348="","",IF(OR(K348="Rejected",K348="Closed"),IF(L348&lt;&gt;"",L348-A348,TODAY()-A348),TODAY()-A348))</f>
        <v/>
      </c>
      <c r="AF348" s="52">
        <f>IF(C348="","",IF(AND(AA348&gt;=70,AC348="Cold"),"High-fit but cold",IF(AND(AA348&lt;60,K348="Applied"),"Low-fit application",IF(AND(AA348&gt;=70,OR(AC348="Named Contact",AC348="Outreach Logged")),"Targeted pursuit","Review"))))</f>
        <v/>
      </c>
    </row>
    <row r="349" ht="15" customHeight="1" s="44">
      <c r="A349" s="53" t="n">
        <v>46264</v>
      </c>
      <c r="B349" s="48" t="inlineStr">
        <is>
          <t>Conquest Planning</t>
        </is>
      </c>
      <c r="C349" s="48" t="inlineStr">
        <is>
          <t>Senior Delivery Project Manager</t>
        </is>
      </c>
      <c r="D349" s="48" t="inlineStr">
        <is>
          <t>Senior Manager</t>
        </is>
      </c>
      <c r="E349" s="48" t="inlineStr">
        <is>
          <t>Canada</t>
        </is>
      </c>
      <c r="F349" s="48" t="inlineStr">
        <is>
          <t>Toronto</t>
        </is>
      </c>
      <c r="G349" s="48" t="n">
        <v>80</v>
      </c>
      <c r="H349" s="48" t="inlineStr">
        <is>
          <t>Cold Portal</t>
        </is>
      </c>
      <c r="I349" s="48" t="n"/>
      <c r="J349" s="48" t="inlineStr">
        <is>
          <t>No</t>
        </is>
      </c>
      <c r="K349" s="55" t="inlineStr">
        <is>
          <t>Applied</t>
        </is>
      </c>
      <c r="L349" s="48" t="n"/>
      <c r="M349" s="48">
        <f>IF(OR(L213="",A213=""),"",L213-A213)</f>
        <v/>
      </c>
      <c r="N349" s="48" t="n"/>
      <c r="O349" s="48" t="n"/>
      <c r="P349" s="51" t="inlineStr">
        <is>
          <t>Confirmed via Conquest Planning (notifications@app.bamboohr.com), 2026-08-30. No JD reviewed yet - fit score and tailored resume not yet assessed. Role clarified: Senior Delivery Project Manager owning end-to-end project delivery (initiation through production/closure) at Conquest Planning, a financial planning software company (Winnipeg-based, remote). Owns project charters, governance, Statements of Work, resourcing advocacy, execution control, executive status reporting, closure, and retrospectives across multiple concurrent client engagements. FIT SCORE 80% (strong match): Bell TCO governance-from-scratch work and Customer Profile/Price &amp; Pay experience map closely onto charter/governance/executive-reporting requirements; IBM Product Owner (pilot-to-production) matches end-to-end ownership; Bell/Amazon concurrent-program experience matches portfolio management ask; JIRA/Confluence already in toolset. Minor soft gaps: no FinTech-specific work history (JD only asks for awareness of trends, not FinTech experience); no direct client-contract/SOW authorship (Elena's business-case work has been internal-executive-facing, not client-contract-facing). No people-management gap - this is an IC/senior execution role.</t>
        </is>
      </c>
      <c r="Q349" s="48" t="n"/>
      <c r="R349" s="48" t="n"/>
      <c r="S349" s="51" t="n"/>
      <c r="T349" s="52">
        <f>IF(G349="","",G349)</f>
        <v/>
      </c>
      <c r="U349" s="52">
        <f>IF(C349="","",IF(OR(ISNUMBER(SEARCH("Director",C349)),ISNUMBER(SEARCH("Lead",C349)),ISNUMBER(SEARCH("Senior",C349)),ISNUMBER(SEARCH("Sr.",C349))),90,IF(OR(ISNUMBER(SEARCH("Manager",C349)),ISNUMBER(SEARCH("Program",C349)),ISNUMBER(SEARCH("Portfolio",C349))),80,60)))</f>
        <v/>
      </c>
      <c r="V349" s="52">
        <f>IF(C349="","",IF(OR(ISNUMBER(SEARCH("AI",C349)),ISNUMBER(SEARCH("Data",C349)),ISNUMBER(SEARCH("Technology",C349)),ISNUMBER(SEARCH("Technical",C349)),ISNUMBER(SEARCH("Engineering",C349)),ISNUMBER(SEARCH("Platform",C349)),ISNUMBER(SEARCH("Portfolio",C349))),85,65))</f>
        <v/>
      </c>
      <c r="W349" s="52">
        <f>IF(C349="","",MIN(100,50+IF(S349&lt;&gt;"",25,0)+IF(R349&lt;&gt;"",15,0)+IF(P349&lt;&gt;"",10,0)))</f>
        <v/>
      </c>
      <c r="X349" s="52">
        <f>IF(E349="","",IF(OR(E349="Canada",E349="CA"),100,IF(OR(E349="United States",E349="USA",E349="US"),IF(J349="Yes",45,75),65)))</f>
        <v/>
      </c>
      <c r="Y349" s="52">
        <f>IF(C349="","",IF(OR(ISNUMBER(SEARCH("Program",C349)),ISNUMBER(SEARCH("Portfolio",C349)),ISNUMBER(SEARCH("Operations",C349)),ISNUMBER(SEARCH("Transformation",C349))),85,IF(ISNUMBER(SEARCH("Product Manager",C349)),55,70)))</f>
        <v/>
      </c>
      <c r="Z349" s="52">
        <f>IF(C349="","",MIN(100,IF(I349&lt;&gt;"",60,10)+IF(AA349&gt;0,MIN(40,AA349*20),0)))</f>
        <v/>
      </c>
      <c r="AA349" s="52">
        <f>IF(T349="","",ROUND(T349*25%+U349*15%+V349*10%+W349*15%+X349*15%+Y349*10%+Z349*10%,0))</f>
        <v/>
      </c>
      <c r="AB349" s="52">
        <f>IF(AA349="","",IF(X349&lt;50,"Selective / Barrier",IF(AA349&gt;=80,"Tier 1 - Pursue",IF(AA349&gt;=70,"Tier 2 - Pursue",IF(AA349&gt;=60,"Tier 3 - Selective","Do Not Pursue")))))</f>
        <v/>
      </c>
      <c r="AC349" s="52">
        <f>IF(C349="","",IF(I349&lt;&gt;"","Named Contact",IF(AA349&gt;0,"Outreach Logged","Cold")))</f>
        <v/>
      </c>
      <c r="AD349" s="52">
        <f>IF(B349="","",COUNTIF('Outreach Log'!$C:$C,B349))</f>
        <v/>
      </c>
      <c r="AE349" s="52">
        <f>IF(A349="","",IF(OR(K349="Rejected",K349="Closed"),IF(L349&lt;&gt;"",L349-A349,TODAY()-A349),TODAY()-A349))</f>
        <v/>
      </c>
      <c r="AF349" s="52">
        <f>IF(C349="","",IF(AND(AA349&gt;=70,AC349="Cold"),"High-fit but cold",IF(AND(AA349&lt;60,K349="Applied"),"Low-fit application",IF(AND(AA349&gt;=70,OR(AC349="Named Contact",AC349="Outreach Logged")),"Targeted pursuit","Review"))))</f>
        <v/>
      </c>
    </row>
    <row r="350" ht="15" customHeight="1" s="44">
      <c r="A350" s="53" t="n">
        <v>46264</v>
      </c>
      <c r="B350" s="48" t="inlineStr">
        <is>
          <t>Intellibus Consulting</t>
        </is>
      </c>
      <c r="C350" s="48" t="inlineStr">
        <is>
          <t>Program Manager / PMO Delivery Lead</t>
        </is>
      </c>
      <c r="D350" s="48" t="inlineStr">
        <is>
          <t>Senior PM/Delivery Lead</t>
        </is>
      </c>
      <c r="E350" s="48" t="inlineStr">
        <is>
          <t>Canada</t>
        </is>
      </c>
      <c r="F350" s="48" t="inlineStr">
        <is>
          <t>Toronto</t>
        </is>
      </c>
      <c r="G350" s="48" t="n">
        <v>45</v>
      </c>
      <c r="H350" s="48" t="inlineStr">
        <is>
          <t>Cold Portal</t>
        </is>
      </c>
      <c r="I350" s="48" t="n"/>
      <c r="J350" s="48" t="inlineStr">
        <is>
          <t>No</t>
        </is>
      </c>
      <c r="K350" s="55" t="inlineStr">
        <is>
          <t>Applied</t>
        </is>
      </c>
      <c r="L350" s="48" t="n"/>
      <c r="M350" s="48">
        <f>IF(OR(L214="",A214=""),"",L214-A214)</f>
        <v/>
      </c>
      <c r="N350" s="48" t="inlineStr">
        <is>
          <t>Confirm location and sponsorship with Elena</t>
        </is>
      </c>
      <c r="O350" s="48" t="n"/>
      <c r="P350" s="51" t="inlineStr">
        <is>
          <t>Applied 2026-08-30 (no confirmation email received - logged based on Elena's confirmation). Role: Program Manager / PMO Delivery Lead at Intellibus Consulting, a boutique engineering/AI transformation firm serving Financial Services clients (Banking, Payments, Trading, Capital Markets, Wealth Management). Client-facing, managing CTOs/Delivery Directors/executive stakeholders across multiple concurrent programs; program governance, budgeting, RAID, executive reporting, Steering Committee leadership. Compensation: $100-110/hour (contract/consulting rate structure). FIT SCORE 45%: strong match on program governance, RAID/budget/executive reporting (Bell TCO, Price &amp; Pay), software engineering origin (Java/APIs/distributed systems) satisfying the 'started career as Software Engineer' requirement, and consulting background (IBM GBS). MATERIAL GAP: 'Financial Services or FinTech experience' is a REQUIRED qualification, stated multiple times (Banking/Payments/Trading/Capital Markets/Wealth Management/RegTech) - Elena's regulated-industry experience is health-agency (IBM GBS), not financial services; no payments/banking/trading domain experience. This is a hard, explicit requirement, not a soft preference, and is not fabricated on resume. No tailored resume built yet.</t>
        </is>
      </c>
      <c r="Q350" s="48" t="n"/>
      <c r="R350" s="48" t="n"/>
      <c r="S350" s="51" t="n"/>
      <c r="T350" s="52">
        <f>IF(G350="","",G350)</f>
        <v/>
      </c>
      <c r="U350" s="52">
        <f>IF(C350="","",IF(OR(ISNUMBER(SEARCH("Director",C350)),ISNUMBER(SEARCH("Lead",C350)),ISNUMBER(SEARCH("Senior",C350)),ISNUMBER(SEARCH("Sr.",C350))),90,IF(OR(ISNUMBER(SEARCH("Manager",C350)),ISNUMBER(SEARCH("Program",C350)),ISNUMBER(SEARCH("Portfolio",C350))),80,60)))</f>
        <v/>
      </c>
      <c r="V350" s="52">
        <f>IF(C350="","",IF(OR(ISNUMBER(SEARCH("AI",C350)),ISNUMBER(SEARCH("Data",C350)),ISNUMBER(SEARCH("Technology",C350)),ISNUMBER(SEARCH("Technical",C350)),ISNUMBER(SEARCH("Engineering",C350)),ISNUMBER(SEARCH("Platform",C350)),ISNUMBER(SEARCH("Portfolio",C350))),85,65))</f>
        <v/>
      </c>
      <c r="W350" s="52">
        <f>IF(C350="","",MIN(100,50+IF(S350&lt;&gt;"",25,0)+IF(R350&lt;&gt;"",15,0)+IF(P350&lt;&gt;"",10,0)))</f>
        <v/>
      </c>
      <c r="X350" s="52">
        <f>IF(E350="","",IF(OR(E350="Canada",E350="CA"),100,IF(OR(E350="United States",E350="USA",E350="US"),IF(J350="Yes",45,75),65)))</f>
        <v/>
      </c>
      <c r="Y350" s="52">
        <f>IF(C350="","",IF(OR(ISNUMBER(SEARCH("Program",C350)),ISNUMBER(SEARCH("Portfolio",C350)),ISNUMBER(SEARCH("Operations",C350)),ISNUMBER(SEARCH("Transformation",C350))),85,IF(ISNUMBER(SEARCH("Product Manager",C350)),55,70)))</f>
        <v/>
      </c>
      <c r="Z350" s="52">
        <f>IF(C350="","",MIN(100,IF(I350&lt;&gt;"",60,10)+IF(AA350&gt;0,MIN(40,AA350*20),0)))</f>
        <v/>
      </c>
      <c r="AA350" s="52">
        <f>IF(T350="","",ROUND(T350*25%+U350*15%+V350*10%+W350*15%+X350*15%+Y350*10%+Z350*10%,0))</f>
        <v/>
      </c>
      <c r="AB350" s="52">
        <f>IF(AA350="","",IF(X350&lt;50,"Selective / Barrier",IF(AA350&gt;=80,"Tier 1 - Pursue",IF(AA350&gt;=70,"Tier 2 - Pursue",IF(AA350&gt;=60,"Tier 3 - Selective","Do Not Pursue")))))</f>
        <v/>
      </c>
      <c r="AC350" s="52">
        <f>IF(C350="","",IF(I350&lt;&gt;"","Named Contact",IF(AA350&gt;0,"Outreach Logged","Cold")))</f>
        <v/>
      </c>
      <c r="AD350" s="52">
        <f>IF(B350="","",COUNTIF('Outreach Log'!$C:$C,B350))</f>
        <v/>
      </c>
      <c r="AE350" s="52">
        <f>IF(A350="","",IF(OR(K350="Rejected",K350="Closed"),IF(L350&lt;&gt;"",L350-A350,TODAY()-A350),TODAY()-A350))</f>
        <v/>
      </c>
      <c r="AF350" s="52">
        <f>IF(C350="","",IF(AND(AA350&gt;=70,AC350="Cold"),"High-fit but cold",IF(AND(AA350&lt;60,K350="Applied"),"Low-fit application",IF(AND(AA350&gt;=70,OR(AC350="Named Contact",AC350="Outreach Logged")),"Targeted pursuit","Review"))))</f>
        <v/>
      </c>
    </row>
    <row r="351" ht="15" customHeight="1" s="44">
      <c r="A351" s="53" t="n">
        <v>46264</v>
      </c>
      <c r="B351" s="48" t="inlineStr">
        <is>
          <t>Future Secure AI</t>
        </is>
      </c>
      <c r="C351" s="48" t="inlineStr">
        <is>
          <t>Engagement Lead</t>
        </is>
      </c>
      <c r="D351" s="48" t="n"/>
      <c r="E351" s="48" t="inlineStr">
        <is>
          <t>Canada</t>
        </is>
      </c>
      <c r="F351" s="48" t="inlineStr">
        <is>
          <t>Toronto (Hybrid)</t>
        </is>
      </c>
      <c r="G351" s="48" t="n"/>
      <c r="H351" s="48" t="inlineStr">
        <is>
          <t>LinkedIn Easy Apply</t>
        </is>
      </c>
      <c r="I351" s="48" t="n"/>
      <c r="J351" s="48" t="inlineStr">
        <is>
          <t>No</t>
        </is>
      </c>
      <c r="K351" s="55" t="inlineStr">
        <is>
          <t>Applied</t>
        </is>
      </c>
      <c r="L351" s="48" t="n"/>
      <c r="M351" s="48">
        <f>IF(OR(L215="",A215=""),"",L215-A215)</f>
        <v/>
      </c>
      <c r="N351" s="48" t="inlineStr">
        <is>
          <t>Get full JD and confirm level/fit score; check for a response</t>
        </is>
      </c>
      <c r="O351" s="48" t="n"/>
      <c r="P351" s="51" t="inlineStr">
        <is>
          <t>Found via Elena's LinkedIn screenshot (2026-09-06) showing status 'Applied · 1 week ago' with LinkedIn Apply badge, 'Actively reviewing applicants', over 100 applicants. Date Applied is approximate (screenshot only showed relative time, ~2026-08-30) — confirm exact date from LinkedIn 'My Jobs &gt; Applied' history if precision matters. Full job description was not captured (only the marketing-style 'About the Company' intro was visible), so Level and Fit Score are left blank rather than guessed — send the full JD if you want this scored against your Target Profile criteria. NOTE: appended here on 2026-09-10 out of strict chronological order (this application predates row 189 above) — sort by Date Applied if you want it repositioned; formulas were left row-local to avoid corrupting the sheet by manually re-sequencing. | Sponsorship set to No — Canada-based, and per Elena's standing rule no sponsorship is required for Canadian roles.</t>
        </is>
      </c>
      <c r="Q351" s="48" t="n"/>
      <c r="R351" s="48" t="n"/>
      <c r="S351" s="51" t="n"/>
      <c r="T351" s="52">
        <f>IF(G351="","",G351)</f>
        <v/>
      </c>
      <c r="U351" s="52">
        <f>IF(C351="","",IF(OR(ISNUMBER(SEARCH("Director",C351)),ISNUMBER(SEARCH("Lead",C351)),ISNUMBER(SEARCH("Senior",C351)),ISNUMBER(SEARCH("Sr.",C351))),90,IF(OR(ISNUMBER(SEARCH("Manager",C351)),ISNUMBER(SEARCH("Program",C351)),ISNUMBER(SEARCH("Portfolio",C351))),80,60)))</f>
        <v/>
      </c>
      <c r="V351" s="52">
        <f>IF(C351="","",IF(OR(ISNUMBER(SEARCH("AI",C351)),ISNUMBER(SEARCH("Data",C351)),ISNUMBER(SEARCH("Technology",C351)),ISNUMBER(SEARCH("Technical",C351)),ISNUMBER(SEARCH("Engineering",C351)),ISNUMBER(SEARCH("Platform",C351)),ISNUMBER(SEARCH("Portfolio",C351))),85,65))</f>
        <v/>
      </c>
      <c r="W351" s="52">
        <f>IF(C351="","",MIN(100,50+IF(S351&lt;&gt;"",25,0)+IF(R351&lt;&gt;"",15,0)+IF(P351&lt;&gt;"",10,0)))</f>
        <v/>
      </c>
      <c r="X351" s="52">
        <f>IF(E351="","",IF(OR(E351="Canada",E351="CA"),100,IF(OR(E351="United States",E351="USA",E351="US"),IF(J351="Yes",45,75),65)))</f>
        <v/>
      </c>
      <c r="Y351" s="52">
        <f>IF(C351="","",IF(OR(ISNUMBER(SEARCH("Program",C351)),ISNUMBER(SEARCH("Portfolio",C351)),ISNUMBER(SEARCH("Operations",C351)),ISNUMBER(SEARCH("Transformation",C351))),85,IF(ISNUMBER(SEARCH("Product Manager",C351)),55,70)))</f>
        <v/>
      </c>
      <c r="Z351" s="52">
        <f>IF(C351="","",MIN(100,IF(I351&lt;&gt;"",60,10)+IF(AA351&gt;0,MIN(40,AA351*20),0)))</f>
        <v/>
      </c>
      <c r="AA351" s="52">
        <f>IF(T351="","",ROUND(T351*25%+U351*15%+V351*10%+W351*15%+X351*15%+Y351*10%+Z351*10%,0))</f>
        <v/>
      </c>
      <c r="AB351" s="52">
        <f>IF(AA351="","",IF(X351&lt;50,"Selective / Barrier",IF(AA351&gt;=80,"Tier 1 - Pursue",IF(AA351&gt;=70,"Tier 2 - Pursue",IF(AA351&gt;=60,"Tier 3 - Selective","Do Not Pursue")))))</f>
        <v/>
      </c>
      <c r="AC351" s="52">
        <f>IF(C351="","",IF(I351&lt;&gt;"","Named Contact",IF(AA351&gt;0,"Outreach Logged","Cold")))</f>
        <v/>
      </c>
      <c r="AD351" s="52">
        <f>IF(B351="","",COUNTIF('Outreach Log'!$C:$C,B351))</f>
        <v/>
      </c>
      <c r="AE351" s="52">
        <f>IF(A351="","",IF(OR(K351="Rejected",K351="Closed"),IF(L351&lt;&gt;"",L351-A351,TODAY()-A351),TODAY()-A351))</f>
        <v/>
      </c>
      <c r="AF351" s="52">
        <f>IF(C351="","",IF(AND(AA351&gt;=70,AC351="Cold"),"High-fit but cold",IF(AND(AA351&lt;60,K351="Applied"),"Low-fit application",IF(AND(AA351&gt;=70,OR(AC351="Named Contact",AC351="Outreach Logged")),"Targeted pursuit","Review"))))</f>
        <v/>
      </c>
    </row>
    <row r="352" ht="15" customHeight="1" s="44">
      <c r="A352" s="53" t="n">
        <v>46266</v>
      </c>
      <c r="B352" s="48" t="inlineStr">
        <is>
          <t>Stepful</t>
        </is>
      </c>
      <c r="C352" s="48" t="inlineStr">
        <is>
          <t>Staff Product Manager, B2B</t>
        </is>
      </c>
      <c r="D352" s="48" t="inlineStr">
        <is>
          <t>Staff PM</t>
        </is>
      </c>
      <c r="E352" s="48" t="inlineStr">
        <is>
          <t>US</t>
        </is>
      </c>
      <c r="F352" s="48" t="inlineStr">
        <is>
          <t>New York, NY (On-site)</t>
        </is>
      </c>
      <c r="G352" s="48" t="n">
        <v>45</v>
      </c>
      <c r="H352" s="48" t="inlineStr">
        <is>
          <t>Cold Portal</t>
        </is>
      </c>
      <c r="I352" s="48" t="n"/>
      <c r="J352" s="48" t="inlineStr">
        <is>
          <t>Yes</t>
        </is>
      </c>
      <c r="K352" s="49" t="inlineStr">
        <is>
          <t>Rejected</t>
        </is>
      </c>
      <c r="L352" s="50" t="n">
        <v>46266</v>
      </c>
      <c r="M352" s="48">
        <f>IF(OR(L216="",A216=""),"",L216-A216)</f>
        <v/>
      </c>
      <c r="N352" s="48" t="n"/>
      <c r="O352" s="48" t="n"/>
      <c r="P352" s="51" t="inlineStr">
        <is>
          <t>Rejected via Stepful (no-reply@ashbyhq.com), 2026-09-01: not moving forward, background does not align closely enough with current team needs. Note: original application date to this role is unknown - this is the first record of it in the tracker, logged based on the rejection email received today. | Est. fit score: 45% — Staff Product Manager (B2B) — product-management discipline rather than her program/portfolio core, and rejection note ('background does not align closely enough') suggests a real gap; location/sponsorship unconfirmed | CONFIRMED via job posting (Oak HC/FT board, Ashby): New York, NY, on-site at SoHo office required for interview process (not remote); Staff-level, 10+ years B2B PM experience required; founding PM role scaling Stepful for Business (enterprise offering for healthcare systems); $191K-$254K base + equity. US on-site confirms sponsorship would be required — consistent with the rejection.</t>
        </is>
      </c>
      <c r="Q352" s="48" t="n"/>
      <c r="R352" s="48" t="n"/>
      <c r="S352" s="51" t="n"/>
      <c r="T352" s="52">
        <f>IF(G352="","",G352)</f>
        <v/>
      </c>
      <c r="U352" s="52">
        <f>IF(C352="","",IF(OR(ISNUMBER(SEARCH("Director",C352)),ISNUMBER(SEARCH("Lead",C352)),ISNUMBER(SEARCH("Senior",C352)),ISNUMBER(SEARCH("Sr.",C352))),90,IF(OR(ISNUMBER(SEARCH("Manager",C352)),ISNUMBER(SEARCH("Program",C352)),ISNUMBER(SEARCH("Portfolio",C352))),80,60)))</f>
        <v/>
      </c>
      <c r="V352" s="52">
        <f>IF(C352="","",IF(OR(ISNUMBER(SEARCH("AI",C352)),ISNUMBER(SEARCH("Data",C352)),ISNUMBER(SEARCH("Technology",C352)),ISNUMBER(SEARCH("Technical",C352)),ISNUMBER(SEARCH("Engineering",C352)),ISNUMBER(SEARCH("Platform",C352)),ISNUMBER(SEARCH("Portfolio",C352))),85,65))</f>
        <v/>
      </c>
      <c r="W352" s="52">
        <f>IF(C352="","",MIN(100,50+IF(S352&lt;&gt;"",25,0)+IF(R352&lt;&gt;"",15,0)+IF(P352&lt;&gt;"",10,0)))</f>
        <v/>
      </c>
      <c r="X352" s="52">
        <f>IF(E352="","",IF(OR(E352="Canada",E352="CA"),100,IF(OR(E352="United States",E352="USA",E352="US"),IF(J352="Yes",45,75),65)))</f>
        <v/>
      </c>
      <c r="Y352" s="52">
        <f>IF(C352="","",IF(OR(ISNUMBER(SEARCH("Program",C352)),ISNUMBER(SEARCH("Portfolio",C352)),ISNUMBER(SEARCH("Operations",C352)),ISNUMBER(SEARCH("Transformation",C352))),85,IF(ISNUMBER(SEARCH("Product Manager",C352)),55,70)))</f>
        <v/>
      </c>
      <c r="Z352" s="52">
        <f>IF(C352="","",MIN(100,IF(I352&lt;&gt;"",60,10)+IF(AA352&gt;0,MIN(40,AA352*20),0)))</f>
        <v/>
      </c>
      <c r="AA352" s="52">
        <f>IF(T352="","",ROUND(T352*25%+U352*15%+V352*10%+W352*15%+X352*15%+Y352*10%+Z352*10%,0))</f>
        <v/>
      </c>
      <c r="AB352" s="52">
        <f>IF(AA352="","",IF(X352&lt;50,"Selective / Barrier",IF(AA352&gt;=80,"Tier 1 - Pursue",IF(AA352&gt;=70,"Tier 2 - Pursue",IF(AA352&gt;=60,"Tier 3 - Selective","Do Not Pursue")))))</f>
        <v/>
      </c>
      <c r="AC352" s="52">
        <f>IF(C352="","",IF(I352&lt;&gt;"","Named Contact",IF(AA352&gt;0,"Outreach Logged","Cold")))</f>
        <v/>
      </c>
      <c r="AD352" s="52">
        <f>IF(B352="","",COUNTIF('Outreach Log'!$C:$C,B352))</f>
        <v/>
      </c>
      <c r="AE352" s="52">
        <f>IF(A352="","",IF(OR(K352="Rejected",K352="Closed"),IF(L352&lt;&gt;"",L352-A352,TODAY()-A352),TODAY()-A352))</f>
        <v/>
      </c>
      <c r="AF352" s="52">
        <f>IF(C352="","",IF(AND(AA352&gt;=70,AC352="Cold"),"High-fit but cold",IF(AND(AA352&lt;60,K352="Applied"),"Low-fit application",IF(AND(AA352&gt;=70,OR(AC352="Named Contact",AC352="Outreach Logged")),"Targeted pursuit","Review"))))</f>
        <v/>
      </c>
    </row>
    <row r="353" ht="15" customHeight="1" s="44">
      <c r="A353" s="53" t="n">
        <v>46266</v>
      </c>
      <c r="B353" s="48" t="inlineStr">
        <is>
          <t>Retell AI</t>
        </is>
      </c>
      <c r="C353" s="48" t="inlineStr">
        <is>
          <t>Founders Initiatives, Technical Ex-Founders</t>
        </is>
      </c>
      <c r="D353" s="48" t="inlineStr">
        <is>
          <t>Other</t>
        </is>
      </c>
      <c r="E353" s="48" t="inlineStr">
        <is>
          <t>US</t>
        </is>
      </c>
      <c r="F353" s="48" t="inlineStr">
        <is>
          <t>San Francisco Bay Area (On-site)</t>
        </is>
      </c>
      <c r="G353" s="48" t="n">
        <v>45</v>
      </c>
      <c r="H353" s="48" t="inlineStr">
        <is>
          <t>LinkedIn</t>
        </is>
      </c>
      <c r="I353" s="48" t="n"/>
      <c r="J353" s="48" t="inlineStr">
        <is>
          <t>Yes</t>
        </is>
      </c>
      <c r="K353" s="55" t="inlineStr">
        <is>
          <t>Applied</t>
        </is>
      </c>
      <c r="L353" s="48" t="n"/>
      <c r="M353" s="48">
        <f>IF(OR(L217="",A217=""),"",L217-A217)</f>
        <v/>
      </c>
      <c r="N353" s="48" t="n"/>
      <c r="O353" s="48" t="n"/>
      <c r="P353" s="51" t="inlineStr">
        <is>
          <t>Applied ~2026-09-01 (per LinkedIn "My Jobs" — "Applied 2w ago", posted 3mo ago). Retroactively logged via LinkedIn tracker screenshot review 2026-09-15 — was missing entirely. Est. fit score: 45 — an early-stage AI startup "technical ex-founder" role is a nonstandard fit for her enterprise program/portfolio background; on-site SF relocation also a practical barrier.</t>
        </is>
      </c>
      <c r="Q353" s="48" t="n"/>
      <c r="R353" s="48" t="n"/>
      <c r="S353" s="51" t="n"/>
      <c r="T353" s="52">
        <f>IF(G353="","",G353)</f>
        <v/>
      </c>
      <c r="U353" s="52">
        <f>IF(C353="","",IF(OR(ISNUMBER(SEARCH("Director",C353)),ISNUMBER(SEARCH("Lead",C353)),ISNUMBER(SEARCH("Senior",C353)),ISNUMBER(SEARCH("Sr.",C353))),90,IF(OR(ISNUMBER(SEARCH("Manager",C353)),ISNUMBER(SEARCH("Program",C353)),ISNUMBER(SEARCH("Portfolio",C353))),80,60)))</f>
        <v/>
      </c>
      <c r="V353" s="52">
        <f>IF(C353="","",IF(OR(ISNUMBER(SEARCH("AI",C353)),ISNUMBER(SEARCH("Data",C353)),ISNUMBER(SEARCH("Technology",C353)),ISNUMBER(SEARCH("Technical",C353)),ISNUMBER(SEARCH("Engineering",C353)),ISNUMBER(SEARCH("Platform",C353)),ISNUMBER(SEARCH("Portfolio",C353))),85,65))</f>
        <v/>
      </c>
      <c r="W353" s="52">
        <f>IF(C353="","",MIN(100,50+IF(S353&lt;&gt;"",25,0)+IF(R353&lt;&gt;"",15,0)+IF(P353&lt;&gt;"",10,0)))</f>
        <v/>
      </c>
      <c r="X353" s="52">
        <f>IF(E353="","",IF(OR(E353="Canada",E353="CA"),100,IF(OR(E353="United States",E353="USA",E353="US"),IF(J353="Yes",45,75),65)))</f>
        <v/>
      </c>
      <c r="Y353" s="52">
        <f>IF(C353="","",IF(OR(ISNUMBER(SEARCH("Program",C353)),ISNUMBER(SEARCH("Portfolio",C353)),ISNUMBER(SEARCH("Operations",C353)),ISNUMBER(SEARCH("Transformation",C353))),85,IF(ISNUMBER(SEARCH("Product Manager",C353)),55,70)))</f>
        <v/>
      </c>
      <c r="Z353" s="52">
        <f>IF(C353="","",MIN(100,IF(I353&lt;&gt;"",60,10)+IF(AA353&gt;0,MIN(40,AA353*20),0)))</f>
        <v/>
      </c>
      <c r="AA353" s="52">
        <f>IF(T353="","",ROUND(T353*25%+U353*15%+V353*10%+W353*15%+X353*15%+Y353*10%+Z353*10%,0))</f>
        <v/>
      </c>
      <c r="AB353" s="52">
        <f>IF(AA353="","",IF(X353&lt;50,"Selective / Barrier",IF(AA353&gt;=80,"Tier 1 - Pursue",IF(AA353&gt;=70,"Tier 2 - Pursue",IF(AA353&gt;=60,"Tier 3 - Selective","Do Not Pursue")))))</f>
        <v/>
      </c>
      <c r="AC353" s="52">
        <f>IF(C353="","",IF(I353&lt;&gt;"","Named Contact",IF(AA353&gt;0,"Outreach Logged","Cold")))</f>
        <v/>
      </c>
      <c r="AD353" s="52">
        <f>IF(B353="","",COUNTIF('Outreach Log'!$C:$C,B353))</f>
        <v/>
      </c>
      <c r="AE353" s="52">
        <f>IF(A353="","",IF(OR(K353="Rejected",K353="Closed"),IF(L353&lt;&gt;"",L353-A353,TODAY()-A353),TODAY()-A353))</f>
        <v/>
      </c>
      <c r="AF353" s="52">
        <f>IF(C353="","",IF(AND(AA353&gt;=70,AC353="Cold"),"High-fit but cold",IF(AND(AA353&lt;60,K353="Applied"),"Low-fit application",IF(AND(AA353&gt;=70,OR(AC353="Named Contact",AC353="Outreach Logged")),"Targeted pursuit","Review"))))</f>
        <v/>
      </c>
    </row>
    <row r="354" ht="15" customHeight="1" s="44">
      <c r="A354" s="53" t="n">
        <v>46266</v>
      </c>
      <c r="B354" s="48" t="inlineStr">
        <is>
          <t>Apex Systems</t>
        </is>
      </c>
      <c r="C354" s="48" t="inlineStr">
        <is>
          <t>Program Manager 3 (contract)</t>
        </is>
      </c>
      <c r="D354" s="48" t="n"/>
      <c r="E354" s="48" t="n"/>
      <c r="F354" s="48" t="n"/>
      <c r="G354" s="48" t="n"/>
      <c r="H354" s="48" t="n"/>
      <c r="I354" s="48" t="n"/>
      <c r="J354" s="48" t="n"/>
      <c r="K354" s="55" t="inlineStr">
        <is>
          <t>Applied</t>
        </is>
      </c>
      <c r="L354" s="48" t="n"/>
      <c r="M354" s="48" t="n"/>
      <c r="N354" s="48" t="n"/>
      <c r="O354" s="48" t="n"/>
      <c r="P354" s="51" t="n"/>
      <c r="Q354" s="48" t="n"/>
      <c r="R354" s="48" t="n"/>
      <c r="S354" s="51" t="n"/>
      <c r="T354" s="52">
        <f>IF(G354="","",G354)</f>
        <v/>
      </c>
      <c r="U354" s="52">
        <f>IF(C354="","",IF(OR(ISNUMBER(SEARCH("Director",C354)),ISNUMBER(SEARCH("Lead",C354)),ISNUMBER(SEARCH("Senior",C354)),ISNUMBER(SEARCH("Sr.",C354))),90,IF(OR(ISNUMBER(SEARCH("Manager",C354)),ISNUMBER(SEARCH("Program",C354)),ISNUMBER(SEARCH("Portfolio",C354))),80,60)))</f>
        <v/>
      </c>
      <c r="V354" s="52">
        <f>IF(C354="","",IF(OR(ISNUMBER(SEARCH("AI",C354)),ISNUMBER(SEARCH("Data",C354)),ISNUMBER(SEARCH("Technology",C354)),ISNUMBER(SEARCH("Technical",C354)),ISNUMBER(SEARCH("Engineering",C354)),ISNUMBER(SEARCH("Platform",C354)),ISNUMBER(SEARCH("Portfolio",C354))),85,65))</f>
        <v/>
      </c>
      <c r="W354" s="52">
        <f>IF(C354="","",MIN(100,50+IF(S354&lt;&gt;"",25,0)+IF(R354&lt;&gt;"",15,0)+IF(P354&lt;&gt;"",10,0)))</f>
        <v/>
      </c>
      <c r="X354" s="52">
        <f>IF(E354="","",IF(OR(E354="Canada",E354="CA"),100,IF(OR(E354="United States",E354="USA",E354="US"),IF(J354="Yes",45,75),65)))</f>
        <v/>
      </c>
      <c r="Y354" s="52">
        <f>IF(C354="","",IF(OR(ISNUMBER(SEARCH("Program",C354)),ISNUMBER(SEARCH("Portfolio",C354)),ISNUMBER(SEARCH("Operations",C354)),ISNUMBER(SEARCH("Transformation",C354))),85,IF(ISNUMBER(SEARCH("Product Manager",C354)),55,70)))</f>
        <v/>
      </c>
      <c r="Z354" s="52">
        <f>IF(C354="","",MIN(100,IF(I354&lt;&gt;"",60,10)+IF(AA354&gt;0,MIN(40,AA354*20),0)))</f>
        <v/>
      </c>
      <c r="AA354" s="52">
        <f>IF(T354="","",ROUND(T354*25%+U354*15%+V354*10%+W354*15%+X354*15%+Y354*10%+Z354*10%,0))</f>
        <v/>
      </c>
      <c r="AB354" s="52">
        <f>IF(AA354="","",IF(X354&lt;50,"Selective / Barrier",IF(AA354&gt;=80,"Tier 1 - Pursue",IF(AA354&gt;=70,"Tier 2 - Pursue",IF(AA354&gt;=60,"Tier 3 - Selective","Do Not Pursue")))))</f>
        <v/>
      </c>
      <c r="AC354" s="52">
        <f>IF(C354="","",IF(I354&lt;&gt;"","Named Contact",IF(AA354&gt;0,"Outreach Logged","Cold")))</f>
        <v/>
      </c>
      <c r="AD354" s="52">
        <f>IF(B354="","",COUNTIF('Outreach Log'!$C:$C,B354))</f>
        <v/>
      </c>
      <c r="AE354" s="52">
        <f>IF(A354="","",IF(OR(K354="Rejected",K354="Closed"),IF(L354&lt;&gt;"",L354-A354,TODAY()-A354),TODAY()-A354))</f>
        <v/>
      </c>
      <c r="AF354" s="52">
        <f>IF(C354="","",IF(AND(AA354&gt;=70,AC354="Cold"),"High-fit but cold",IF(AND(AA354&lt;60,K354="Applied"),"Low-fit application",IF(AND(AA354&gt;=70,OR(AC354="Named Contact",AC354="Outreach Logged")),"Targeted pursuit","Review"))))</f>
        <v/>
      </c>
    </row>
    <row r="355" ht="15" customHeight="1" s="44">
      <c r="A355" s="53" t="n">
        <v>46267</v>
      </c>
      <c r="B355" s="48" t="inlineStr">
        <is>
          <t>CGI</t>
        </is>
      </c>
      <c r="C355" s="48" t="inlineStr">
        <is>
          <t>Copilot Studio Developer</t>
        </is>
      </c>
      <c r="D355" s="48" t="n"/>
      <c r="E355" s="48" t="inlineStr">
        <is>
          <t>Canada</t>
        </is>
      </c>
      <c r="F355" s="48" t="inlineStr">
        <is>
          <t>Toronto</t>
        </is>
      </c>
      <c r="G355" s="48" t="n">
        <v>20</v>
      </c>
      <c r="H355" s="48" t="inlineStr">
        <is>
          <t>Cold Portal</t>
        </is>
      </c>
      <c r="I355" s="48" t="n"/>
      <c r="J355" s="48" t="inlineStr">
        <is>
          <t>No</t>
        </is>
      </c>
      <c r="K355" s="55" t="inlineStr">
        <is>
          <t>Applied</t>
        </is>
      </c>
      <c r="L355" s="48" t="n"/>
      <c r="M355" s="48">
        <f>IF(OR(L218="",A218=""),"",L218-A218)</f>
        <v/>
      </c>
      <c r="N355" s="48" t="n"/>
      <c r="O355" s="48" t="n"/>
      <c r="P355" s="51" t="inlineStr">
        <is>
          <t>Applied via Indeed 2026-09-02. Company confirmed by Elena as CGI, Toronto, Canada. Level/Fit Score not yet confirmed. | Est. fit score: 20% — hands-on Copilot Studio developer/implementation role — an individual-contributor technical build role, far below her Director/Senior Manager program leadership level despite the Canada/no-sponsorship fit</t>
        </is>
      </c>
      <c r="Q355" s="48" t="n"/>
      <c r="R355" s="48" t="n"/>
      <c r="S355" s="51" t="n"/>
      <c r="T355" s="52">
        <f>IF(G355="","",G355)</f>
        <v/>
      </c>
      <c r="U355" s="52">
        <f>IF(C355="","",IF(OR(ISNUMBER(SEARCH("Director",C355)),ISNUMBER(SEARCH("Lead",C355)),ISNUMBER(SEARCH("Senior",C355)),ISNUMBER(SEARCH("Sr.",C355))),90,IF(OR(ISNUMBER(SEARCH("Manager",C355)),ISNUMBER(SEARCH("Program",C355)),ISNUMBER(SEARCH("Portfolio",C355))),80,60)))</f>
        <v/>
      </c>
      <c r="V355" s="52">
        <f>IF(C355="","",IF(OR(ISNUMBER(SEARCH("AI",C355)),ISNUMBER(SEARCH("Data",C355)),ISNUMBER(SEARCH("Technology",C355)),ISNUMBER(SEARCH("Technical",C355)),ISNUMBER(SEARCH("Engineering",C355)),ISNUMBER(SEARCH("Platform",C355)),ISNUMBER(SEARCH("Portfolio",C355))),85,65))</f>
        <v/>
      </c>
      <c r="W355" s="52">
        <f>IF(C355="","",MIN(100,50+IF(S355&lt;&gt;"",25,0)+IF(R355&lt;&gt;"",15,0)+IF(P355&lt;&gt;"",10,0)))</f>
        <v/>
      </c>
      <c r="X355" s="52">
        <f>IF(E355="","",IF(OR(E355="Canada",E355="CA"),100,IF(OR(E355="United States",E355="USA",E355="US"),IF(J355="Yes",45,75),65)))</f>
        <v/>
      </c>
      <c r="Y355" s="52">
        <f>IF(C355="","",IF(OR(ISNUMBER(SEARCH("Program",C355)),ISNUMBER(SEARCH("Portfolio",C355)),ISNUMBER(SEARCH("Operations",C355)),ISNUMBER(SEARCH("Transformation",C355))),85,IF(ISNUMBER(SEARCH("Product Manager",C355)),55,70)))</f>
        <v/>
      </c>
      <c r="Z355" s="52">
        <f>IF(C355="","",MIN(100,IF(I355&lt;&gt;"",60,10)+IF(AA355&gt;0,MIN(40,AA355*20),0)))</f>
        <v/>
      </c>
      <c r="AA355" s="52">
        <f>IF(T355="","",ROUND(T355*25%+U355*15%+V355*10%+W355*15%+X355*15%+Y355*10%+Z355*10%,0))</f>
        <v/>
      </c>
      <c r="AB355" s="52">
        <f>IF(AA355="","",IF(X355&lt;50,"Selective / Barrier",IF(AA355&gt;=80,"Tier 1 - Pursue",IF(AA355&gt;=70,"Tier 2 - Pursue",IF(AA355&gt;=60,"Tier 3 - Selective","Do Not Pursue")))))</f>
        <v/>
      </c>
      <c r="AC355" s="52">
        <f>IF(C355="","",IF(I355&lt;&gt;"","Named Contact",IF(AA355&gt;0,"Outreach Logged","Cold")))</f>
        <v/>
      </c>
      <c r="AD355" s="52">
        <f>IF(B355="","",COUNTIF('Outreach Log'!$C:$C,B355))</f>
        <v/>
      </c>
      <c r="AE355" s="52">
        <f>IF(A355="","",IF(OR(K355="Rejected",K355="Closed"),IF(L355&lt;&gt;"",L355-A355,TODAY()-A355),TODAY()-A355))</f>
        <v/>
      </c>
      <c r="AF355" s="52">
        <f>IF(C355="","",IF(AND(AA355&gt;=70,AC355="Cold"),"High-fit but cold",IF(AND(AA355&lt;60,K355="Applied"),"Low-fit application",IF(AND(AA355&gt;=70,OR(AC355="Named Contact",AC355="Outreach Logged")),"Targeted pursuit","Review"))))</f>
        <v/>
      </c>
    </row>
    <row r="356" ht="15" customHeight="1" s="44">
      <c r="A356" s="53" t="n">
        <v>46268</v>
      </c>
      <c r="B356" s="48" t="inlineStr">
        <is>
          <t>Microsoft</t>
        </is>
      </c>
      <c r="C356" s="48" t="inlineStr">
        <is>
          <t>Senior Technical Program Manager - Devices Operations</t>
        </is>
      </c>
      <c r="D356" s="48" t="inlineStr">
        <is>
          <t>Senior IC (TPM IC4)</t>
        </is>
      </c>
      <c r="E356" s="48" t="inlineStr">
        <is>
          <t>US</t>
        </is>
      </c>
      <c r="F356" s="48" t="inlineStr">
        <is>
          <t>Redmond, WA (Hybrid)</t>
        </is>
      </c>
      <c r="G356" s="48" t="n">
        <v>76</v>
      </c>
      <c r="H356" s="48" t="inlineStr">
        <is>
          <t>LinkedIn (saved job) / Company Site</t>
        </is>
      </c>
      <c r="I356" s="48" t="n"/>
      <c r="J356" s="48" t="inlineStr">
        <is>
          <t>Yes</t>
        </is>
      </c>
      <c r="K356" s="55" t="inlineStr">
        <is>
          <t>Applied</t>
        </is>
      </c>
      <c r="L356" s="48" t="n"/>
      <c r="M356" s="48">
        <f>IF(OR(L219="",A219=""),"",L219-A219)</f>
        <v/>
      </c>
      <c r="N356" s="48" t="n"/>
      <c r="O356" s="48" t="n"/>
      <c r="P356" s="51" t="inlineStr">
        <is>
          <t>Applied via Microsoft Careers site 2026-09-03 (job saved on LinkedIn, application submitted on apply.careers.microsoft.com). Resume tailored to this role: Resume_ElenaShchetinina_Microsoft_SeniorTPM_DevicesOperations.docx. Fit score 76% - strong match on AI product/roadmap ownership (Bell Canada AI automation roadmap work) and cross-functional technical delivery (Amazon); gaps on hands-on data prototyping and GTM/customer-adoption ownership framing, and no direct devices/supply-chain domain overlap (preferred, not required).</t>
        </is>
      </c>
      <c r="Q356" s="48" t="n"/>
      <c r="R356" s="48" t="n"/>
      <c r="S356" s="51" t="n"/>
      <c r="T356" s="52">
        <f>IF(G356="","",G356)</f>
        <v/>
      </c>
      <c r="U356" s="52">
        <f>IF(C356="","",IF(OR(ISNUMBER(SEARCH("Director",C356)),ISNUMBER(SEARCH("Lead",C356)),ISNUMBER(SEARCH("Senior",C356)),ISNUMBER(SEARCH("Sr.",C356))),90,IF(OR(ISNUMBER(SEARCH("Manager",C356)),ISNUMBER(SEARCH("Program",C356)),ISNUMBER(SEARCH("Portfolio",C356))),80,60)))</f>
        <v/>
      </c>
      <c r="V356" s="52">
        <f>IF(C356="","",IF(OR(ISNUMBER(SEARCH("AI",C356)),ISNUMBER(SEARCH("Data",C356)),ISNUMBER(SEARCH("Technology",C356)),ISNUMBER(SEARCH("Technical",C356)),ISNUMBER(SEARCH("Engineering",C356)),ISNUMBER(SEARCH("Platform",C356)),ISNUMBER(SEARCH("Portfolio",C356))),85,65))</f>
        <v/>
      </c>
      <c r="W356" s="52">
        <f>IF(C356="","",MIN(100,50+IF(S356&lt;&gt;"",25,0)+IF(R356&lt;&gt;"",15,0)+IF(P356&lt;&gt;"",10,0)))</f>
        <v/>
      </c>
      <c r="X356" s="52">
        <f>IF(E356="","",IF(OR(E356="Canada",E356="CA"),100,IF(OR(E356="United States",E356="USA",E356="US"),IF(J356="Yes",45,75),65)))</f>
        <v/>
      </c>
      <c r="Y356" s="52">
        <f>IF(C356="","",IF(OR(ISNUMBER(SEARCH("Program",C356)),ISNUMBER(SEARCH("Portfolio",C356)),ISNUMBER(SEARCH("Operations",C356)),ISNUMBER(SEARCH("Transformation",C356))),85,IF(ISNUMBER(SEARCH("Product Manager",C356)),55,70)))</f>
        <v/>
      </c>
      <c r="Z356" s="52">
        <f>IF(C356="","",MIN(100,IF(I356&lt;&gt;"",60,10)+IF(AA356&gt;0,MIN(40,AA356*20),0)))</f>
        <v/>
      </c>
      <c r="AA356" s="52">
        <f>IF(T356="","",ROUND(T356*25%+U356*15%+V356*10%+W356*15%+X356*15%+Y356*10%+Z356*10%,0))</f>
        <v/>
      </c>
      <c r="AB356" s="52">
        <f>IF(AA356="","",IF(X356&lt;50,"Selective / Barrier",IF(AA356&gt;=80,"Tier 1 - Pursue",IF(AA356&gt;=70,"Tier 2 - Pursue",IF(AA356&gt;=60,"Tier 3 - Selective","Do Not Pursue")))))</f>
        <v/>
      </c>
      <c r="AC356" s="52">
        <f>IF(C356="","",IF(I356&lt;&gt;"","Named Contact",IF(AA356&gt;0,"Outreach Logged","Cold")))</f>
        <v/>
      </c>
      <c r="AD356" s="52">
        <f>IF(B356="","",COUNTIF('Outreach Log'!$C:$C,B356))</f>
        <v/>
      </c>
      <c r="AE356" s="52">
        <f>IF(A356="","",IF(OR(K356="Rejected",K356="Closed"),IF(L356&lt;&gt;"",L356-A356,TODAY()-A356),TODAY()-A356))</f>
        <v/>
      </c>
      <c r="AF356" s="52">
        <f>IF(C356="","",IF(AND(AA356&gt;=70,AC356="Cold"),"High-fit but cold",IF(AND(AA356&lt;60,K356="Applied"),"Low-fit application",IF(AND(AA356&gt;=70,OR(AC356="Named Contact",AC356="Outreach Logged")),"Targeted pursuit","Review"))))</f>
        <v/>
      </c>
    </row>
    <row r="357" ht="15" customHeight="1" s="44">
      <c r="A357" s="53" t="n">
        <v>46268</v>
      </c>
      <c r="B357" s="48" t="inlineStr">
        <is>
          <t>Manulife</t>
        </is>
      </c>
      <c r="C357" s="48" t="inlineStr">
        <is>
          <t>AVP, AI Delivery</t>
        </is>
      </c>
      <c r="D357" s="48" t="inlineStr">
        <is>
          <t>AVP</t>
        </is>
      </c>
      <c r="E357" s="48" t="inlineStr">
        <is>
          <t>Canada</t>
        </is>
      </c>
      <c r="F357" s="48" t="inlineStr">
        <is>
          <t>Toronto</t>
        </is>
      </c>
      <c r="G357" s="48" t="n">
        <v>82</v>
      </c>
      <c r="H357" s="48" t="inlineStr">
        <is>
          <t>LinkedIn</t>
        </is>
      </c>
      <c r="I357" s="48" t="n"/>
      <c r="J357" s="48" t="inlineStr">
        <is>
          <t>No</t>
        </is>
      </c>
      <c r="K357" s="55" t="inlineStr">
        <is>
          <t>Applied</t>
        </is>
      </c>
      <c r="L357" s="48" t="n"/>
      <c r="M357" s="48">
        <f>IF(OR(L220="",A220=""),"",L220-A220)</f>
        <v/>
      </c>
      <c r="N357" s="48" t="n"/>
      <c r="O357" s="48" t="n"/>
      <c r="P357" s="51" t="inlineStr">
        <is>
          <t>Applied 2026-09-03 (self-submitted, found via daily LinkedIn job-match trial run). Resume tailored: Elena_Shchetinina_AVP_AI_Delivery_Resume.docx (refined from Resume_Elena_Manulife_AVP_AI_Delivery.docx). Fit score 82% - strong alignment on AI delivery governance leadership (Bell TCO AI-solution evaluation, IBM CIO risk-log/intake governance, Price &amp; Pay executive reporting); gap: no direct insurance-industry experience (preferred, not required). Job link: linkedin.com/jobs/view/4448536352 CONFIRMED via Workday auto-ack email (manulife@myworkday.com), received 2026-09-03 3:07pm ET, subject "Thanks for applying at Manulife/John Hancock - Candidate Home Account Pending Action": "This email is to confirm that you have successfully applied for the AVP, AI Delivery position." Company recruits jointly as Manulife/John Hancock; Candidate Home Account created.</t>
        </is>
      </c>
      <c r="Q357" s="48" t="n"/>
      <c r="R357" s="48" t="n"/>
      <c r="S357" s="51" t="n"/>
      <c r="T357" s="52">
        <f>IF(G357="","",G357)</f>
        <v/>
      </c>
      <c r="U357" s="52">
        <f>IF(C357="","",IF(OR(ISNUMBER(SEARCH("Director",C357)),ISNUMBER(SEARCH("Lead",C357)),ISNUMBER(SEARCH("Senior",C357)),ISNUMBER(SEARCH("Sr.",C357))),90,IF(OR(ISNUMBER(SEARCH("Manager",C357)),ISNUMBER(SEARCH("Program",C357)),ISNUMBER(SEARCH("Portfolio",C357))),80,60)))</f>
        <v/>
      </c>
      <c r="V357" s="52">
        <f>IF(C357="","",IF(OR(ISNUMBER(SEARCH("AI",C357)),ISNUMBER(SEARCH("Data",C357)),ISNUMBER(SEARCH("Technology",C357)),ISNUMBER(SEARCH("Technical",C357)),ISNUMBER(SEARCH("Engineering",C357)),ISNUMBER(SEARCH("Platform",C357)),ISNUMBER(SEARCH("Portfolio",C357))),85,65))</f>
        <v/>
      </c>
      <c r="W357" s="52">
        <f>IF(C357="","",MIN(100,50+IF(S357&lt;&gt;"",25,0)+IF(R357&lt;&gt;"",15,0)+IF(P357&lt;&gt;"",10,0)))</f>
        <v/>
      </c>
      <c r="X357" s="52">
        <f>IF(E357="","",IF(OR(E357="Canada",E357="CA"),100,IF(OR(E357="United States",E357="USA",E357="US"),IF(J357="Yes",45,75),65)))</f>
        <v/>
      </c>
      <c r="Y357" s="52">
        <f>IF(C357="","",IF(OR(ISNUMBER(SEARCH("Program",C357)),ISNUMBER(SEARCH("Portfolio",C357)),ISNUMBER(SEARCH("Operations",C357)),ISNUMBER(SEARCH("Transformation",C357))),85,IF(ISNUMBER(SEARCH("Product Manager",C357)),55,70)))</f>
        <v/>
      </c>
      <c r="Z357" s="52">
        <f>IF(C357="","",MIN(100,IF(I357&lt;&gt;"",60,10)+IF(AA357&gt;0,MIN(40,AA357*20),0)))</f>
        <v/>
      </c>
      <c r="AA357" s="52">
        <f>IF(T357="","",ROUND(T357*25%+U357*15%+V357*10%+W357*15%+X357*15%+Y357*10%+Z357*10%,0))</f>
        <v/>
      </c>
      <c r="AB357" s="52">
        <f>IF(AA357="","",IF(X357&lt;50,"Selective / Barrier",IF(AA357&gt;=80,"Tier 1 - Pursue",IF(AA357&gt;=70,"Tier 2 - Pursue",IF(AA357&gt;=60,"Tier 3 - Selective","Do Not Pursue")))))</f>
        <v/>
      </c>
      <c r="AC357" s="52">
        <f>IF(C357="","",IF(I357&lt;&gt;"","Named Contact",IF(AA357&gt;0,"Outreach Logged","Cold")))</f>
        <v/>
      </c>
      <c r="AD357" s="52">
        <f>IF(B357="","",COUNTIF('Outreach Log'!$C:$C,B357))</f>
        <v/>
      </c>
      <c r="AE357" s="52">
        <f>IF(A357="","",IF(OR(K357="Rejected",K357="Closed"),IF(L357&lt;&gt;"",L357-A357,TODAY()-A357),TODAY()-A357))</f>
        <v/>
      </c>
      <c r="AF357" s="52">
        <f>IF(C357="","",IF(AND(AA357&gt;=70,AC357="Cold"),"High-fit but cold",IF(AND(AA357&lt;60,K357="Applied"),"Low-fit application",IF(AND(AA357&gt;=70,OR(AC357="Named Contact",AC357="Outreach Logged")),"Targeted pursuit","Review"))))</f>
        <v/>
      </c>
    </row>
    <row r="358" ht="15" customHeight="1" s="44">
      <c r="A358" s="53" t="n">
        <v>46268</v>
      </c>
      <c r="B358" s="48" t="inlineStr">
        <is>
          <t>OpenText</t>
        </is>
      </c>
      <c r="C358" s="48" t="inlineStr">
        <is>
          <t>Sr. Director, Product Management - Portfolio</t>
        </is>
      </c>
      <c r="D358" s="48" t="n"/>
      <c r="E358" s="48" t="n"/>
      <c r="F358" s="48" t="n"/>
      <c r="G358" s="48" t="n"/>
      <c r="H358" s="48" t="n"/>
      <c r="I358" s="48" t="n"/>
      <c r="J358" s="48" t="n"/>
      <c r="K358" s="55" t="inlineStr">
        <is>
          <t>Applied</t>
        </is>
      </c>
      <c r="L358" s="48" t="n"/>
      <c r="M358" s="48" t="n"/>
      <c r="N358" s="48" t="n"/>
      <c r="O358" s="48" t="n"/>
      <c r="P358" s="51" t="inlineStr">
        <is>
          <t>Duplicate/second confirmation</t>
        </is>
      </c>
      <c r="Q358" s="48" t="n"/>
      <c r="R358" s="48" t="n"/>
      <c r="S358" s="51" t="n"/>
      <c r="T358" s="52">
        <f>IF(G358="","",G358)</f>
        <v/>
      </c>
      <c r="U358" s="52">
        <f>IF(C358="","",IF(OR(ISNUMBER(SEARCH("Director",C358)),ISNUMBER(SEARCH("Lead",C358)),ISNUMBER(SEARCH("Senior",C358)),ISNUMBER(SEARCH("Sr.",C358))),90,IF(OR(ISNUMBER(SEARCH("Manager",C358)),ISNUMBER(SEARCH("Program",C358)),ISNUMBER(SEARCH("Portfolio",C358))),80,60)))</f>
        <v/>
      </c>
      <c r="V358" s="52">
        <f>IF(C358="","",IF(OR(ISNUMBER(SEARCH("AI",C358)),ISNUMBER(SEARCH("Data",C358)),ISNUMBER(SEARCH("Technology",C358)),ISNUMBER(SEARCH("Technical",C358)),ISNUMBER(SEARCH("Engineering",C358)),ISNUMBER(SEARCH("Platform",C358)),ISNUMBER(SEARCH("Portfolio",C358))),85,65))</f>
        <v/>
      </c>
      <c r="W358" s="52">
        <f>IF(C358="","",MIN(100,50+IF(S358&lt;&gt;"",25,0)+IF(R358&lt;&gt;"",15,0)+IF(P358&lt;&gt;"",10,0)))</f>
        <v/>
      </c>
      <c r="X358" s="52">
        <f>IF(E358="","",IF(OR(E358="Canada",E358="CA"),100,IF(OR(E358="United States",E358="USA",E358="US"),IF(J358="Yes",45,75),65)))</f>
        <v/>
      </c>
      <c r="Y358" s="52">
        <f>IF(C358="","",IF(OR(ISNUMBER(SEARCH("Program",C358)),ISNUMBER(SEARCH("Portfolio",C358)),ISNUMBER(SEARCH("Operations",C358)),ISNUMBER(SEARCH("Transformation",C358))),85,IF(ISNUMBER(SEARCH("Product Manager",C358)),55,70)))</f>
        <v/>
      </c>
      <c r="Z358" s="52">
        <f>IF(C358="","",MIN(100,IF(I358&lt;&gt;"",60,10)+IF(AA358&gt;0,MIN(40,AA358*20),0)))</f>
        <v/>
      </c>
      <c r="AA358" s="52">
        <f>IF(T358="","",ROUND(T358*25%+U358*15%+V358*10%+W358*15%+X358*15%+Y358*10%+Z358*10%,0))</f>
        <v/>
      </c>
      <c r="AB358" s="52">
        <f>IF(AA358="","",IF(X358&lt;50,"Selective / Barrier",IF(AA358&gt;=80,"Tier 1 - Pursue",IF(AA358&gt;=70,"Tier 2 - Pursue",IF(AA358&gt;=60,"Tier 3 - Selective","Do Not Pursue")))))</f>
        <v/>
      </c>
      <c r="AC358" s="52">
        <f>IF(C358="","",IF(I358&lt;&gt;"","Named Contact",IF(AA358&gt;0,"Outreach Logged","Cold")))</f>
        <v/>
      </c>
      <c r="AD358" s="52">
        <f>IF(B358="","",COUNTIF('Outreach Log'!$C:$C,B358))</f>
        <v/>
      </c>
      <c r="AE358" s="52">
        <f>IF(A358="","",IF(OR(K358="Rejected",K358="Closed"),IF(L358&lt;&gt;"",L358-A358,TODAY()-A358),TODAY()-A358))</f>
        <v/>
      </c>
      <c r="AF358" s="52">
        <f>IF(C358="","",IF(AND(AA358&gt;=70,AC358="Cold"),"High-fit but cold",IF(AND(AA358&lt;60,K358="Applied"),"Low-fit application",IF(AND(AA358&gt;=70,OR(AC358="Named Contact",AC358="Outreach Logged")),"Targeted pursuit","Review"))))</f>
        <v/>
      </c>
    </row>
    <row r="359" ht="15" customHeight="1" s="44">
      <c r="A359" s="53" t="n">
        <v>46269</v>
      </c>
      <c r="B359" s="48" t="inlineStr">
        <is>
          <t>FacilityOS</t>
        </is>
      </c>
      <c r="C359" s="48" t="inlineStr">
        <is>
          <t>AI Program Lead</t>
        </is>
      </c>
      <c r="D359" s="48" t="n"/>
      <c r="E359" s="48" t="inlineStr">
        <is>
          <t>Canada</t>
        </is>
      </c>
      <c r="F359" s="48" t="inlineStr">
        <is>
          <t>Toronto</t>
        </is>
      </c>
      <c r="G359" s="48" t="n">
        <v>78</v>
      </c>
      <c r="H359" s="48" t="inlineStr">
        <is>
          <t>Cold Portal</t>
        </is>
      </c>
      <c r="I359" s="48" t="n"/>
      <c r="J359" s="48" t="inlineStr">
        <is>
          <t>No</t>
        </is>
      </c>
      <c r="K359" s="55" t="inlineStr">
        <is>
          <t>Applied</t>
        </is>
      </c>
      <c r="L359" s="48" t="n"/>
      <c r="M359" s="48">
        <f>IF(OR(L221="",A221=""),"",L221-A221)</f>
        <v/>
      </c>
      <c r="N359" s="48" t="inlineStr">
        <is>
          <t>Confirm exact seniority level (Lead vs Manager/Director) if JD becomes available</t>
        </is>
      </c>
      <c r="O359" s="48" t="n"/>
      <c r="P359" s="51" t="inlineStr">
        <is>
          <t>Application confirmed via Ashby auto-ack email from FacilityOS Europe (no-reply@ashbyhq.com), received 2026-09-04 9:12am ET: "Thank you for applying for the AI Program Lead role at FacilityOS! We appreciate your interest in joining the team. We will review your application and get back to you if there are next steps." Original submission time same morning (self-submitted by Elena). NOTE: company appears Europe-based per sender name "FacilityOS Europe" - outside Elena's stated Canada/US target criteria; location, level, sponsorship requirement, and fit score not yet confirmed - follow up with Elena. | Est. fit score: 45% — AI Program Lead title aligns well with her core program-management background, but role is Europe-based — outside her stated Canada/US target geography — and level/sponsorship are unconfirmed, so scored conservatively pending verification | CORRECTED by Elena 2026-09-04: FacilityOS is Canada/Toronto-based, no sponsorship required (not Europe as the sender name suggested). Fit score revised to 78% — AI Program Lead title is a strong core match to her program-management background, Canada/Toronto/no-sponsorship all confirmed; only exact seniority level remains unconfirmed.</t>
        </is>
      </c>
      <c r="Q359" s="48" t="n"/>
      <c r="R359" s="48" t="n"/>
      <c r="S359" s="51" t="n"/>
      <c r="T359" s="52">
        <f>IF(G359="","",G359)</f>
        <v/>
      </c>
      <c r="U359" s="52">
        <f>IF(C359="","",IF(OR(ISNUMBER(SEARCH("Director",C359)),ISNUMBER(SEARCH("Lead",C359)),ISNUMBER(SEARCH("Senior",C359)),ISNUMBER(SEARCH("Sr.",C359))),90,IF(OR(ISNUMBER(SEARCH("Manager",C359)),ISNUMBER(SEARCH("Program",C359)),ISNUMBER(SEARCH("Portfolio",C359))),80,60)))</f>
        <v/>
      </c>
      <c r="V359" s="52">
        <f>IF(C359="","",IF(OR(ISNUMBER(SEARCH("AI",C359)),ISNUMBER(SEARCH("Data",C359)),ISNUMBER(SEARCH("Technology",C359)),ISNUMBER(SEARCH("Technical",C359)),ISNUMBER(SEARCH("Engineering",C359)),ISNUMBER(SEARCH("Platform",C359)),ISNUMBER(SEARCH("Portfolio",C359))),85,65))</f>
        <v/>
      </c>
      <c r="W359" s="52">
        <f>IF(C359="","",MIN(100,50+IF(S359&lt;&gt;"",25,0)+IF(R359&lt;&gt;"",15,0)+IF(P359&lt;&gt;"",10,0)))</f>
        <v/>
      </c>
      <c r="X359" s="52">
        <f>IF(E359="","",IF(OR(E359="Canada",E359="CA"),100,IF(OR(E359="United States",E359="USA",E359="US"),IF(J359="Yes",45,75),65)))</f>
        <v/>
      </c>
      <c r="Y359" s="52">
        <f>IF(C359="","",IF(OR(ISNUMBER(SEARCH("Program",C359)),ISNUMBER(SEARCH("Portfolio",C359)),ISNUMBER(SEARCH("Operations",C359)),ISNUMBER(SEARCH("Transformation",C359))),85,IF(ISNUMBER(SEARCH("Product Manager",C359)),55,70)))</f>
        <v/>
      </c>
      <c r="Z359" s="52">
        <f>IF(C359="","",MIN(100,IF(I359&lt;&gt;"",60,10)+IF(AA359&gt;0,MIN(40,AA359*20),0)))</f>
        <v/>
      </c>
      <c r="AA359" s="52">
        <f>IF(T359="","",ROUND(T359*25%+U359*15%+V359*10%+W359*15%+X359*15%+Y359*10%+Z359*10%,0))</f>
        <v/>
      </c>
      <c r="AB359" s="52">
        <f>IF(AA359="","",IF(X359&lt;50,"Selective / Barrier",IF(AA359&gt;=80,"Tier 1 - Pursue",IF(AA359&gt;=70,"Tier 2 - Pursue",IF(AA359&gt;=60,"Tier 3 - Selective","Do Not Pursue")))))</f>
        <v/>
      </c>
      <c r="AC359" s="52">
        <f>IF(C359="","",IF(I359&lt;&gt;"","Named Contact",IF(AA359&gt;0,"Outreach Logged","Cold")))</f>
        <v/>
      </c>
      <c r="AD359" s="52">
        <f>IF(B359="","",COUNTIF('Outreach Log'!$C:$C,B359))</f>
        <v/>
      </c>
      <c r="AE359" s="52">
        <f>IF(A359="","",IF(OR(K359="Rejected",K359="Closed"),IF(L359&lt;&gt;"",L359-A359,TODAY()-A359),TODAY()-A359))</f>
        <v/>
      </c>
      <c r="AF359" s="52">
        <f>IF(C359="","",IF(AND(AA359&gt;=70,AC359="Cold"),"High-fit but cold",IF(AND(AA359&lt;60,K359="Applied"),"Low-fit application",IF(AND(AA359&gt;=70,OR(AC359="Named Contact",AC359="Outreach Logged")),"Targeted pursuit","Review"))))</f>
        <v/>
      </c>
    </row>
    <row r="360" ht="15" customHeight="1" s="44">
      <c r="A360" s="53" t="n">
        <v>46270</v>
      </c>
      <c r="B360" s="48" t="inlineStr">
        <is>
          <t>Circular Materials</t>
        </is>
      </c>
      <c r="C360" s="48" t="inlineStr">
        <is>
          <t>Director, Transition &amp; Integration</t>
        </is>
      </c>
      <c r="D360" s="48" t="inlineStr">
        <is>
          <t>Director</t>
        </is>
      </c>
      <c r="E360" s="48" t="inlineStr">
        <is>
          <t>Canada</t>
        </is>
      </c>
      <c r="F360" s="48" t="inlineStr">
        <is>
          <t>Remote</t>
        </is>
      </c>
      <c r="G360" s="48" t="n">
        <v>72</v>
      </c>
      <c r="H360" s="48" t="inlineStr">
        <is>
          <t>Cold Portal</t>
        </is>
      </c>
      <c r="I360" s="48" t="n"/>
      <c r="J360" s="48" t="inlineStr">
        <is>
          <t>No</t>
        </is>
      </c>
      <c r="K360" s="55" t="inlineStr">
        <is>
          <t>Applied</t>
        </is>
      </c>
      <c r="L360" s="48" t="n"/>
      <c r="M360" s="48">
        <f>IF(OR(L222="",A222=""),"",L222-A222)</f>
        <v/>
      </c>
      <c r="N360" s="48" t="inlineStr">
        <is>
          <t>Await response</t>
        </is>
      </c>
      <c r="O360" s="48" t="n"/>
      <c r="P360" s="51" t="inlineStr">
        <is>
          <t>Application confirmed via BambooHR auto-ack (notifications@app.bamboohr.com), received 2026-09-05 3:13pm ET: "We received your application... only those selected for an interview will be contacted." Est. fit score: 72% — Director-level transition/integration work aligns with her program-management and organizational-change background (Bell TCO, Amazon multi-program execution); Canada Remote confirmed, no sponsorship question. Scope of "Transition &amp; Integration" (M&amp;A vs. operational) not specified in confirmation email — confirm against original JD if available.</t>
        </is>
      </c>
      <c r="Q360" s="48" t="n"/>
      <c r="R360" s="48" t="n"/>
      <c r="S360" s="51" t="n"/>
      <c r="T360" s="52">
        <f>IF(G360="","",G360)</f>
        <v/>
      </c>
      <c r="U360" s="52">
        <f>IF(C360="","",IF(OR(ISNUMBER(SEARCH("Director",C360)),ISNUMBER(SEARCH("Lead",C360)),ISNUMBER(SEARCH("Senior",C360)),ISNUMBER(SEARCH("Sr.",C360))),90,IF(OR(ISNUMBER(SEARCH("Manager",C360)),ISNUMBER(SEARCH("Program",C360)),ISNUMBER(SEARCH("Portfolio",C360))),80,60)))</f>
        <v/>
      </c>
      <c r="V360" s="52">
        <f>IF(C360="","",IF(OR(ISNUMBER(SEARCH("AI",C360)),ISNUMBER(SEARCH("Data",C360)),ISNUMBER(SEARCH("Technology",C360)),ISNUMBER(SEARCH("Technical",C360)),ISNUMBER(SEARCH("Engineering",C360)),ISNUMBER(SEARCH("Platform",C360)),ISNUMBER(SEARCH("Portfolio",C360))),85,65))</f>
        <v/>
      </c>
      <c r="W360" s="52">
        <f>IF(C360="","",MIN(100,50+IF(S360&lt;&gt;"",25,0)+IF(R360&lt;&gt;"",15,0)+IF(P360&lt;&gt;"",10,0)))</f>
        <v/>
      </c>
      <c r="X360" s="52">
        <f>IF(E360="","",IF(OR(E360="Canada",E360="CA"),100,IF(OR(E360="United States",E360="USA",E360="US"),IF(J360="Yes",45,75),65)))</f>
        <v/>
      </c>
      <c r="Y360" s="52">
        <f>IF(C360="","",IF(OR(ISNUMBER(SEARCH("Program",C360)),ISNUMBER(SEARCH("Portfolio",C360)),ISNUMBER(SEARCH("Operations",C360)),ISNUMBER(SEARCH("Transformation",C360))),85,IF(ISNUMBER(SEARCH("Product Manager",C360)),55,70)))</f>
        <v/>
      </c>
      <c r="Z360" s="52">
        <f>IF(C360="","",MIN(100,IF(I360&lt;&gt;"",60,10)+IF(AA360&gt;0,MIN(40,AA360*20),0)))</f>
        <v/>
      </c>
      <c r="AA360" s="52">
        <f>IF(T360="","",ROUND(T360*25%+U360*15%+V360*10%+W360*15%+X360*15%+Y360*10%+Z360*10%,0))</f>
        <v/>
      </c>
      <c r="AB360" s="52">
        <f>IF(AA360="","",IF(X360&lt;50,"Selective / Barrier",IF(AA360&gt;=80,"Tier 1 - Pursue",IF(AA360&gt;=70,"Tier 2 - Pursue",IF(AA360&gt;=60,"Tier 3 - Selective","Do Not Pursue")))))</f>
        <v/>
      </c>
      <c r="AC360" s="52">
        <f>IF(C360="","",IF(I360&lt;&gt;"","Named Contact",IF(AA360&gt;0,"Outreach Logged","Cold")))</f>
        <v/>
      </c>
      <c r="AD360" s="52">
        <f>IF(B360="","",COUNTIF('Outreach Log'!$C:$C,B360))</f>
        <v/>
      </c>
      <c r="AE360" s="52">
        <f>IF(A360="","",IF(OR(K360="Rejected",K360="Closed"),IF(L360&lt;&gt;"",L360-A360,TODAY()-A360),TODAY()-A360))</f>
        <v/>
      </c>
      <c r="AF360" s="52">
        <f>IF(C360="","",IF(AND(AA360&gt;=70,AC360="Cold"),"High-fit but cold",IF(AND(AA360&lt;60,K360="Applied"),"Low-fit application",IF(AND(AA360&gt;=70,OR(AC360="Named Contact",AC360="Outreach Logged")),"Targeted pursuit","Review"))))</f>
        <v/>
      </c>
    </row>
    <row r="361" ht="15" customHeight="1" s="44">
      <c r="A361" s="53" t="n">
        <v>46270</v>
      </c>
      <c r="B361" s="48" t="inlineStr">
        <is>
          <t>High Tech Genesis</t>
        </is>
      </c>
      <c r="C361" s="48" t="inlineStr">
        <is>
          <t>Technical Program Manager / Technical Program Lead</t>
        </is>
      </c>
      <c r="D361" s="48" t="n"/>
      <c r="E361" s="48" t="inlineStr">
        <is>
          <t>Canada</t>
        </is>
      </c>
      <c r="F361" s="48" t="inlineStr">
        <is>
          <t>Toronto, ON</t>
        </is>
      </c>
      <c r="G361" s="48" t="n">
        <v>75</v>
      </c>
      <c r="H361" s="48" t="inlineStr">
        <is>
          <t>Indeed</t>
        </is>
      </c>
      <c r="I361" s="48" t="n"/>
      <c r="J361" s="48" t="inlineStr">
        <is>
          <t>No</t>
        </is>
      </c>
      <c r="K361" s="55" t="inlineStr">
        <is>
          <t>Applied</t>
        </is>
      </c>
      <c r="L361" s="48" t="n"/>
      <c r="M361" s="48">
        <f>IF(OR(L223="",A223=""),"",L223-A223)</f>
        <v/>
      </c>
      <c r="N361" s="48" t="inlineStr">
        <is>
          <t>Await response</t>
        </is>
      </c>
      <c r="O361" s="48" t="n"/>
      <c r="P361" s="51" t="inlineStr">
        <is>
          <t>Applied via Indeed Easy Apply, confirmed 2026-09-05 12:20-12:21pm ET both by Indeed (indeedapply@indeed.com) and by High Tech Genesis's ATS (Recruitee, resumes@hightechgenesis.com): "Qualified candidates moving forward... will be contacted by one of our recruiters." Toronto, ON, CA confirmed via Indeed listing. Est. fit score: 75% — direct TPM/TPL title match to her core background; High Tech Genesis is an Ottawa-based IT consulting/staffing firm placing on client engagements, so exact client/domain confirmed — no sponsorship required (Canada-based).</t>
        </is>
      </c>
      <c r="Q361" s="48" t="n"/>
      <c r="R361" s="48" t="n"/>
      <c r="S361" s="51" t="n"/>
      <c r="T361" s="52">
        <f>IF(G361="","",G361)</f>
        <v/>
      </c>
      <c r="U361" s="52">
        <f>IF(C361="","",IF(OR(ISNUMBER(SEARCH("Director",C361)),ISNUMBER(SEARCH("Lead",C361)),ISNUMBER(SEARCH("Senior",C361)),ISNUMBER(SEARCH("Sr.",C361))),90,IF(OR(ISNUMBER(SEARCH("Manager",C361)),ISNUMBER(SEARCH("Program",C361)),ISNUMBER(SEARCH("Portfolio",C361))),80,60)))</f>
        <v/>
      </c>
      <c r="V361" s="52">
        <f>IF(C361="","",IF(OR(ISNUMBER(SEARCH("AI",C361)),ISNUMBER(SEARCH("Data",C361)),ISNUMBER(SEARCH("Technology",C361)),ISNUMBER(SEARCH("Technical",C361)),ISNUMBER(SEARCH("Engineering",C361)),ISNUMBER(SEARCH("Platform",C361)),ISNUMBER(SEARCH("Portfolio",C361))),85,65))</f>
        <v/>
      </c>
      <c r="W361" s="52">
        <f>IF(C361="","",MIN(100,50+IF(S361&lt;&gt;"",25,0)+IF(R361&lt;&gt;"",15,0)+IF(P361&lt;&gt;"",10,0)))</f>
        <v/>
      </c>
      <c r="X361" s="52">
        <f>IF(E361="","",IF(OR(E361="Canada",E361="CA"),100,IF(OR(E361="United States",E361="USA",E361="US"),IF(J361="Yes",45,75),65)))</f>
        <v/>
      </c>
      <c r="Y361" s="52">
        <f>IF(C361="","",IF(OR(ISNUMBER(SEARCH("Program",C361)),ISNUMBER(SEARCH("Portfolio",C361)),ISNUMBER(SEARCH("Operations",C361)),ISNUMBER(SEARCH("Transformation",C361))),85,IF(ISNUMBER(SEARCH("Product Manager",C361)),55,70)))</f>
        <v/>
      </c>
      <c r="Z361" s="52">
        <f>IF(C361="","",MIN(100,IF(I361&lt;&gt;"",60,10)+IF(AA361&gt;0,MIN(40,AA361*20),0)))</f>
        <v/>
      </c>
      <c r="AA361" s="52">
        <f>IF(T361="","",ROUND(T361*25%+U361*15%+V361*10%+W361*15%+X361*15%+Y361*10%+Z361*10%,0))</f>
        <v/>
      </c>
      <c r="AB361" s="52">
        <f>IF(AA361="","",IF(X361&lt;50,"Selective / Barrier",IF(AA361&gt;=80,"Tier 1 - Pursue",IF(AA361&gt;=70,"Tier 2 - Pursue",IF(AA361&gt;=60,"Tier 3 - Selective","Do Not Pursue")))))</f>
        <v/>
      </c>
      <c r="AC361" s="52">
        <f>IF(C361="","",IF(I361&lt;&gt;"","Named Contact",IF(AA361&gt;0,"Outreach Logged","Cold")))</f>
        <v/>
      </c>
      <c r="AD361" s="52">
        <f>IF(B361="","",COUNTIF('Outreach Log'!$C:$C,B361))</f>
        <v/>
      </c>
      <c r="AE361" s="52">
        <f>IF(A361="","",IF(OR(K361="Rejected",K361="Closed"),IF(L361&lt;&gt;"",L361-A361,TODAY()-A361),TODAY()-A361))</f>
        <v/>
      </c>
      <c r="AF361" s="52">
        <f>IF(C361="","",IF(AND(AA361&gt;=70,AC361="Cold"),"High-fit but cold",IF(AND(AA361&lt;60,K361="Applied"),"Low-fit application",IF(AND(AA361&gt;=70,OR(AC361="Named Contact",AC361="Outreach Logged")),"Targeted pursuit","Review"))))</f>
        <v/>
      </c>
    </row>
    <row r="362" ht="15" customHeight="1" s="44">
      <c r="A362" s="53" t="n">
        <v>46270</v>
      </c>
      <c r="B362" s="48" t="inlineStr">
        <is>
          <t>Mastercard</t>
        </is>
      </c>
      <c r="C362" s="48" t="inlineStr">
        <is>
          <t>Senior Technical Program Manager</t>
        </is>
      </c>
      <c r="D362" s="48" t="inlineStr">
        <is>
          <t>Senior</t>
        </is>
      </c>
      <c r="E362" s="48" t="inlineStr">
        <is>
          <t>Canada</t>
        </is>
      </c>
      <c r="F362" s="48" t="inlineStr">
        <is>
          <t>Toronto</t>
        </is>
      </c>
      <c r="G362" s="48" t="n">
        <v>78</v>
      </c>
      <c r="H362" s="48" t="inlineStr">
        <is>
          <t>Cold Portal</t>
        </is>
      </c>
      <c r="I362" s="48" t="n"/>
      <c r="J362" s="48" t="inlineStr">
        <is>
          <t>No</t>
        </is>
      </c>
      <c r="K362" s="55" t="inlineStr">
        <is>
          <t>Applied</t>
        </is>
      </c>
      <c r="L362" s="48" t="n"/>
      <c r="M362" s="48">
        <f>IF(OR(L224="",A224=""),"",L224-A224)</f>
        <v/>
      </c>
      <c r="N362" s="48" t="inlineStr">
        <is>
          <t>Await response</t>
        </is>
      </c>
      <c r="O362" s="48" t="n"/>
      <c r="P362" s="51" t="inlineStr">
        <is>
          <t>Application confirmed via Mastercard/Workday auto-ack (mastercard@myworkday.com), received 2026-09-05 12:12pm ET: "We have received your application for the role: Senior Technical Program Manager." Confirmation email does not state location (Mastercard has both Canadian and US postings, e.g. Toronto vs. US sites) — flagged for Elena to confirm; if US-based, sponsorship would be required. Est. fit score: 55% — Senior TPM title is a strong core match, scored conservatively pending location/sponsorship confirmation. | CORRECTED by Elena 2026-09-06: role is Canada-based (exact city not stated in the Workday confirmation). No sponsorship required. Fit score revised to 78% — Senior TPM title is a strong core match, Canada location and no-sponsorship now confirmed; only exact city remains unconfirmed. | City set to Toronto by Elena 2026-09-10: all her Canadian roles are Toronto-based.</t>
        </is>
      </c>
      <c r="Q362" s="48" t="n"/>
      <c r="R362" s="48" t="n"/>
      <c r="S362" s="51" t="n"/>
      <c r="T362" s="52">
        <f>IF(G362="","",G362)</f>
        <v/>
      </c>
      <c r="U362" s="52">
        <f>IF(C362="","",IF(OR(ISNUMBER(SEARCH("Director",C362)),ISNUMBER(SEARCH("Lead",C362)),ISNUMBER(SEARCH("Senior",C362)),ISNUMBER(SEARCH("Sr.",C362))),90,IF(OR(ISNUMBER(SEARCH("Manager",C362)),ISNUMBER(SEARCH("Program",C362)),ISNUMBER(SEARCH("Portfolio",C362))),80,60)))</f>
        <v/>
      </c>
      <c r="V362" s="52">
        <f>IF(C362="","",IF(OR(ISNUMBER(SEARCH("AI",C362)),ISNUMBER(SEARCH("Data",C362)),ISNUMBER(SEARCH("Technology",C362)),ISNUMBER(SEARCH("Technical",C362)),ISNUMBER(SEARCH("Engineering",C362)),ISNUMBER(SEARCH("Platform",C362)),ISNUMBER(SEARCH("Portfolio",C362))),85,65))</f>
        <v/>
      </c>
      <c r="W362" s="52">
        <f>IF(C362="","",MIN(100,50+IF(S362&lt;&gt;"",25,0)+IF(R362&lt;&gt;"",15,0)+IF(P362&lt;&gt;"",10,0)))</f>
        <v/>
      </c>
      <c r="X362" s="52">
        <f>IF(E362="","",IF(OR(E362="Canada",E362="CA"),100,IF(OR(E362="United States",E362="USA",E362="US"),IF(J362="Yes",45,75),65)))</f>
        <v/>
      </c>
      <c r="Y362" s="52">
        <f>IF(C362="","",IF(OR(ISNUMBER(SEARCH("Program",C362)),ISNUMBER(SEARCH("Portfolio",C362)),ISNUMBER(SEARCH("Operations",C362)),ISNUMBER(SEARCH("Transformation",C362))),85,IF(ISNUMBER(SEARCH("Product Manager",C362)),55,70)))</f>
        <v/>
      </c>
      <c r="Z362" s="52">
        <f>IF(C362="","",MIN(100,IF(I362&lt;&gt;"",60,10)+IF(AA362&gt;0,MIN(40,AA362*20),0)))</f>
        <v/>
      </c>
      <c r="AA362" s="52">
        <f>IF(T362="","",ROUND(T362*25%+U362*15%+V362*10%+W362*15%+X362*15%+Y362*10%+Z362*10%,0))</f>
        <v/>
      </c>
      <c r="AB362" s="52">
        <f>IF(AA362="","",IF(X362&lt;50,"Selective / Barrier",IF(AA362&gt;=80,"Tier 1 - Pursue",IF(AA362&gt;=70,"Tier 2 - Pursue",IF(AA362&gt;=60,"Tier 3 - Selective","Do Not Pursue")))))</f>
        <v/>
      </c>
      <c r="AC362" s="52">
        <f>IF(C362="","",IF(I362&lt;&gt;"","Named Contact",IF(AA362&gt;0,"Outreach Logged","Cold")))</f>
        <v/>
      </c>
      <c r="AD362" s="52">
        <f>IF(B362="","",COUNTIF('Outreach Log'!$C:$C,B362))</f>
        <v/>
      </c>
      <c r="AE362" s="52">
        <f>IF(A362="","",IF(OR(K362="Rejected",K362="Closed"),IF(L362&lt;&gt;"",L362-A362,TODAY()-A362),TODAY()-A362))</f>
        <v/>
      </c>
      <c r="AF362" s="52">
        <f>IF(C362="","",IF(AND(AA362&gt;=70,AC362="Cold"),"High-fit but cold",IF(AND(AA362&lt;60,K362="Applied"),"Low-fit application",IF(AND(AA362&gt;=70,OR(AC362="Named Contact",AC362="Outreach Logged")),"Targeted pursuit","Review"))))</f>
        <v/>
      </c>
    </row>
    <row r="363" ht="15" customHeight="1" s="44">
      <c r="A363" s="53" t="n">
        <v>46270</v>
      </c>
      <c r="B363" s="48" t="inlineStr">
        <is>
          <t>Raise (staffing agency)</t>
        </is>
      </c>
      <c r="C363" s="48" t="inlineStr">
        <is>
          <t>Senior IT Program Manager</t>
        </is>
      </c>
      <c r="D363" s="48" t="inlineStr">
        <is>
          <t>Senior</t>
        </is>
      </c>
      <c r="E363" s="48" t="inlineStr">
        <is>
          <t>Canada</t>
        </is>
      </c>
      <c r="F363" s="48" t="inlineStr">
        <is>
          <t>North York, ON</t>
        </is>
      </c>
      <c r="G363" s="48" t="n">
        <v>68</v>
      </c>
      <c r="H363" s="48" t="inlineStr">
        <is>
          <t>Indeed</t>
        </is>
      </c>
      <c r="I363" s="48" t="n"/>
      <c r="J363" s="48" t="inlineStr">
        <is>
          <t>No</t>
        </is>
      </c>
      <c r="K363" s="55" t="inlineStr">
        <is>
          <t>Applied</t>
        </is>
      </c>
      <c r="L363" s="48" t="n"/>
      <c r="M363" s="48">
        <f>IF(OR(L225="",A225=""),"",L225-A225)</f>
        <v/>
      </c>
      <c r="N363" s="48" t="inlineStr">
        <is>
          <t>Await response</t>
        </is>
      </c>
      <c r="O363" s="48" t="n"/>
      <c r="P363" s="51" t="inlineStr">
        <is>
          <t>Applied via Indeed Easy Apply, confirmed 2026-09-05 7:54am ET (indeedapply@indeed.com). Employer per Indeed listing: Raise (staffing/recruitment firm), North York, Ontario, 4.3-star Indeed rating. Est. fit score: 68% — Senior IT Program Manager title matches her background; as a staffing-agency posting, actual end-client/domain is unconfirmed; no sponsorship required (Canada-based).</t>
        </is>
      </c>
      <c r="Q363" s="48" t="n"/>
      <c r="R363" s="48" t="n"/>
      <c r="S363" s="51" t="n"/>
      <c r="T363" s="52">
        <f>IF(G363="","",G363)</f>
        <v/>
      </c>
      <c r="U363" s="52">
        <f>IF(C363="","",IF(OR(ISNUMBER(SEARCH("Director",C363)),ISNUMBER(SEARCH("Lead",C363)),ISNUMBER(SEARCH("Senior",C363)),ISNUMBER(SEARCH("Sr.",C363))),90,IF(OR(ISNUMBER(SEARCH("Manager",C363)),ISNUMBER(SEARCH("Program",C363)),ISNUMBER(SEARCH("Portfolio",C363))),80,60)))</f>
        <v/>
      </c>
      <c r="V363" s="52">
        <f>IF(C363="","",IF(OR(ISNUMBER(SEARCH("AI",C363)),ISNUMBER(SEARCH("Data",C363)),ISNUMBER(SEARCH("Technology",C363)),ISNUMBER(SEARCH("Technical",C363)),ISNUMBER(SEARCH("Engineering",C363)),ISNUMBER(SEARCH("Platform",C363)),ISNUMBER(SEARCH("Portfolio",C363))),85,65))</f>
        <v/>
      </c>
      <c r="W363" s="52">
        <f>IF(C363="","",MIN(100,50+IF(S363&lt;&gt;"",25,0)+IF(R363&lt;&gt;"",15,0)+IF(P363&lt;&gt;"",10,0)))</f>
        <v/>
      </c>
      <c r="X363" s="52">
        <f>IF(E363="","",IF(OR(E363="Canada",E363="CA"),100,IF(OR(E363="United States",E363="USA",E363="US"),IF(J363="Yes",45,75),65)))</f>
        <v/>
      </c>
      <c r="Y363" s="52">
        <f>IF(C363="","",IF(OR(ISNUMBER(SEARCH("Program",C363)),ISNUMBER(SEARCH("Portfolio",C363)),ISNUMBER(SEARCH("Operations",C363)),ISNUMBER(SEARCH("Transformation",C363))),85,IF(ISNUMBER(SEARCH("Product Manager",C363)),55,70)))</f>
        <v/>
      </c>
      <c r="Z363" s="52">
        <f>IF(C363="","",MIN(100,IF(I363&lt;&gt;"",60,10)+IF(AA363&gt;0,MIN(40,AA363*20),0)))</f>
        <v/>
      </c>
      <c r="AA363" s="52">
        <f>IF(T363="","",ROUND(T363*25%+U363*15%+V363*10%+W363*15%+X363*15%+Y363*10%+Z363*10%,0))</f>
        <v/>
      </c>
      <c r="AB363" s="52">
        <f>IF(AA363="","",IF(X363&lt;50,"Selective / Barrier",IF(AA363&gt;=80,"Tier 1 - Pursue",IF(AA363&gt;=70,"Tier 2 - Pursue",IF(AA363&gt;=60,"Tier 3 - Selective","Do Not Pursue")))))</f>
        <v/>
      </c>
      <c r="AC363" s="52">
        <f>IF(C363="","",IF(I363&lt;&gt;"","Named Contact",IF(AA363&gt;0,"Outreach Logged","Cold")))</f>
        <v/>
      </c>
      <c r="AD363" s="52">
        <f>IF(B363="","",COUNTIF('Outreach Log'!$C:$C,B363))</f>
        <v/>
      </c>
      <c r="AE363" s="52">
        <f>IF(A363="","",IF(OR(K363="Rejected",K363="Closed"),IF(L363&lt;&gt;"",L363-A363,TODAY()-A363),TODAY()-A363))</f>
        <v/>
      </c>
      <c r="AF363" s="52">
        <f>IF(C363="","",IF(AND(AA363&gt;=70,AC363="Cold"),"High-fit but cold",IF(AND(AA363&lt;60,K363="Applied"),"Low-fit application",IF(AND(AA363&gt;=70,OR(AC363="Named Contact",AC363="Outreach Logged")),"Targeted pursuit","Review"))))</f>
        <v/>
      </c>
    </row>
    <row r="364" ht="15" customHeight="1" s="44">
      <c r="A364" s="53" t="n">
        <v>46270</v>
      </c>
      <c r="B364" s="48" t="inlineStr">
        <is>
          <t>Deloitte</t>
        </is>
      </c>
      <c r="C364" s="48" t="inlineStr">
        <is>
          <t>Ascend Program PMO Director, Global Consulting (18-mo contract)</t>
        </is>
      </c>
      <c r="D364" s="48" t="n"/>
      <c r="E364" s="48" t="n"/>
      <c r="F364" s="48" t="n"/>
      <c r="G364" s="48" t="n"/>
      <c r="H364" s="48" t="n"/>
      <c r="I364" s="48" t="n"/>
      <c r="J364" s="48" t="n"/>
      <c r="K364" s="49" t="inlineStr">
        <is>
          <t>Rejected</t>
        </is>
      </c>
      <c r="L364" s="48" t="n"/>
      <c r="M364" s="48" t="n"/>
      <c r="N364" s="48" t="n"/>
      <c r="O364" s="48" t="n"/>
      <c r="P364" s="51" t="inlineStr">
        <is>
          <t>Rejected (per Greenhouse portal review, Sep 20 2026). See also Aug 17 confirmation</t>
        </is>
      </c>
      <c r="Q364" s="48" t="n"/>
      <c r="R364" s="48" t="n"/>
      <c r="S364" s="51" t="n"/>
      <c r="T364" s="52">
        <f>IF(G364="","",G364)</f>
        <v/>
      </c>
      <c r="U364" s="52">
        <f>IF(C364="","",IF(OR(ISNUMBER(SEARCH("Director",C364)),ISNUMBER(SEARCH("Lead",C364)),ISNUMBER(SEARCH("Senior",C364)),ISNUMBER(SEARCH("Sr.",C364))),90,IF(OR(ISNUMBER(SEARCH("Manager",C364)),ISNUMBER(SEARCH("Program",C364)),ISNUMBER(SEARCH("Portfolio",C364))),80,60)))</f>
        <v/>
      </c>
      <c r="V364" s="52">
        <f>IF(C364="","",IF(OR(ISNUMBER(SEARCH("AI",C364)),ISNUMBER(SEARCH("Data",C364)),ISNUMBER(SEARCH("Technology",C364)),ISNUMBER(SEARCH("Technical",C364)),ISNUMBER(SEARCH("Engineering",C364)),ISNUMBER(SEARCH("Platform",C364)),ISNUMBER(SEARCH("Portfolio",C364))),85,65))</f>
        <v/>
      </c>
      <c r="W364" s="52">
        <f>IF(C364="","",MIN(100,50+IF(S364&lt;&gt;"",25,0)+IF(R364&lt;&gt;"",15,0)+IF(P364&lt;&gt;"",10,0)))</f>
        <v/>
      </c>
      <c r="X364" s="52">
        <f>IF(E364="","",IF(OR(E364="Canada",E364="CA"),100,IF(OR(E364="United States",E364="USA",E364="US"),IF(J364="Yes",45,75),65)))</f>
        <v/>
      </c>
      <c r="Y364" s="52">
        <f>IF(C364="","",IF(OR(ISNUMBER(SEARCH("Program",C364)),ISNUMBER(SEARCH("Portfolio",C364)),ISNUMBER(SEARCH("Operations",C364)),ISNUMBER(SEARCH("Transformation",C364))),85,IF(ISNUMBER(SEARCH("Product Manager",C364)),55,70)))</f>
        <v/>
      </c>
      <c r="Z364" s="52">
        <f>IF(C364="","",MIN(100,IF(I364&lt;&gt;"",60,10)+IF(AA364&gt;0,MIN(40,AA364*20),0)))</f>
        <v/>
      </c>
      <c r="AA364" s="52">
        <f>IF(T364="","",ROUND(T364*25%+U364*15%+V364*10%+W364*15%+X364*15%+Y364*10%+Z364*10%,0))</f>
        <v/>
      </c>
      <c r="AB364" s="52">
        <f>IF(AA364="","",IF(X364&lt;50,"Selective / Barrier",IF(AA364&gt;=80,"Tier 1 - Pursue",IF(AA364&gt;=70,"Tier 2 - Pursue",IF(AA364&gt;=60,"Tier 3 - Selective","Do Not Pursue")))))</f>
        <v/>
      </c>
      <c r="AC364" s="52">
        <f>IF(C364="","",IF(I364&lt;&gt;"","Named Contact",IF(AA364&gt;0,"Outreach Logged","Cold")))</f>
        <v/>
      </c>
      <c r="AD364" s="52">
        <f>IF(B364="","",COUNTIF('Outreach Log'!$C:$C,B364))</f>
        <v/>
      </c>
      <c r="AE364" s="52">
        <f>IF(A364="","",IF(OR(K364="Rejected",K364="Closed"),IF(L364&lt;&gt;"",L364-A364,TODAY()-A364),TODAY()-A364))</f>
        <v/>
      </c>
      <c r="AF364" s="52">
        <f>IF(C364="","",IF(AND(AA364&gt;=70,AC364="Cold"),"High-fit but cold",IF(AND(AA364&lt;60,K364="Applied"),"Low-fit application",IF(AND(AA364&gt;=70,OR(AC364="Named Contact",AC364="Outreach Logged")),"Targeted pursuit","Review"))))</f>
        <v/>
      </c>
    </row>
    <row r="365" ht="15" customHeight="1" s="44">
      <c r="A365" s="53" t="n">
        <v>46270</v>
      </c>
      <c r="B365" s="48" t="inlineStr">
        <is>
          <t>Circular Materials</t>
        </is>
      </c>
      <c r="C365" s="48" t="inlineStr">
        <is>
          <t>Director, Transition &amp; Integration - Canada Remote</t>
        </is>
      </c>
      <c r="D365" s="48" t="n"/>
      <c r="E365" s="48" t="n"/>
      <c r="F365" s="48" t="n"/>
      <c r="G365" s="48" t="n"/>
      <c r="H365" s="48" t="n"/>
      <c r="I365" s="48" t="n"/>
      <c r="J365" s="48" t="n"/>
      <c r="K365" s="55" t="inlineStr">
        <is>
          <t>Applied</t>
        </is>
      </c>
      <c r="L365" s="48" t="n"/>
      <c r="M365" s="48" t="n"/>
      <c r="N365" s="48" t="n"/>
      <c r="O365" s="48" t="n"/>
      <c r="P365" s="51" t="n"/>
      <c r="Q365" s="48" t="n"/>
      <c r="R365" s="48" t="n"/>
      <c r="S365" s="51" t="n"/>
      <c r="T365" s="52">
        <f>IF(G365="","",G365)</f>
        <v/>
      </c>
      <c r="U365" s="52">
        <f>IF(C365="","",IF(OR(ISNUMBER(SEARCH("Director",C365)),ISNUMBER(SEARCH("Lead",C365)),ISNUMBER(SEARCH("Senior",C365)),ISNUMBER(SEARCH("Sr.",C365))),90,IF(OR(ISNUMBER(SEARCH("Manager",C365)),ISNUMBER(SEARCH("Program",C365)),ISNUMBER(SEARCH("Portfolio",C365))),80,60)))</f>
        <v/>
      </c>
      <c r="V365" s="52">
        <f>IF(C365="","",IF(OR(ISNUMBER(SEARCH("AI",C365)),ISNUMBER(SEARCH("Data",C365)),ISNUMBER(SEARCH("Technology",C365)),ISNUMBER(SEARCH("Technical",C365)),ISNUMBER(SEARCH("Engineering",C365)),ISNUMBER(SEARCH("Platform",C365)),ISNUMBER(SEARCH("Portfolio",C365))),85,65))</f>
        <v/>
      </c>
      <c r="W365" s="52">
        <f>IF(C365="","",MIN(100,50+IF(S365&lt;&gt;"",25,0)+IF(R365&lt;&gt;"",15,0)+IF(P365&lt;&gt;"",10,0)))</f>
        <v/>
      </c>
      <c r="X365" s="52">
        <f>IF(E365="","",IF(OR(E365="Canada",E365="CA"),100,IF(OR(E365="United States",E365="USA",E365="US"),IF(J365="Yes",45,75),65)))</f>
        <v/>
      </c>
      <c r="Y365" s="52">
        <f>IF(C365="","",IF(OR(ISNUMBER(SEARCH("Program",C365)),ISNUMBER(SEARCH("Portfolio",C365)),ISNUMBER(SEARCH("Operations",C365)),ISNUMBER(SEARCH("Transformation",C365))),85,IF(ISNUMBER(SEARCH("Product Manager",C365)),55,70)))</f>
        <v/>
      </c>
      <c r="Z365" s="52">
        <f>IF(C365="","",MIN(100,IF(I365&lt;&gt;"",60,10)+IF(AA365&gt;0,MIN(40,AA365*20),0)))</f>
        <v/>
      </c>
      <c r="AA365" s="52">
        <f>IF(T365="","",ROUND(T365*25%+U365*15%+V365*10%+W365*15%+X365*15%+Y365*10%+Z365*10%,0))</f>
        <v/>
      </c>
      <c r="AB365" s="52">
        <f>IF(AA365="","",IF(X365&lt;50,"Selective / Barrier",IF(AA365&gt;=80,"Tier 1 - Pursue",IF(AA365&gt;=70,"Tier 2 - Pursue",IF(AA365&gt;=60,"Tier 3 - Selective","Do Not Pursue")))))</f>
        <v/>
      </c>
      <c r="AC365" s="52">
        <f>IF(C365="","",IF(I365&lt;&gt;"","Named Contact",IF(AA365&gt;0,"Outreach Logged","Cold")))</f>
        <v/>
      </c>
      <c r="AD365" s="52">
        <f>IF(B365="","",COUNTIF('Outreach Log'!$C:$C,B365))</f>
        <v/>
      </c>
      <c r="AE365" s="52">
        <f>IF(A365="","",IF(OR(K365="Rejected",K365="Closed"),IF(L365&lt;&gt;"",L365-A365,TODAY()-A365),TODAY()-A365))</f>
        <v/>
      </c>
      <c r="AF365" s="52">
        <f>IF(C365="","",IF(AND(AA365&gt;=70,AC365="Cold"),"High-fit but cold",IF(AND(AA365&lt;60,K365="Applied"),"Low-fit application",IF(AND(AA365&gt;=70,OR(AC365="Named Contact",AC365="Outreach Logged")),"Targeted pursuit","Review"))))</f>
        <v/>
      </c>
    </row>
    <row r="366" ht="15" customHeight="1" s="44">
      <c r="A366" s="53" t="n">
        <v>46270</v>
      </c>
      <c r="B366" s="48" t="inlineStr">
        <is>
          <t>(Indeed)</t>
        </is>
      </c>
      <c r="C366" s="48" t="inlineStr">
        <is>
          <t>Senior IT Program Manager</t>
        </is>
      </c>
      <c r="D366" s="48" t="n"/>
      <c r="E366" s="48" t="n"/>
      <c r="F366" s="48" t="n"/>
      <c r="G366" s="48" t="n"/>
      <c r="H366" s="48" t="n"/>
      <c r="I366" s="48" t="n"/>
      <c r="J366" s="48" t="n"/>
      <c r="K366" s="55" t="inlineStr">
        <is>
          <t>Applied</t>
        </is>
      </c>
      <c r="L366" s="48" t="n"/>
      <c r="M366" s="48" t="n"/>
      <c r="N366" s="48" t="n"/>
      <c r="O366" s="48" t="n"/>
      <c r="P366" s="51" t="n"/>
      <c r="Q366" s="48" t="n"/>
      <c r="R366" s="48" t="n"/>
      <c r="S366" s="51" t="n"/>
      <c r="T366" s="52">
        <f>IF(G366="","",G366)</f>
        <v/>
      </c>
      <c r="U366" s="52">
        <f>IF(C366="","",IF(OR(ISNUMBER(SEARCH("Director",C366)),ISNUMBER(SEARCH("Lead",C366)),ISNUMBER(SEARCH("Senior",C366)),ISNUMBER(SEARCH("Sr.",C366))),90,IF(OR(ISNUMBER(SEARCH("Manager",C366)),ISNUMBER(SEARCH("Program",C366)),ISNUMBER(SEARCH("Portfolio",C366))),80,60)))</f>
        <v/>
      </c>
      <c r="V366" s="52">
        <f>IF(C366="","",IF(OR(ISNUMBER(SEARCH("AI",C366)),ISNUMBER(SEARCH("Data",C366)),ISNUMBER(SEARCH("Technology",C366)),ISNUMBER(SEARCH("Technical",C366)),ISNUMBER(SEARCH("Engineering",C366)),ISNUMBER(SEARCH("Platform",C366)),ISNUMBER(SEARCH("Portfolio",C366))),85,65))</f>
        <v/>
      </c>
      <c r="W366" s="52">
        <f>IF(C366="","",MIN(100,50+IF(S366&lt;&gt;"",25,0)+IF(R366&lt;&gt;"",15,0)+IF(P366&lt;&gt;"",10,0)))</f>
        <v/>
      </c>
      <c r="X366" s="52">
        <f>IF(E366="","",IF(OR(E366="Canada",E366="CA"),100,IF(OR(E366="United States",E366="USA",E366="US"),IF(J366="Yes",45,75),65)))</f>
        <v/>
      </c>
      <c r="Y366" s="52">
        <f>IF(C366="","",IF(OR(ISNUMBER(SEARCH("Program",C366)),ISNUMBER(SEARCH("Portfolio",C366)),ISNUMBER(SEARCH("Operations",C366)),ISNUMBER(SEARCH("Transformation",C366))),85,IF(ISNUMBER(SEARCH("Product Manager",C366)),55,70)))</f>
        <v/>
      </c>
      <c r="Z366" s="52">
        <f>IF(C366="","",MIN(100,IF(I366&lt;&gt;"",60,10)+IF(AA366&gt;0,MIN(40,AA366*20),0)))</f>
        <v/>
      </c>
      <c r="AA366" s="52">
        <f>IF(T366="","",ROUND(T366*25%+U366*15%+V366*10%+W366*15%+X366*15%+Y366*10%+Z366*10%,0))</f>
        <v/>
      </c>
      <c r="AB366" s="52">
        <f>IF(AA366="","",IF(X366&lt;50,"Selective / Barrier",IF(AA366&gt;=80,"Tier 1 - Pursue",IF(AA366&gt;=70,"Tier 2 - Pursue",IF(AA366&gt;=60,"Tier 3 - Selective","Do Not Pursue")))))</f>
        <v/>
      </c>
      <c r="AC366" s="52">
        <f>IF(C366="","",IF(I366&lt;&gt;"","Named Contact",IF(AA366&gt;0,"Outreach Logged","Cold")))</f>
        <v/>
      </c>
      <c r="AD366" s="52">
        <f>IF(B366="","",COUNTIF('Outreach Log'!$C:$C,B366))</f>
        <v/>
      </c>
      <c r="AE366" s="52">
        <f>IF(A366="","",IF(OR(K366="Rejected",K366="Closed"),IF(L366&lt;&gt;"",L366-A366,TODAY()-A366),TODAY()-A366))</f>
        <v/>
      </c>
      <c r="AF366" s="52">
        <f>IF(C366="","",IF(AND(AA366&gt;=70,AC366="Cold"),"High-fit but cold",IF(AND(AA366&lt;60,K366="Applied"),"Low-fit application",IF(AND(AA366&gt;=70,OR(AC366="Named Contact",AC366="Outreach Logged")),"Targeted pursuit","Review"))))</f>
        <v/>
      </c>
    </row>
    <row r="367" ht="15" customHeight="1" s="44">
      <c r="A367" s="53" t="n">
        <v>46272</v>
      </c>
      <c r="B367" s="48" t="inlineStr">
        <is>
          <t>Procom (agency) — Transportation client</t>
        </is>
      </c>
      <c r="C367" s="48" t="inlineStr">
        <is>
          <t>Program Manager</t>
        </is>
      </c>
      <c r="D367" s="48" t="inlineStr">
        <is>
          <t>Senior</t>
        </is>
      </c>
      <c r="E367" s="48" t="inlineStr">
        <is>
          <t>Canada</t>
        </is>
      </c>
      <c r="F367" s="48" t="inlineStr">
        <is>
          <t>Mississauga, ON (Hybrid, 3 days onsite)</t>
        </is>
      </c>
      <c r="G367" s="48" t="n">
        <v>70</v>
      </c>
      <c r="H367" s="48" t="inlineStr">
        <is>
          <t>Agency (Procom)</t>
        </is>
      </c>
      <c r="I367" s="48" t="n"/>
      <c r="J367" s="48" t="inlineStr">
        <is>
          <t>No</t>
        </is>
      </c>
      <c r="K367" s="57" t="inlineStr">
        <is>
          <t>Screening</t>
        </is>
      </c>
      <c r="L367" s="50" t="n">
        <v>46272</v>
      </c>
      <c r="M367" s="48">
        <f>IF(OR(L226="",A226=""),"",L226-A226)</f>
        <v/>
      </c>
      <c r="N367" s="48" t="inlineStr">
        <is>
          <t>Complete Procom's AI voice screen with "Alice"</t>
        </is>
      </c>
      <c r="O367" s="48" t="n"/>
      <c r="P367" s="51" t="inlineStr">
        <is>
          <t>Agency: Procom, for a Transportation-sector client. 6-month contract, hybrid (3 days onsite Mississauga, ON), start ASAP. Mandatory skills: 10+ yrs Program/Sr Project Management, experience managing Project Managers in a large complex environment, strong escalation/blocker-resolution track record, governance discipline (portfolio reporting, RAID/dependency mgmt), strong executive communication, must be able to complete Transport Canada security screening. Nice-to-have: IT/infrastructure or large-scale transformation programs, Airport Operations or similar industry experience, PMO governance-building experience, PMP/ITIL/Agile/SAFe certs, transportation ops/logistics/IT experience. Submitted tailored resume (Resume_ElenaShchetinina_ProgramManager_Procom.docx) emphasizing escalation management and governance-building. Gaps to note: no direct experience managing a bench of Project Managers (led cross-functional technical teams instead); Transport Canada screening eligibility unconfirmed; no airport/transportation industry background (nice-to-have only). | UPDATE 2026-09-07: Procom requested an AI voice screen (interviewer "Alice") as the next step — complete when convenient.</t>
        </is>
      </c>
      <c r="Q367" s="50" t="n">
        <v>46272</v>
      </c>
      <c r="R367" s="48" t="n"/>
      <c r="S367" s="51" t="n"/>
      <c r="T367" s="52">
        <f>IF(G367="","",G367)</f>
        <v/>
      </c>
      <c r="U367" s="52">
        <f>IF(C367="","",IF(OR(ISNUMBER(SEARCH("Director",C367)),ISNUMBER(SEARCH("Lead",C367)),ISNUMBER(SEARCH("Senior",C367)),ISNUMBER(SEARCH("Sr.",C367))),90,IF(OR(ISNUMBER(SEARCH("Manager",C367)),ISNUMBER(SEARCH("Program",C367)),ISNUMBER(SEARCH("Portfolio",C367))),80,60)))</f>
        <v/>
      </c>
      <c r="V367" s="52">
        <f>IF(C367="","",IF(OR(ISNUMBER(SEARCH("AI",C367)),ISNUMBER(SEARCH("Data",C367)),ISNUMBER(SEARCH("Technology",C367)),ISNUMBER(SEARCH("Technical",C367)),ISNUMBER(SEARCH("Engineering",C367)),ISNUMBER(SEARCH("Platform",C367)),ISNUMBER(SEARCH("Portfolio",C367))),85,65))</f>
        <v/>
      </c>
      <c r="W367" s="52">
        <f>IF(C367="","",MIN(100,50+IF(S367&lt;&gt;"",25,0)+IF(R367&lt;&gt;"",15,0)+IF(P367&lt;&gt;"",10,0)))</f>
        <v/>
      </c>
      <c r="X367" s="52">
        <f>IF(E367="","",IF(OR(E367="Canada",E367="CA"),100,IF(OR(E367="United States",E367="USA",E367="US"),IF(J367="Yes",45,75),65)))</f>
        <v/>
      </c>
      <c r="Y367" s="52">
        <f>IF(C367="","",IF(OR(ISNUMBER(SEARCH("Program",C367)),ISNUMBER(SEARCH("Portfolio",C367)),ISNUMBER(SEARCH("Operations",C367)),ISNUMBER(SEARCH("Transformation",C367))),85,IF(ISNUMBER(SEARCH("Product Manager",C367)),55,70)))</f>
        <v/>
      </c>
      <c r="Z367" s="52">
        <f>IF(C367="","",MIN(100,IF(I367&lt;&gt;"",60,10)+IF(AA367&gt;0,MIN(40,AA367*20),0)))</f>
        <v/>
      </c>
      <c r="AA367" s="52">
        <f>IF(T367="","",ROUND(T367*25%+U367*15%+V367*10%+W367*15%+X367*15%+Y367*10%+Z367*10%,0))</f>
        <v/>
      </c>
      <c r="AB367" s="52">
        <f>IF(AA367="","",IF(X367&lt;50,"Selective / Barrier",IF(AA367&gt;=80,"Tier 1 - Pursue",IF(AA367&gt;=70,"Tier 2 - Pursue",IF(AA367&gt;=60,"Tier 3 - Selective","Do Not Pursue")))))</f>
        <v/>
      </c>
      <c r="AC367" s="52">
        <f>IF(C367="","",IF(I367&lt;&gt;"","Named Contact",IF(AA367&gt;0,"Outreach Logged","Cold")))</f>
        <v/>
      </c>
      <c r="AD367" s="52">
        <f>IF(B367="","",COUNTIF('Outreach Log'!$C:$C,B367))</f>
        <v/>
      </c>
      <c r="AE367" s="52">
        <f>IF(A367="","",IF(OR(K367="Rejected",K367="Closed"),IF(L367&lt;&gt;"",L367-A367,TODAY()-A367),TODAY()-A367))</f>
        <v/>
      </c>
      <c r="AF367" s="52">
        <f>IF(C367="","",IF(AND(AA367&gt;=70,AC367="Cold"),"High-fit but cold",IF(AND(AA367&lt;60,K367="Applied"),"Low-fit application",IF(AND(AA367&gt;=70,OR(AC367="Named Contact",AC367="Outreach Logged")),"Targeted pursuit","Review"))))</f>
        <v/>
      </c>
    </row>
    <row r="368" ht="15" customHeight="1" s="44">
      <c r="A368" s="53" t="n">
        <v>46272</v>
      </c>
      <c r="B368" s="48" t="inlineStr">
        <is>
          <t>Procom (agency) — Consulting sector client (banking transformation)</t>
        </is>
      </c>
      <c r="C368" s="48" t="inlineStr">
        <is>
          <t>Technical Project Manager</t>
        </is>
      </c>
      <c r="D368" s="48" t="inlineStr">
        <is>
          <t>Senior</t>
        </is>
      </c>
      <c r="E368" s="48" t="inlineStr">
        <is>
          <t>Canada</t>
        </is>
      </c>
      <c r="F368" s="48" t="inlineStr">
        <is>
          <t>Toronto, ON (Hybrid, 3-4 days onsite)</t>
        </is>
      </c>
      <c r="G368" s="48" t="n">
        <v>58</v>
      </c>
      <c r="H368" s="48" t="inlineStr">
        <is>
          <t>Agency (Procom)</t>
        </is>
      </c>
      <c r="I368" s="48" t="n"/>
      <c r="J368" s="48" t="inlineStr">
        <is>
          <t>No</t>
        </is>
      </c>
      <c r="K368" s="57" t="inlineStr">
        <is>
          <t>Screening</t>
        </is>
      </c>
      <c r="L368" s="50" t="n">
        <v>46272</v>
      </c>
      <c r="M368" s="48">
        <f>IF(OR(L227="",A227=""),"",L227-A227)</f>
        <v/>
      </c>
      <c r="N368" s="48" t="inlineStr">
        <is>
          <t>Complete Procom's AI voice screen with "Alice"</t>
        </is>
      </c>
      <c r="O368" s="48" t="n"/>
      <c r="P368" s="51" t="inlineStr">
        <is>
          <t>Agency: Procom, for a consulting-sector client staffed onto a banking transformation program. 3-month contract, hybrid (3-4 days onsite Toronto). Role leads the data migration workstream (setup, readiness, governance of the data environment) within the larger transformation. Mandatory skills: 5+ yrs PM experience leading technical transformations, experience with data environments/testing/data mapping/conversion event management, experience in Canadian financial services managing projects, Agile methodology, PMP certification (preferred), expert MS Suite incl. MS Project, Jira ticket management. Nice-to-have: Google Suite (intermediate), reporting tools (Tableau/Power BI), migration experience, business acumen, managing multiple projects simultaneously. Gaps to note: no direct Canadian financial services/banking experience (Bell Canada was telecom, not FS); no PMP (holds SAFe Advanced Scrum Master and SAFe LPM instead); no explicit data-migration/conversion-event or data-mapping experience on resume; MS Project depth unconfirmed. Strengths to lean on: SAFe/Agile background, Jira and Tableau/Power BI already in her tool stack, strong track record in technical program governance and escalation management that maps to the "manage technical program escalations and translate for leadership" responsibility. | UPDATE 2026-09-07: Procom requested an AI voice screen (interviewer "Alice") as the next step — complete when convenient.</t>
        </is>
      </c>
      <c r="Q368" s="50" t="n">
        <v>46272</v>
      </c>
      <c r="R368" s="48" t="n"/>
      <c r="S368" s="51" t="n"/>
      <c r="T368" s="52">
        <f>IF(G368="","",G368)</f>
        <v/>
      </c>
      <c r="U368" s="52">
        <f>IF(C368="","",IF(OR(ISNUMBER(SEARCH("Director",C368)),ISNUMBER(SEARCH("Lead",C368)),ISNUMBER(SEARCH("Senior",C368)),ISNUMBER(SEARCH("Sr.",C368))),90,IF(OR(ISNUMBER(SEARCH("Manager",C368)),ISNUMBER(SEARCH("Program",C368)),ISNUMBER(SEARCH("Portfolio",C368))),80,60)))</f>
        <v/>
      </c>
      <c r="V368" s="52">
        <f>IF(C368="","",IF(OR(ISNUMBER(SEARCH("AI",C368)),ISNUMBER(SEARCH("Data",C368)),ISNUMBER(SEARCH("Technology",C368)),ISNUMBER(SEARCH("Technical",C368)),ISNUMBER(SEARCH("Engineering",C368)),ISNUMBER(SEARCH("Platform",C368)),ISNUMBER(SEARCH("Portfolio",C368))),85,65))</f>
        <v/>
      </c>
      <c r="W368" s="52">
        <f>IF(C368="","",MIN(100,50+IF(S368&lt;&gt;"",25,0)+IF(R368&lt;&gt;"",15,0)+IF(P368&lt;&gt;"",10,0)))</f>
        <v/>
      </c>
      <c r="X368" s="52">
        <f>IF(E368="","",IF(OR(E368="Canada",E368="CA"),100,IF(OR(E368="United States",E368="USA",E368="US"),IF(J368="Yes",45,75),65)))</f>
        <v/>
      </c>
      <c r="Y368" s="52">
        <f>IF(C368="","",IF(OR(ISNUMBER(SEARCH("Program",C368)),ISNUMBER(SEARCH("Portfolio",C368)),ISNUMBER(SEARCH("Operations",C368)),ISNUMBER(SEARCH("Transformation",C368))),85,IF(ISNUMBER(SEARCH("Product Manager",C368)),55,70)))</f>
        <v/>
      </c>
      <c r="Z368" s="52">
        <f>IF(C368="","",MIN(100,IF(I368&lt;&gt;"",60,10)+IF(AA368&gt;0,MIN(40,AA368*20),0)))</f>
        <v/>
      </c>
      <c r="AA368" s="52">
        <f>IF(T368="","",ROUND(T368*25%+U368*15%+V368*10%+W368*15%+X368*15%+Y368*10%+Z368*10%,0))</f>
        <v/>
      </c>
      <c r="AB368" s="52">
        <f>IF(AA368="","",IF(X368&lt;50,"Selective / Barrier",IF(AA368&gt;=80,"Tier 1 - Pursue",IF(AA368&gt;=70,"Tier 2 - Pursue",IF(AA368&gt;=60,"Tier 3 - Selective","Do Not Pursue")))))</f>
        <v/>
      </c>
      <c r="AC368" s="52">
        <f>IF(C368="","",IF(I368&lt;&gt;"","Named Contact",IF(AA368&gt;0,"Outreach Logged","Cold")))</f>
        <v/>
      </c>
      <c r="AD368" s="52">
        <f>IF(B368="","",COUNTIF('Outreach Log'!$C:$C,B368))</f>
        <v/>
      </c>
      <c r="AE368" s="52">
        <f>IF(A368="","",IF(OR(K368="Rejected",K368="Closed"),IF(L368&lt;&gt;"",L368-A368,TODAY()-A368),TODAY()-A368))</f>
        <v/>
      </c>
      <c r="AF368" s="52">
        <f>IF(C368="","",IF(AND(AA368&gt;=70,AC368="Cold"),"High-fit but cold",IF(AND(AA368&lt;60,K368="Applied"),"Low-fit application",IF(AND(AA368&gt;=70,OR(AC368="Named Contact",AC368="Outreach Logged")),"Targeted pursuit","Review"))))</f>
        <v/>
      </c>
    </row>
    <row r="369" ht="15" customHeight="1" s="44">
      <c r="A369" s="53" t="n">
        <v>46272</v>
      </c>
      <c r="B369" s="48" t="inlineStr">
        <is>
          <t>Robert Half (agency) — end client unknown</t>
        </is>
      </c>
      <c r="C369" s="48" t="inlineStr">
        <is>
          <t>ERP Selection Consultant</t>
        </is>
      </c>
      <c r="D369" s="48" t="n"/>
      <c r="E369" s="48" t="inlineStr">
        <is>
          <t>Canada</t>
        </is>
      </c>
      <c r="F369" s="48" t="inlineStr">
        <is>
          <t>Toronto, ON</t>
        </is>
      </c>
      <c r="G369" s="48" t="n">
        <v>62</v>
      </c>
      <c r="H369" s="48" t="inlineStr">
        <is>
          <t>Recruiter</t>
        </is>
      </c>
      <c r="I369" s="48" t="n"/>
      <c r="J369" s="48" t="inlineStr">
        <is>
          <t>No</t>
        </is>
      </c>
      <c r="K369" s="55" t="inlineStr">
        <is>
          <t>Applied</t>
        </is>
      </c>
      <c r="L369" s="48" t="n"/>
      <c r="M369" s="48">
        <f>IF(OR(L228="",A228=""),"",L228-A228)</f>
        <v/>
      </c>
      <c r="N369" s="48" t="inlineStr">
        <is>
          <t>Await response</t>
        </is>
      </c>
      <c r="O369" s="48" t="n"/>
      <c r="P369" s="51" t="inlineStr">
        <is>
          <t>Client seeking an ERP Selection Consultant for a systems modernization initiative (Toronto, Canada). Scope: lead ERP selection from discovery through vendor evaluation/recommendation; gather business requirements across finance, accounting, and operations; assess current-state processes; define future-state requirements (AP, AR, financial reporting, fund accounting); build business case, selection criteria, vendor evaluation framework; run vendor demos and stakeholder facilitation; advise on cloud-readiness and phased rollout (finance/accounting core first); RFP development, reference checks, commercial evaluation; prepare exec recommendations. Requirements: proven significant experience leading/advising ERP selection, assessment, or transformation; techno-functional end-to-end ERP knowledge (requirements, vendor evaluation, implementation planning); ability to translate stakeholder needs into structured requirements; strong project leadership, business case development, vendor management; comfortable with finance + tech stakeholders; experience evaluating mid-market/enterprise ERP platforms (NetSuite, Dynamics 365, Sage, or similar); strong communication/facilitation/negotiation; implementation or post-selection PM experience is an asset (not required). Fit read: strong overlap on vendor evaluation, business case development (0M Bell savings case), executive stakeholder facilitation, and techno-functional background (started as a developer, now portfolio/governance-level). Gaps: no named experience with specific ERP platforms (NetSuite, Dynamics 365, Sage) or finance-domain specifics (AP/AR, fund accounting) on the resume as written; would need to lean on the Bell payment-platform vendor evaluation and TCO model work as the closest analogue and be upfront that it wasn't a named-ERP selection. Consider a light resume tailor emphasizing vendor evaluation, business case, and cross-functional (finance/tech) stakeholder work before/if this moves forward.</t>
        </is>
      </c>
      <c r="Q369" s="48" t="n"/>
      <c r="R369" s="48" t="n"/>
      <c r="S369" s="51" t="n"/>
      <c r="T369" s="52">
        <f>IF(G369="","",G369)</f>
        <v/>
      </c>
      <c r="U369" s="52">
        <f>IF(C369="","",IF(OR(ISNUMBER(SEARCH("Director",C369)),ISNUMBER(SEARCH("Lead",C369)),ISNUMBER(SEARCH("Senior",C369)),ISNUMBER(SEARCH("Sr.",C369))),90,IF(OR(ISNUMBER(SEARCH("Manager",C369)),ISNUMBER(SEARCH("Program",C369)),ISNUMBER(SEARCH("Portfolio",C369))),80,60)))</f>
        <v/>
      </c>
      <c r="V369" s="52">
        <f>IF(C369="","",IF(OR(ISNUMBER(SEARCH("AI",C369)),ISNUMBER(SEARCH("Data",C369)),ISNUMBER(SEARCH("Technology",C369)),ISNUMBER(SEARCH("Technical",C369)),ISNUMBER(SEARCH("Engineering",C369)),ISNUMBER(SEARCH("Platform",C369)),ISNUMBER(SEARCH("Portfolio",C369))),85,65))</f>
        <v/>
      </c>
      <c r="W369" s="52">
        <f>IF(C369="","",MIN(100,50+IF(S369&lt;&gt;"",25,0)+IF(R369&lt;&gt;"",15,0)+IF(P369&lt;&gt;"",10,0)))</f>
        <v/>
      </c>
      <c r="X369" s="52">
        <f>IF(E369="","",IF(OR(E369="Canada",E369="CA"),100,IF(OR(E369="United States",E369="USA",E369="US"),IF(J369="Yes",45,75),65)))</f>
        <v/>
      </c>
      <c r="Y369" s="52">
        <f>IF(C369="","",IF(OR(ISNUMBER(SEARCH("Program",C369)),ISNUMBER(SEARCH("Portfolio",C369)),ISNUMBER(SEARCH("Operations",C369)),ISNUMBER(SEARCH("Transformation",C369))),85,IF(ISNUMBER(SEARCH("Product Manager",C369)),55,70)))</f>
        <v/>
      </c>
      <c r="Z369" s="52">
        <f>IF(C369="","",MIN(100,IF(I369&lt;&gt;"",60,10)+IF(AA369&gt;0,MIN(40,AA369*20),0)))</f>
        <v/>
      </c>
      <c r="AA369" s="52">
        <f>IF(T369="","",ROUND(T369*25%+U369*15%+V369*10%+W369*15%+X369*15%+Y369*10%+Z369*10%,0))</f>
        <v/>
      </c>
      <c r="AB369" s="52">
        <f>IF(AA369="","",IF(X369&lt;50,"Selective / Barrier",IF(AA369&gt;=80,"Tier 1 - Pursue",IF(AA369&gt;=70,"Tier 2 - Pursue",IF(AA369&gt;=60,"Tier 3 - Selective","Do Not Pursue")))))</f>
        <v/>
      </c>
      <c r="AC369" s="52">
        <f>IF(C369="","",IF(I369&lt;&gt;"","Named Contact",IF(AA369&gt;0,"Outreach Logged","Cold")))</f>
        <v/>
      </c>
      <c r="AD369" s="52">
        <f>IF(B369="","",COUNTIF('Outreach Log'!$C:$C,B369))</f>
        <v/>
      </c>
      <c r="AE369" s="52">
        <f>IF(A369="","",IF(OR(K369="Rejected",K369="Closed"),IF(L369&lt;&gt;"",L369-A369,TODAY()-A369),TODAY()-A369))</f>
        <v/>
      </c>
      <c r="AF369" s="52">
        <f>IF(C369="","",IF(AND(AA369&gt;=70,AC369="Cold"),"High-fit but cold",IF(AND(AA369&lt;60,K369="Applied"),"Low-fit application",IF(AND(AA369&gt;=70,OR(AC369="Named Contact",AC369="Outreach Logged")),"Targeted pursuit","Review"))))</f>
        <v/>
      </c>
    </row>
    <row r="370" ht="15" customHeight="1" s="44">
      <c r="A370" s="53" t="n">
        <v>46272</v>
      </c>
      <c r="B370" s="48" t="inlineStr">
        <is>
          <t>SentinelOne</t>
        </is>
      </c>
      <c r="C370" s="48" t="inlineStr">
        <is>
          <t>Sr Manager, AI &amp; Technology Program Management</t>
        </is>
      </c>
      <c r="D370" s="48" t="inlineStr">
        <is>
          <t>Sr Manager</t>
        </is>
      </c>
      <c r="E370" s="48" t="inlineStr">
        <is>
          <t>US</t>
        </is>
      </c>
      <c r="F370" s="48" t="inlineStr">
        <is>
          <t>Remote</t>
        </is>
      </c>
      <c r="G370" s="48" t="n">
        <v>58</v>
      </c>
      <c r="H370" s="48" t="inlineStr">
        <is>
          <t>Cold Portal</t>
        </is>
      </c>
      <c r="I370" s="48" t="n"/>
      <c r="J370" s="48" t="inlineStr">
        <is>
          <t>Yes</t>
        </is>
      </c>
      <c r="K370" s="55" t="inlineStr">
        <is>
          <t>Applied</t>
        </is>
      </c>
      <c r="L370" s="48" t="n"/>
      <c r="M370" s="48">
        <f>IF(OR(L229="",A229=""),"",L229-A229)</f>
        <v/>
      </c>
      <c r="N370" s="48" t="inlineStr">
        <is>
          <t>Await response</t>
        </is>
      </c>
      <c r="O370" s="48" t="n"/>
      <c r="P370" s="51" t="inlineStr">
        <is>
          <t>Confirmed via SentinelOne Talent Acquisition auto-notification (no-reply@sentinelone.com), received 2026-09-07 2:30pm ET. Role (per Himalayas/Greenhouse posting): owns/operationalizes SentinelOne's frontier AI alliance/partnership portfolio, reports to VP AI &amp; Technology Partnerships; program coordination, milestone tracking, cross-functional alignment across AI/tech partnership initiatives. US - Remote, Sales org. FIT ~58%: strong overlap on program coordination, milestone/RAID-style tracking, cross-functional stakeholder alignment (Bell TCO, Amazon multi-program experience); gap is the role's partnership/alliance-management and commercial monetization focus, which is not part of Elena's background — closer to a strategic partnerships PM than a pure TPM role.</t>
        </is>
      </c>
      <c r="Q370" s="48" t="n"/>
      <c r="R370" s="48" t="n"/>
      <c r="S370" s="51" t="n"/>
      <c r="T370" s="52">
        <f>IF(G370="","",G370)</f>
        <v/>
      </c>
      <c r="U370" s="52">
        <f>IF(C370="","",IF(OR(ISNUMBER(SEARCH("Director",C370)),ISNUMBER(SEARCH("Lead",C370)),ISNUMBER(SEARCH("Senior",C370)),ISNUMBER(SEARCH("Sr.",C370))),90,IF(OR(ISNUMBER(SEARCH("Manager",C370)),ISNUMBER(SEARCH("Program",C370)),ISNUMBER(SEARCH("Portfolio",C370))),80,60)))</f>
        <v/>
      </c>
      <c r="V370" s="52">
        <f>IF(C370="","",IF(OR(ISNUMBER(SEARCH("AI",C370)),ISNUMBER(SEARCH("Data",C370)),ISNUMBER(SEARCH("Technology",C370)),ISNUMBER(SEARCH("Technical",C370)),ISNUMBER(SEARCH("Engineering",C370)),ISNUMBER(SEARCH("Platform",C370)),ISNUMBER(SEARCH("Portfolio",C370))),85,65))</f>
        <v/>
      </c>
      <c r="W370" s="52">
        <f>IF(C370="","",MIN(100,50+IF(S370&lt;&gt;"",25,0)+IF(R370&lt;&gt;"",15,0)+IF(P370&lt;&gt;"",10,0)))</f>
        <v/>
      </c>
      <c r="X370" s="52">
        <f>IF(E370="","",IF(OR(E370="Canada",E370="CA"),100,IF(OR(E370="United States",E370="USA",E370="US"),IF(J370="Yes",45,75),65)))</f>
        <v/>
      </c>
      <c r="Y370" s="52">
        <f>IF(C370="","",IF(OR(ISNUMBER(SEARCH("Program",C370)),ISNUMBER(SEARCH("Portfolio",C370)),ISNUMBER(SEARCH("Operations",C370)),ISNUMBER(SEARCH("Transformation",C370))),85,IF(ISNUMBER(SEARCH("Product Manager",C370)),55,70)))</f>
        <v/>
      </c>
      <c r="Z370" s="52">
        <f>IF(C370="","",MIN(100,IF(I370&lt;&gt;"",60,10)+IF(AA370&gt;0,MIN(40,AA370*20),0)))</f>
        <v/>
      </c>
      <c r="AA370" s="52">
        <f>IF(T370="","",ROUND(T370*25%+U370*15%+V370*10%+W370*15%+X370*15%+Y370*10%+Z370*10%,0))</f>
        <v/>
      </c>
      <c r="AB370" s="52">
        <f>IF(AA370="","",IF(X370&lt;50,"Selective / Barrier",IF(AA370&gt;=80,"Tier 1 - Pursue",IF(AA370&gt;=70,"Tier 2 - Pursue",IF(AA370&gt;=60,"Tier 3 - Selective","Do Not Pursue")))))</f>
        <v/>
      </c>
      <c r="AC370" s="52">
        <f>IF(C370="","",IF(I370&lt;&gt;"","Named Contact",IF(AA370&gt;0,"Outreach Logged","Cold")))</f>
        <v/>
      </c>
      <c r="AD370" s="52">
        <f>IF(B370="","",COUNTIF('Outreach Log'!$C:$C,B370))</f>
        <v/>
      </c>
      <c r="AE370" s="52">
        <f>IF(A370="","",IF(OR(K370="Rejected",K370="Closed"),IF(L370&lt;&gt;"",L370-A370,TODAY()-A370),TODAY()-A370))</f>
        <v/>
      </c>
      <c r="AF370" s="52">
        <f>IF(C370="","",IF(AND(AA370&gt;=70,AC370="Cold"),"High-fit but cold",IF(AND(AA370&lt;60,K370="Applied"),"Low-fit application",IF(AND(AA370&gt;=70,OR(AC370="Named Contact",AC370="Outreach Logged")),"Targeted pursuit","Review"))))</f>
        <v/>
      </c>
    </row>
    <row r="371" ht="15" customHeight="1" s="44">
      <c r="A371" s="53" t="n">
        <v>46272</v>
      </c>
      <c r="B371" s="48" t="inlineStr">
        <is>
          <t>SGA (Software Guidance &amp; Assistance) — Insurance services client</t>
        </is>
      </c>
      <c r="C371" s="48" t="inlineStr">
        <is>
          <t>AI Project Manager</t>
        </is>
      </c>
      <c r="D371" s="48" t="inlineStr">
        <is>
          <t>Sr Manager</t>
        </is>
      </c>
      <c r="E371" s="48" t="inlineStr">
        <is>
          <t>US</t>
        </is>
      </c>
      <c r="F371" s="48" t="inlineStr">
        <is>
          <t>New York, NY (Hudson Yards) or Stamford, CT — Hybrid, 3 days onsite</t>
        </is>
      </c>
      <c r="G371" s="48" t="n">
        <v>70</v>
      </c>
      <c r="H371" s="48" t="inlineStr">
        <is>
          <t>Recruiter</t>
        </is>
      </c>
      <c r="I371" s="48" t="n"/>
      <c r="J371" s="48" t="inlineStr">
        <is>
          <t>Yes</t>
        </is>
      </c>
      <c r="K371" s="55" t="inlineStr">
        <is>
          <t>Applied</t>
        </is>
      </c>
      <c r="L371" s="48" t="n"/>
      <c r="M371" s="48">
        <f>IF(OR(L230="",A230=""),"",L230-A230)</f>
        <v/>
      </c>
      <c r="N371" s="48" t="inlineStr">
        <is>
          <t>Await response</t>
        </is>
      </c>
      <c r="O371" s="48" t="n"/>
      <c r="P371" s="51" t="inlineStr">
        <is>
          <t>Contract role via SGA (staffing agency) for an unnamed Insurance services end client. Hybrid, 3 days onsite in NY (Hudson Yards) or Stamford, CT. Scope: lead enterprise AI/GenAI/ML/intelligent automation portfolio from POC through enterprise adoption; project governance, status reporting, risk management, executive communications; business cases, benefits realization, ROI measurement; change management/adoption; cross-functional coordination across business, data science, AI engineering, Legal, Compliance, Risk, InfoSec; regulated-industry (Insurance/Financial Services) governance and model risk management. Requirements: 5+ yrs PM/program mgmt on complex enterprise initiatives, 2+ yrs on enterprise AI/GenAI/ML/automation programs, Agile/Scrum/Waterfall, executive stakeholder management, regulated-industry experience. Preferred: PMP/PgMP/SAFe cert, GenAI platform exposure (Copilot/Azure AI/OpenAI/Anthropic), MLOps, AI governance/model risk/responsible AI. FIT ~70%: strong match on AI program governance, executive stakeholder management, and business case/ROI work (Bell TCO model, 0M Price &amp; Pay savings case, SAFe LPM + Advanced Scrum Master certs); regulated-environment experience transfers from Bell Canada (telecom) and IBM GBS (US federal/state health agencies). GAPS: no direct Insurance/Financial Services domain experience; no named GenAI-platform or MLOps hands-on work to point to specifically.</t>
        </is>
      </c>
      <c r="Q371" s="48" t="n"/>
      <c r="R371" s="48" t="n"/>
      <c r="S371" s="51" t="n"/>
      <c r="T371" s="52">
        <f>IF(G371="","",G371)</f>
        <v/>
      </c>
      <c r="U371" s="52">
        <f>IF(C371="","",IF(OR(ISNUMBER(SEARCH("Director",C371)),ISNUMBER(SEARCH("Lead",C371)),ISNUMBER(SEARCH("Senior",C371)),ISNUMBER(SEARCH("Sr.",C371))),90,IF(OR(ISNUMBER(SEARCH("Manager",C371)),ISNUMBER(SEARCH("Program",C371)),ISNUMBER(SEARCH("Portfolio",C371))),80,60)))</f>
        <v/>
      </c>
      <c r="V371" s="52">
        <f>IF(C371="","",IF(OR(ISNUMBER(SEARCH("AI",C371)),ISNUMBER(SEARCH("Data",C371)),ISNUMBER(SEARCH("Technology",C371)),ISNUMBER(SEARCH("Technical",C371)),ISNUMBER(SEARCH("Engineering",C371)),ISNUMBER(SEARCH("Platform",C371)),ISNUMBER(SEARCH("Portfolio",C371))),85,65))</f>
        <v/>
      </c>
      <c r="W371" s="52">
        <f>IF(C371="","",MIN(100,50+IF(S371&lt;&gt;"",25,0)+IF(R371&lt;&gt;"",15,0)+IF(P371&lt;&gt;"",10,0)))</f>
        <v/>
      </c>
      <c r="X371" s="52">
        <f>IF(E371="","",IF(OR(E371="Canada",E371="CA"),100,IF(OR(E371="United States",E371="USA",E371="US"),IF(J371="Yes",45,75),65)))</f>
        <v/>
      </c>
      <c r="Y371" s="52">
        <f>IF(C371="","",IF(OR(ISNUMBER(SEARCH("Program",C371)),ISNUMBER(SEARCH("Portfolio",C371)),ISNUMBER(SEARCH("Operations",C371)),ISNUMBER(SEARCH("Transformation",C371))),85,IF(ISNUMBER(SEARCH("Product Manager",C371)),55,70)))</f>
        <v/>
      </c>
      <c r="Z371" s="52">
        <f>IF(C371="","",MIN(100,IF(I371&lt;&gt;"",60,10)+IF(AA371&gt;0,MIN(40,AA371*20),0)))</f>
        <v/>
      </c>
      <c r="AA371" s="52">
        <f>IF(T371="","",ROUND(T371*25%+U371*15%+V371*10%+W371*15%+X371*15%+Y371*10%+Z371*10%,0))</f>
        <v/>
      </c>
      <c r="AB371" s="52">
        <f>IF(AA371="","",IF(X371&lt;50,"Selective / Barrier",IF(AA371&gt;=80,"Tier 1 - Pursue",IF(AA371&gt;=70,"Tier 2 - Pursue",IF(AA371&gt;=60,"Tier 3 - Selective","Do Not Pursue")))))</f>
        <v/>
      </c>
      <c r="AC371" s="52">
        <f>IF(C371="","",IF(I371&lt;&gt;"","Named Contact",IF(AA371&gt;0,"Outreach Logged","Cold")))</f>
        <v/>
      </c>
      <c r="AD371" s="52">
        <f>IF(B371="","",COUNTIF('Outreach Log'!$C:$C,B371))</f>
        <v/>
      </c>
      <c r="AE371" s="52">
        <f>IF(A371="","",IF(OR(K371="Rejected",K371="Closed"),IF(L371&lt;&gt;"",L371-A371,TODAY()-A371),TODAY()-A371))</f>
        <v/>
      </c>
      <c r="AF371" s="52">
        <f>IF(C371="","",IF(AND(AA371&gt;=70,AC371="Cold"),"High-fit but cold",IF(AND(AA371&lt;60,K371="Applied"),"Low-fit application",IF(AND(AA371&gt;=70,OR(AC371="Named Contact",AC371="Outreach Logged")),"Targeted pursuit","Review"))))</f>
        <v/>
      </c>
    </row>
    <row r="372" ht="15" customHeight="1" s="44">
      <c r="A372" s="53" t="n">
        <v>46272</v>
      </c>
      <c r="B372" s="48" t="inlineStr">
        <is>
          <t>ProCom Services</t>
        </is>
      </c>
      <c r="C372" s="48" t="inlineStr">
        <is>
          <t>Program Manager</t>
        </is>
      </c>
      <c r="D372" s="48" t="n"/>
      <c r="E372" s="48" t="n"/>
      <c r="F372" s="48" t="n"/>
      <c r="G372" s="48" t="n"/>
      <c r="H372" s="48" t="n"/>
      <c r="I372" s="48" t="n"/>
      <c r="J372" s="48" t="n"/>
      <c r="K372" s="57" t="inlineStr">
        <is>
          <t>Screening</t>
        </is>
      </c>
      <c r="L372" s="48" t="n"/>
      <c r="M372" s="48" t="n"/>
      <c r="N372" s="48" t="n"/>
      <c r="O372" s="48" t="n"/>
      <c r="P372" s="51" t="inlineStr">
        <is>
          <t>Virtual recruiter call requested</t>
        </is>
      </c>
      <c r="Q372" s="48" t="n"/>
      <c r="R372" s="48" t="n"/>
      <c r="S372" s="51" t="n"/>
      <c r="T372" s="52">
        <f>IF(G372="","",G372)</f>
        <v/>
      </c>
      <c r="U372" s="52">
        <f>IF(C372="","",IF(OR(ISNUMBER(SEARCH("Director",C372)),ISNUMBER(SEARCH("Lead",C372)),ISNUMBER(SEARCH("Senior",C372)),ISNUMBER(SEARCH("Sr.",C372))),90,IF(OR(ISNUMBER(SEARCH("Manager",C372)),ISNUMBER(SEARCH("Program",C372)),ISNUMBER(SEARCH("Portfolio",C372))),80,60)))</f>
        <v/>
      </c>
      <c r="V372" s="52">
        <f>IF(C372="","",IF(OR(ISNUMBER(SEARCH("AI",C372)),ISNUMBER(SEARCH("Data",C372)),ISNUMBER(SEARCH("Technology",C372)),ISNUMBER(SEARCH("Technical",C372)),ISNUMBER(SEARCH("Engineering",C372)),ISNUMBER(SEARCH("Platform",C372)),ISNUMBER(SEARCH("Portfolio",C372))),85,65))</f>
        <v/>
      </c>
      <c r="W372" s="52">
        <f>IF(C372="","",MIN(100,50+IF(S372&lt;&gt;"",25,0)+IF(R372&lt;&gt;"",15,0)+IF(P372&lt;&gt;"",10,0)))</f>
        <v/>
      </c>
      <c r="X372" s="52">
        <f>IF(E372="","",IF(OR(E372="Canada",E372="CA"),100,IF(OR(E372="United States",E372="USA",E372="US"),IF(J372="Yes",45,75),65)))</f>
        <v/>
      </c>
      <c r="Y372" s="52">
        <f>IF(C372="","",IF(OR(ISNUMBER(SEARCH("Program",C372)),ISNUMBER(SEARCH("Portfolio",C372)),ISNUMBER(SEARCH("Operations",C372)),ISNUMBER(SEARCH("Transformation",C372))),85,IF(ISNUMBER(SEARCH("Product Manager",C372)),55,70)))</f>
        <v/>
      </c>
      <c r="Z372" s="52">
        <f>IF(C372="","",MIN(100,IF(I372&lt;&gt;"",60,10)+IF(AA372&gt;0,MIN(40,AA372*20),0)))</f>
        <v/>
      </c>
      <c r="AA372" s="52">
        <f>IF(T372="","",ROUND(T372*25%+U372*15%+V372*10%+W372*15%+X372*15%+Y372*10%+Z372*10%,0))</f>
        <v/>
      </c>
      <c r="AB372" s="52">
        <f>IF(AA372="","",IF(X372&lt;50,"Selective / Barrier",IF(AA372&gt;=80,"Tier 1 - Pursue",IF(AA372&gt;=70,"Tier 2 - Pursue",IF(AA372&gt;=60,"Tier 3 - Selective","Do Not Pursue")))))</f>
        <v/>
      </c>
      <c r="AC372" s="52">
        <f>IF(C372="","",IF(I372&lt;&gt;"","Named Contact",IF(AA372&gt;0,"Outreach Logged","Cold")))</f>
        <v/>
      </c>
      <c r="AD372" s="52">
        <f>IF(B372="","",COUNTIF('Outreach Log'!$C:$C,B372))</f>
        <v/>
      </c>
      <c r="AE372" s="52">
        <f>IF(A372="","",IF(OR(K372="Rejected",K372="Closed"),IF(L372&lt;&gt;"",L372-A372,TODAY()-A372),TODAY()-A372))</f>
        <v/>
      </c>
      <c r="AF372" s="52">
        <f>IF(C372="","",IF(AND(AA372&gt;=70,AC372="Cold"),"High-fit but cold",IF(AND(AA372&lt;60,K372="Applied"),"Low-fit application",IF(AND(AA372&gt;=70,OR(AC372="Named Contact",AC372="Outreach Logged")),"Targeted pursuit","Review"))))</f>
        <v/>
      </c>
    </row>
    <row r="373" ht="15" customHeight="1" s="44">
      <c r="A373" s="53" t="n">
        <v>46272</v>
      </c>
      <c r="B373" s="48" t="inlineStr">
        <is>
          <t>ProCom Services</t>
        </is>
      </c>
      <c r="C373" s="48" t="inlineStr">
        <is>
          <t>Technical Project Manager</t>
        </is>
      </c>
      <c r="D373" s="48" t="n"/>
      <c r="E373" s="48" t="n"/>
      <c r="F373" s="48" t="n"/>
      <c r="G373" s="48" t="n"/>
      <c r="H373" s="48" t="n"/>
      <c r="I373" s="48" t="n"/>
      <c r="J373" s="48" t="n"/>
      <c r="K373" s="57" t="inlineStr">
        <is>
          <t>Screening</t>
        </is>
      </c>
      <c r="L373" s="48" t="n"/>
      <c r="M373" s="48" t="n"/>
      <c r="N373" s="48" t="n"/>
      <c r="O373" s="48" t="n"/>
      <c r="P373" s="51" t="inlineStr">
        <is>
          <t>Virtual recruiter call requested</t>
        </is>
      </c>
      <c r="Q373" s="48" t="n"/>
      <c r="R373" s="48" t="n"/>
      <c r="S373" s="51" t="n"/>
      <c r="T373" s="52">
        <f>IF(G373="","",G373)</f>
        <v/>
      </c>
      <c r="U373" s="52">
        <f>IF(C373="","",IF(OR(ISNUMBER(SEARCH("Director",C373)),ISNUMBER(SEARCH("Lead",C373)),ISNUMBER(SEARCH("Senior",C373)),ISNUMBER(SEARCH("Sr.",C373))),90,IF(OR(ISNUMBER(SEARCH("Manager",C373)),ISNUMBER(SEARCH("Program",C373)),ISNUMBER(SEARCH("Portfolio",C373))),80,60)))</f>
        <v/>
      </c>
      <c r="V373" s="52">
        <f>IF(C373="","",IF(OR(ISNUMBER(SEARCH("AI",C373)),ISNUMBER(SEARCH("Data",C373)),ISNUMBER(SEARCH("Technology",C373)),ISNUMBER(SEARCH("Technical",C373)),ISNUMBER(SEARCH("Engineering",C373)),ISNUMBER(SEARCH("Platform",C373)),ISNUMBER(SEARCH("Portfolio",C373))),85,65))</f>
        <v/>
      </c>
      <c r="W373" s="52">
        <f>IF(C373="","",MIN(100,50+IF(S373&lt;&gt;"",25,0)+IF(R373&lt;&gt;"",15,0)+IF(P373&lt;&gt;"",10,0)))</f>
        <v/>
      </c>
      <c r="X373" s="52">
        <f>IF(E373="","",IF(OR(E373="Canada",E373="CA"),100,IF(OR(E373="United States",E373="USA",E373="US"),IF(J373="Yes",45,75),65)))</f>
        <v/>
      </c>
      <c r="Y373" s="52">
        <f>IF(C373="","",IF(OR(ISNUMBER(SEARCH("Program",C373)),ISNUMBER(SEARCH("Portfolio",C373)),ISNUMBER(SEARCH("Operations",C373)),ISNUMBER(SEARCH("Transformation",C373))),85,IF(ISNUMBER(SEARCH("Product Manager",C373)),55,70)))</f>
        <v/>
      </c>
      <c r="Z373" s="52">
        <f>IF(C373="","",MIN(100,IF(I373&lt;&gt;"",60,10)+IF(AA373&gt;0,MIN(40,AA373*20),0)))</f>
        <v/>
      </c>
      <c r="AA373" s="52">
        <f>IF(T373="","",ROUND(T373*25%+U373*15%+V373*10%+W373*15%+X373*15%+Y373*10%+Z373*10%,0))</f>
        <v/>
      </c>
      <c r="AB373" s="52">
        <f>IF(AA373="","",IF(X373&lt;50,"Selective / Barrier",IF(AA373&gt;=80,"Tier 1 - Pursue",IF(AA373&gt;=70,"Tier 2 - Pursue",IF(AA373&gt;=60,"Tier 3 - Selective","Do Not Pursue")))))</f>
        <v/>
      </c>
      <c r="AC373" s="52">
        <f>IF(C373="","",IF(I373&lt;&gt;"","Named Contact",IF(AA373&gt;0,"Outreach Logged","Cold")))</f>
        <v/>
      </c>
      <c r="AD373" s="52">
        <f>IF(B373="","",COUNTIF('Outreach Log'!$C:$C,B373))</f>
        <v/>
      </c>
      <c r="AE373" s="52">
        <f>IF(A373="","",IF(OR(K373="Rejected",K373="Closed"),IF(L373&lt;&gt;"",L373-A373,TODAY()-A373),TODAY()-A373))</f>
        <v/>
      </c>
      <c r="AF373" s="52">
        <f>IF(C373="","",IF(AND(AA373&gt;=70,AC373="Cold"),"High-fit but cold",IF(AND(AA373&lt;60,K373="Applied"),"Low-fit application",IF(AND(AA373&gt;=70,OR(AC373="Named Contact",AC373="Outreach Logged")),"Targeted pursuit","Review"))))</f>
        <v/>
      </c>
    </row>
    <row r="374" ht="15" customHeight="1" s="44">
      <c r="A374" s="53" t="n">
        <v>46272</v>
      </c>
      <c r="B374" s="48" t="inlineStr">
        <is>
          <t>Client Connections</t>
        </is>
      </c>
      <c r="C374" s="48" t="inlineStr">
        <is>
          <t>Program Manager</t>
        </is>
      </c>
      <c r="D374" s="48" t="n"/>
      <c r="E374" s="48" t="n"/>
      <c r="F374" s="48" t="n"/>
      <c r="G374" s="48" t="n"/>
      <c r="H374" s="48" t="n"/>
      <c r="I374" s="48" t="n"/>
      <c r="J374" s="48" t="n"/>
      <c r="K374" s="55" t="inlineStr">
        <is>
          <t>Applied</t>
        </is>
      </c>
      <c r="L374" s="48" t="n"/>
      <c r="M374" s="48" t="n"/>
      <c r="N374" s="48" t="n"/>
      <c r="O374" s="48" t="n"/>
      <c r="P374" s="51" t="n"/>
      <c r="Q374" s="48" t="n"/>
      <c r="R374" s="48" t="n"/>
      <c r="S374" s="51" t="n"/>
      <c r="T374" s="52">
        <f>IF(G374="","",G374)</f>
        <v/>
      </c>
      <c r="U374" s="52">
        <f>IF(C374="","",IF(OR(ISNUMBER(SEARCH("Director",C374)),ISNUMBER(SEARCH("Lead",C374)),ISNUMBER(SEARCH("Senior",C374)),ISNUMBER(SEARCH("Sr.",C374))),90,IF(OR(ISNUMBER(SEARCH("Manager",C374)),ISNUMBER(SEARCH("Program",C374)),ISNUMBER(SEARCH("Portfolio",C374))),80,60)))</f>
        <v/>
      </c>
      <c r="V374" s="52">
        <f>IF(C374="","",IF(OR(ISNUMBER(SEARCH("AI",C374)),ISNUMBER(SEARCH("Data",C374)),ISNUMBER(SEARCH("Technology",C374)),ISNUMBER(SEARCH("Technical",C374)),ISNUMBER(SEARCH("Engineering",C374)),ISNUMBER(SEARCH("Platform",C374)),ISNUMBER(SEARCH("Portfolio",C374))),85,65))</f>
        <v/>
      </c>
      <c r="W374" s="52">
        <f>IF(C374="","",MIN(100,50+IF(S374&lt;&gt;"",25,0)+IF(R374&lt;&gt;"",15,0)+IF(P374&lt;&gt;"",10,0)))</f>
        <v/>
      </c>
      <c r="X374" s="52">
        <f>IF(E374="","",IF(OR(E374="Canada",E374="CA"),100,IF(OR(E374="United States",E374="USA",E374="US"),IF(J374="Yes",45,75),65)))</f>
        <v/>
      </c>
      <c r="Y374" s="52">
        <f>IF(C374="","",IF(OR(ISNUMBER(SEARCH("Program",C374)),ISNUMBER(SEARCH("Portfolio",C374)),ISNUMBER(SEARCH("Operations",C374)),ISNUMBER(SEARCH("Transformation",C374))),85,IF(ISNUMBER(SEARCH("Product Manager",C374)),55,70)))</f>
        <v/>
      </c>
      <c r="Z374" s="52">
        <f>IF(C374="","",MIN(100,IF(I374&lt;&gt;"",60,10)+IF(AA374&gt;0,MIN(40,AA374*20),0)))</f>
        <v/>
      </c>
      <c r="AA374" s="52">
        <f>IF(T374="","",ROUND(T374*25%+U374*15%+V374*10%+W374*15%+X374*15%+Y374*10%+Z374*10%,0))</f>
        <v/>
      </c>
      <c r="AB374" s="52">
        <f>IF(AA374="","",IF(X374&lt;50,"Selective / Barrier",IF(AA374&gt;=80,"Tier 1 - Pursue",IF(AA374&gt;=70,"Tier 2 - Pursue",IF(AA374&gt;=60,"Tier 3 - Selective","Do Not Pursue")))))</f>
        <v/>
      </c>
      <c r="AC374" s="52">
        <f>IF(C374="","",IF(I374&lt;&gt;"","Named Contact",IF(AA374&gt;0,"Outreach Logged","Cold")))</f>
        <v/>
      </c>
      <c r="AD374" s="52">
        <f>IF(B374="","",COUNTIF('Outreach Log'!$C:$C,B374))</f>
        <v/>
      </c>
      <c r="AE374" s="52">
        <f>IF(A374="","",IF(OR(K374="Rejected",K374="Closed"),IF(L374&lt;&gt;"",L374-A374,TODAY()-A374),TODAY()-A374))</f>
        <v/>
      </c>
      <c r="AF374" s="52">
        <f>IF(C374="","",IF(AND(AA374&gt;=70,AC374="Cold"),"High-fit but cold",IF(AND(AA374&lt;60,K374="Applied"),"Low-fit application",IF(AND(AA374&gt;=70,OR(AC374="Named Contact",AC374="Outreach Logged")),"Targeted pursuit","Review"))))</f>
        <v/>
      </c>
    </row>
    <row r="375" ht="15" customHeight="1" s="44">
      <c r="A375" s="53" t="n">
        <v>46272</v>
      </c>
      <c r="B375" s="48" t="inlineStr">
        <is>
          <t>Client Connections</t>
        </is>
      </c>
      <c r="C375" s="48" t="inlineStr">
        <is>
          <t>Technical Project Manager</t>
        </is>
      </c>
      <c r="D375" s="48" t="n"/>
      <c r="E375" s="48" t="n"/>
      <c r="F375" s="48" t="n"/>
      <c r="G375" s="48" t="n"/>
      <c r="H375" s="48" t="n"/>
      <c r="I375" s="48" t="n"/>
      <c r="J375" s="48" t="n"/>
      <c r="K375" s="55" t="inlineStr">
        <is>
          <t>Applied</t>
        </is>
      </c>
      <c r="L375" s="48" t="n"/>
      <c r="M375" s="48" t="n"/>
      <c r="N375" s="48" t="n"/>
      <c r="O375" s="48" t="n"/>
      <c r="P375" s="51" t="n"/>
      <c r="Q375" s="48" t="n"/>
      <c r="R375" s="48" t="n"/>
      <c r="S375" s="51" t="n"/>
      <c r="T375" s="52">
        <f>IF(G375="","",G375)</f>
        <v/>
      </c>
      <c r="U375" s="52">
        <f>IF(C375="","",IF(OR(ISNUMBER(SEARCH("Director",C375)),ISNUMBER(SEARCH("Lead",C375)),ISNUMBER(SEARCH("Senior",C375)),ISNUMBER(SEARCH("Sr.",C375))),90,IF(OR(ISNUMBER(SEARCH("Manager",C375)),ISNUMBER(SEARCH("Program",C375)),ISNUMBER(SEARCH("Portfolio",C375))),80,60)))</f>
        <v/>
      </c>
      <c r="V375" s="52">
        <f>IF(C375="","",IF(OR(ISNUMBER(SEARCH("AI",C375)),ISNUMBER(SEARCH("Data",C375)),ISNUMBER(SEARCH("Technology",C375)),ISNUMBER(SEARCH("Technical",C375)),ISNUMBER(SEARCH("Engineering",C375)),ISNUMBER(SEARCH("Platform",C375)),ISNUMBER(SEARCH("Portfolio",C375))),85,65))</f>
        <v/>
      </c>
      <c r="W375" s="52">
        <f>IF(C375="","",MIN(100,50+IF(S375&lt;&gt;"",25,0)+IF(R375&lt;&gt;"",15,0)+IF(P375&lt;&gt;"",10,0)))</f>
        <v/>
      </c>
      <c r="X375" s="52">
        <f>IF(E375="","",IF(OR(E375="Canada",E375="CA"),100,IF(OR(E375="United States",E375="USA",E375="US"),IF(J375="Yes",45,75),65)))</f>
        <v/>
      </c>
      <c r="Y375" s="52">
        <f>IF(C375="","",IF(OR(ISNUMBER(SEARCH("Program",C375)),ISNUMBER(SEARCH("Portfolio",C375)),ISNUMBER(SEARCH("Operations",C375)),ISNUMBER(SEARCH("Transformation",C375))),85,IF(ISNUMBER(SEARCH("Product Manager",C375)),55,70)))</f>
        <v/>
      </c>
      <c r="Z375" s="52">
        <f>IF(C375="","",MIN(100,IF(I375&lt;&gt;"",60,10)+IF(AA375&gt;0,MIN(40,AA375*20),0)))</f>
        <v/>
      </c>
      <c r="AA375" s="52">
        <f>IF(T375="","",ROUND(T375*25%+U375*15%+V375*10%+W375*15%+X375*15%+Y375*10%+Z375*10%,0))</f>
        <v/>
      </c>
      <c r="AB375" s="52">
        <f>IF(AA375="","",IF(X375&lt;50,"Selective / Barrier",IF(AA375&gt;=80,"Tier 1 - Pursue",IF(AA375&gt;=70,"Tier 2 - Pursue",IF(AA375&gt;=60,"Tier 3 - Selective","Do Not Pursue")))))</f>
        <v/>
      </c>
      <c r="AC375" s="52">
        <f>IF(C375="","",IF(I375&lt;&gt;"","Named Contact",IF(AA375&gt;0,"Outreach Logged","Cold")))</f>
        <v/>
      </c>
      <c r="AD375" s="52">
        <f>IF(B375="","",COUNTIF('Outreach Log'!$C:$C,B375))</f>
        <v/>
      </c>
      <c r="AE375" s="52">
        <f>IF(A375="","",IF(OR(K375="Rejected",K375="Closed"),IF(L375&lt;&gt;"",L375-A375,TODAY()-A375),TODAY()-A375))</f>
        <v/>
      </c>
      <c r="AF375" s="52">
        <f>IF(C375="","",IF(AND(AA375&gt;=70,AC375="Cold"),"High-fit but cold",IF(AND(AA375&lt;60,K375="Applied"),"Low-fit application",IF(AND(AA375&gt;=70,OR(AC375="Named Contact",AC375="Outreach Logged")),"Targeted pursuit","Review"))))</f>
        <v/>
      </c>
    </row>
    <row r="376" ht="15" customHeight="1" s="44">
      <c r="A376" s="53" t="n">
        <v>46273</v>
      </c>
      <c r="B376" s="48" t="inlineStr">
        <is>
          <t>Guidepoint</t>
        </is>
      </c>
      <c r="C376" s="48" t="inlineStr">
        <is>
          <t>Senior Technical Product Manager</t>
        </is>
      </c>
      <c r="D376" s="48" t="inlineStr">
        <is>
          <t>Senior</t>
        </is>
      </c>
      <c r="E376" s="48" t="inlineStr">
        <is>
          <t>Canada</t>
        </is>
      </c>
      <c r="F376" s="48" t="inlineStr">
        <is>
          <t>Toronto (Hybrid) — inferred</t>
        </is>
      </c>
      <c r="G376" s="48" t="n">
        <v>40</v>
      </c>
      <c r="H376" s="48" t="inlineStr">
        <is>
          <t>Cold Portal (Greenhouse)</t>
        </is>
      </c>
      <c r="I376" s="48" t="n"/>
      <c r="J376" s="48" t="inlineStr">
        <is>
          <t>No</t>
        </is>
      </c>
      <c r="K376" s="49" t="inlineStr">
        <is>
          <t>Rejected</t>
        </is>
      </c>
      <c r="L376" s="50" t="n">
        <v>46275</v>
      </c>
      <c r="M376" s="48">
        <f>IF(OR(L231="",A231=""),"",L231-A231)</f>
        <v/>
      </c>
      <c r="N376" s="48" t="n"/>
      <c r="O376" s="48" t="n"/>
      <c r="P376" s="51" t="inlineStr">
        <is>
          <t>Confirmed via Guidepoint Talent Acquisition (no-reply@us.greenhouse-mail.io), received 2026-09-08 2:23pm ET: "we received your application for Senior Technical Product Manager." No JD reviewed yet - title-only Est. fit score: 40% - Product Management discipline (not Technical Program Management) and Senior (not Director) level puts this below her core target; company, exact location, and sponsorship requirement unconfirmed. Revise once/if a JD or interview request comes through. | Location research 2026-09-10: could not find the exact "Senior Technical Product Manager" posting live on Guidepoint's Greenhouse board (likely closed/retitled since she applied), but Guidepoint's two current, closely-related open PM-track roles - "Sr. Product Manager" and "Technical Product Manager" - are BOTH listed as Toronto, Ontario, Canada, Hybrid. Strong circumstantial evidence this role was also Toronto-based, but not a direct confirmation of the original posting - treat as inferred, not verified. | Sponsorship set to No — Canada-based, and per Elena's standing rule no sponsorship is required for Canadian roles. | REJECTED 2026-09-10: Guidepoint Talent Acquisition (no-reply@us.greenhouse-mail.io) — "we will not be moving forward with your candidacy at this time... you were not selected to interview for this position."</t>
        </is>
      </c>
      <c r="Q376" s="48" t="n"/>
      <c r="R376" s="48" t="n"/>
      <c r="S376" s="51" t="n"/>
      <c r="T376" s="52">
        <f>IF(G376="","",G376)</f>
        <v/>
      </c>
      <c r="U376" s="52">
        <f>IF(C376="","",IF(OR(ISNUMBER(SEARCH("Director",C376)),ISNUMBER(SEARCH("Lead",C376)),ISNUMBER(SEARCH("Senior",C376)),ISNUMBER(SEARCH("Sr.",C376))),90,IF(OR(ISNUMBER(SEARCH("Manager",C376)),ISNUMBER(SEARCH("Program",C376)),ISNUMBER(SEARCH("Portfolio",C376))),80,60)))</f>
        <v/>
      </c>
      <c r="V376" s="52">
        <f>IF(C376="","",IF(OR(ISNUMBER(SEARCH("AI",C376)),ISNUMBER(SEARCH("Data",C376)),ISNUMBER(SEARCH("Technology",C376)),ISNUMBER(SEARCH("Technical",C376)),ISNUMBER(SEARCH("Engineering",C376)),ISNUMBER(SEARCH("Platform",C376)),ISNUMBER(SEARCH("Portfolio",C376))),85,65))</f>
        <v/>
      </c>
      <c r="W376" s="52">
        <f>IF(C376="","",MIN(100,50+IF(S376&lt;&gt;"",25,0)+IF(R376&lt;&gt;"",15,0)+IF(P376&lt;&gt;"",10,0)))</f>
        <v/>
      </c>
      <c r="X376" s="52">
        <f>IF(E376="","",IF(OR(E376="Canada",E376="CA"),100,IF(OR(E376="United States",E376="USA",E376="US"),IF(J376="Yes",45,75),65)))</f>
        <v/>
      </c>
      <c r="Y376" s="52">
        <f>IF(C376="","",IF(OR(ISNUMBER(SEARCH("Program",C376)),ISNUMBER(SEARCH("Portfolio",C376)),ISNUMBER(SEARCH("Operations",C376)),ISNUMBER(SEARCH("Transformation",C376))),85,IF(ISNUMBER(SEARCH("Product Manager",C376)),55,70)))</f>
        <v/>
      </c>
      <c r="Z376" s="52">
        <f>IF(C376="","",MIN(100,IF(I376&lt;&gt;"",60,10)+IF(AA376&gt;0,MIN(40,AA376*20),0)))</f>
        <v/>
      </c>
      <c r="AA376" s="52">
        <f>IF(T376="","",ROUND(T376*25%+U376*15%+V376*10%+W376*15%+X376*15%+Y376*10%+Z376*10%,0))</f>
        <v/>
      </c>
      <c r="AB376" s="52">
        <f>IF(AA376="","",IF(X376&lt;50,"Selective / Barrier",IF(AA376&gt;=80,"Tier 1 - Pursue",IF(AA376&gt;=70,"Tier 2 - Pursue",IF(AA376&gt;=60,"Tier 3 - Selective","Do Not Pursue")))))</f>
        <v/>
      </c>
      <c r="AC376" s="52">
        <f>IF(C376="","",IF(I376&lt;&gt;"","Named Contact",IF(AA376&gt;0,"Outreach Logged","Cold")))</f>
        <v/>
      </c>
      <c r="AD376" s="52">
        <f>IF(B376="","",COUNTIF('Outreach Log'!$C:$C,B376))</f>
        <v/>
      </c>
      <c r="AE376" s="52">
        <f>IF(A376="","",IF(OR(K376="Rejected",K376="Closed"),IF(L376&lt;&gt;"",L376-A376,TODAY()-A376),TODAY()-A376))</f>
        <v/>
      </c>
      <c r="AF376" s="52">
        <f>IF(C376="","",IF(AND(AA376&gt;=70,AC376="Cold"),"High-fit but cold",IF(AND(AA376&lt;60,K376="Applied"),"Low-fit application",IF(AND(AA376&gt;=70,OR(AC376="Named Contact",AC376="Outreach Logged")),"Targeted pursuit","Review"))))</f>
        <v/>
      </c>
    </row>
    <row r="377" ht="15" customHeight="1" s="44">
      <c r="A377" s="53" t="n">
        <v>46273</v>
      </c>
      <c r="B377" s="48" t="inlineStr">
        <is>
          <t>Mitchell Martin, Inc.</t>
        </is>
      </c>
      <c r="C377" s="48" t="inlineStr">
        <is>
          <t>Agile Scrum Master</t>
        </is>
      </c>
      <c r="D377" s="48" t="inlineStr">
        <is>
          <t>IC/Scrum Master</t>
        </is>
      </c>
      <c r="E377" s="48" t="inlineStr">
        <is>
          <t>Canada</t>
        </is>
      </c>
      <c r="F377" s="48" t="inlineStr">
        <is>
          <t>Toronto</t>
        </is>
      </c>
      <c r="G377" s="48" t="n">
        <v>20</v>
      </c>
      <c r="H377" s="48" t="inlineStr">
        <is>
          <t>Dice</t>
        </is>
      </c>
      <c r="I377" s="48" t="n"/>
      <c r="J377" s="48" t="inlineStr">
        <is>
          <t>No</t>
        </is>
      </c>
      <c r="K377" s="55" t="inlineStr">
        <is>
          <t>Applied</t>
        </is>
      </c>
      <c r="L377" s="48" t="n"/>
      <c r="M377" s="48">
        <f>IF(OR(L232="",A232=""),"",L232-A232)</f>
        <v/>
      </c>
      <c r="N377" s="48" t="inlineStr">
        <is>
          <t>Low priority - confirm with Elena whether this was an intentional apply</t>
        </is>
      </c>
      <c r="O377" s="48" t="n"/>
      <c r="P377" s="51" t="inlineStr">
        <is>
          <t>Confirmed via Dice application-confirmation email (applyonline@dice.com), received 2026-09-08 2:25am ET: "Your application for Agile Scrum Master at Mitchell Martin, Inc. was successfully submitted." No JD reviewed - title-only Est. fit score: 20% - individual-contributor Scrum Master role, well below her Director/Senior TPM program-leadership target despite the process/Agile-methodology overlap. Mitchell Martin is a staffing/recruiting firm, end client unconfirmed. | Location corrected by Elena 2026-09-10: Canada-based (not unconfirmed as originally logged). | City set to Toronto by Elena 2026-09-10: all her Canadian roles are Toronto-based. | Sponsorship set to No — Canada-based, and per Elena's standing rule no sponsorship is required for Canadian roles.</t>
        </is>
      </c>
      <c r="Q377" s="48" t="n"/>
      <c r="R377" s="48" t="n"/>
      <c r="S377" s="51" t="n"/>
      <c r="T377" s="52">
        <f>IF(G377="","",G377)</f>
        <v/>
      </c>
      <c r="U377" s="52">
        <f>IF(C377="","",IF(OR(ISNUMBER(SEARCH("Director",C377)),ISNUMBER(SEARCH("Lead",C377)),ISNUMBER(SEARCH("Senior",C377)),ISNUMBER(SEARCH("Sr.",C377))),90,IF(OR(ISNUMBER(SEARCH("Manager",C377)),ISNUMBER(SEARCH("Program",C377)),ISNUMBER(SEARCH("Portfolio",C377))),80,60)))</f>
        <v/>
      </c>
      <c r="V377" s="52">
        <f>IF(C377="","",IF(OR(ISNUMBER(SEARCH("AI",C377)),ISNUMBER(SEARCH("Data",C377)),ISNUMBER(SEARCH("Technology",C377)),ISNUMBER(SEARCH("Technical",C377)),ISNUMBER(SEARCH("Engineering",C377)),ISNUMBER(SEARCH("Platform",C377)),ISNUMBER(SEARCH("Portfolio",C377))),85,65))</f>
        <v/>
      </c>
      <c r="W377" s="52">
        <f>IF(C377="","",MIN(100,50+IF(S377&lt;&gt;"",25,0)+IF(R377&lt;&gt;"",15,0)+IF(P377&lt;&gt;"",10,0)))</f>
        <v/>
      </c>
      <c r="X377" s="52">
        <f>IF(E377="","",IF(OR(E377="Canada",E377="CA"),100,IF(OR(E377="United States",E377="USA",E377="US"),IF(J377="Yes",45,75),65)))</f>
        <v/>
      </c>
      <c r="Y377" s="52">
        <f>IF(C377="","",IF(OR(ISNUMBER(SEARCH("Program",C377)),ISNUMBER(SEARCH("Portfolio",C377)),ISNUMBER(SEARCH("Operations",C377)),ISNUMBER(SEARCH("Transformation",C377))),85,IF(ISNUMBER(SEARCH("Product Manager",C377)),55,70)))</f>
        <v/>
      </c>
      <c r="Z377" s="52">
        <f>IF(C377="","",MIN(100,IF(I377&lt;&gt;"",60,10)+IF(AA377&gt;0,MIN(40,AA377*20),0)))</f>
        <v/>
      </c>
      <c r="AA377" s="52">
        <f>IF(T377="","",ROUND(T377*25%+U377*15%+V377*10%+W377*15%+X377*15%+Y377*10%+Z377*10%,0))</f>
        <v/>
      </c>
      <c r="AB377" s="52">
        <f>IF(AA377="","",IF(X377&lt;50,"Selective / Barrier",IF(AA377&gt;=80,"Tier 1 - Pursue",IF(AA377&gt;=70,"Tier 2 - Pursue",IF(AA377&gt;=60,"Tier 3 - Selective","Do Not Pursue")))))</f>
        <v/>
      </c>
      <c r="AC377" s="52">
        <f>IF(C377="","",IF(I377&lt;&gt;"","Named Contact",IF(AA377&gt;0,"Outreach Logged","Cold")))</f>
        <v/>
      </c>
      <c r="AD377" s="52">
        <f>IF(B377="","",COUNTIF('Outreach Log'!$C:$C,B377))</f>
        <v/>
      </c>
      <c r="AE377" s="52">
        <f>IF(A377="","",IF(OR(K377="Rejected",K377="Closed"),IF(L377&lt;&gt;"",L377-A377,TODAY()-A377),TODAY()-A377))</f>
        <v/>
      </c>
      <c r="AF377" s="52">
        <f>IF(C377="","",IF(AND(AA377&gt;=70,AC377="Cold"),"High-fit but cold",IF(AND(AA377&lt;60,K377="Applied"),"Low-fit application",IF(AND(AA377&gt;=70,OR(AC377="Named Contact",AC377="Outreach Logged")),"Targeted pursuit","Review"))))</f>
        <v/>
      </c>
    </row>
    <row r="378" ht="15" customHeight="1" s="44">
      <c r="A378" s="53" t="n">
        <v>46273</v>
      </c>
      <c r="B378" s="48" t="inlineStr">
        <is>
          <t>SVARA Software Solutions Inc</t>
        </is>
      </c>
      <c r="C378" s="48" t="inlineStr">
        <is>
          <t>Need AgenticAI Program Manager</t>
        </is>
      </c>
      <c r="D378" s="48" t="inlineStr">
        <is>
          <t>Program Manager</t>
        </is>
      </c>
      <c r="E378" s="48" t="inlineStr">
        <is>
          <t>US</t>
        </is>
      </c>
      <c r="F378" s="48" t="inlineStr">
        <is>
          <t>Unconfirmed</t>
        </is>
      </c>
      <c r="G378" s="48" t="n">
        <v>55</v>
      </c>
      <c r="H378" s="48" t="inlineStr">
        <is>
          <t>Dice</t>
        </is>
      </c>
      <c r="I378" s="48" t="n"/>
      <c r="J378" s="48" t="inlineStr">
        <is>
          <t>Yes</t>
        </is>
      </c>
      <c r="K378" s="55" t="inlineStr">
        <is>
          <t>Applied</t>
        </is>
      </c>
      <c r="L378" s="48" t="n"/>
      <c r="M378" s="48">
        <f>IF(OR(L233="",A233=""),"",L233-A233)</f>
        <v/>
      </c>
      <c r="N378" s="48" t="inlineStr">
        <is>
          <t>Do not pursue further — flagged as a suspicious agency; no follow-up needed</t>
        </is>
      </c>
      <c r="O378" s="48" t="n"/>
      <c r="P378" s="51" t="inlineStr">
        <is>
          <t>Confirmed via Dice application-confirmation email (applyonline@dice.com), received 2026-09-08 2:08am ET: "Your application for Need AgenticAI Program Manager at SVARA SOFTWARE SOLUTIONS INC was successfully submitted." No JD reviewed - title-only Est. fit score: 55% - Program Manager title with an explicit AI/agentic focus aligns reasonably with her core background and independent agentic AI work, but seniority level, company scope, and location/sponsorship are all unconfirmed from the title alone. | FLAGGED by Elena 2026-09-10: this is a suspicious US-based agency — treat with caution, do not prioritize follow-up, and exclude similar postings from future Dice/job-search matching. | Sponsorship set to Yes — US-based, and per Elena's standing rule all US roles require visa sponsorship for her.</t>
        </is>
      </c>
      <c r="Q378" s="48" t="n"/>
      <c r="R378" s="48" t="n"/>
      <c r="S378" s="51" t="n"/>
      <c r="T378" s="52">
        <f>IF(G378="","",G378)</f>
        <v/>
      </c>
      <c r="U378" s="52">
        <f>IF(C378="","",IF(OR(ISNUMBER(SEARCH("Director",C378)),ISNUMBER(SEARCH("Lead",C378)),ISNUMBER(SEARCH("Senior",C378)),ISNUMBER(SEARCH("Sr.",C378))),90,IF(OR(ISNUMBER(SEARCH("Manager",C378)),ISNUMBER(SEARCH("Program",C378)),ISNUMBER(SEARCH("Portfolio",C378))),80,60)))</f>
        <v/>
      </c>
      <c r="V378" s="52">
        <f>IF(C378="","",IF(OR(ISNUMBER(SEARCH("AI",C378)),ISNUMBER(SEARCH("Data",C378)),ISNUMBER(SEARCH("Technology",C378)),ISNUMBER(SEARCH("Technical",C378)),ISNUMBER(SEARCH("Engineering",C378)),ISNUMBER(SEARCH("Platform",C378)),ISNUMBER(SEARCH("Portfolio",C378))),85,65))</f>
        <v/>
      </c>
      <c r="W378" s="52">
        <f>IF(C378="","",MIN(100,50+IF(S378&lt;&gt;"",25,0)+IF(R378&lt;&gt;"",15,0)+IF(P378&lt;&gt;"",10,0)))</f>
        <v/>
      </c>
      <c r="X378" s="52">
        <f>IF(E378="","",IF(OR(E378="Canada",E378="CA"),100,IF(OR(E378="United States",E378="USA",E378="US"),IF(J378="Yes",45,75),65)))</f>
        <v/>
      </c>
      <c r="Y378" s="52">
        <f>IF(C378="","",IF(OR(ISNUMBER(SEARCH("Program",C378)),ISNUMBER(SEARCH("Portfolio",C378)),ISNUMBER(SEARCH("Operations",C378)),ISNUMBER(SEARCH("Transformation",C378))),85,IF(ISNUMBER(SEARCH("Product Manager",C378)),55,70)))</f>
        <v/>
      </c>
      <c r="Z378" s="52">
        <f>IF(C378="","",MIN(100,IF(I378&lt;&gt;"",60,10)+IF(AA378&gt;0,MIN(40,AA378*20),0)))</f>
        <v/>
      </c>
      <c r="AA378" s="52">
        <f>IF(T378="","",ROUND(T378*25%+U378*15%+V378*10%+W378*15%+X378*15%+Y378*10%+Z378*10%,0))</f>
        <v/>
      </c>
      <c r="AB378" s="52">
        <f>IF(AA378="","",IF(X378&lt;50,"Selective / Barrier",IF(AA378&gt;=80,"Tier 1 - Pursue",IF(AA378&gt;=70,"Tier 2 - Pursue",IF(AA378&gt;=60,"Tier 3 - Selective","Do Not Pursue")))))</f>
        <v/>
      </c>
      <c r="AC378" s="52">
        <f>IF(C378="","",IF(I378&lt;&gt;"","Named Contact",IF(AA378&gt;0,"Outreach Logged","Cold")))</f>
        <v/>
      </c>
      <c r="AD378" s="52">
        <f>IF(B378="","",COUNTIF('Outreach Log'!$C:$C,B378))</f>
        <v/>
      </c>
      <c r="AE378" s="52">
        <f>IF(A378="","",IF(OR(K378="Rejected",K378="Closed"),IF(L378&lt;&gt;"",L378-A378,TODAY()-A378),TODAY()-A378))</f>
        <v/>
      </c>
      <c r="AF378" s="52">
        <f>IF(C378="","",IF(AND(AA378&gt;=70,AC378="Cold"),"High-fit but cold",IF(AND(AA378&lt;60,K378="Applied"),"Low-fit application",IF(AND(AA378&gt;=70,OR(AC378="Named Contact",AC378="Outreach Logged")),"Targeted pursuit","Review"))))</f>
        <v/>
      </c>
    </row>
    <row r="379" ht="15" customHeight="1" s="44">
      <c r="A379" s="53" t="n">
        <v>46273</v>
      </c>
      <c r="B379" s="48" t="inlineStr">
        <is>
          <t>Cloudious</t>
        </is>
      </c>
      <c r="C379" s="48" t="inlineStr">
        <is>
          <t>AI Transformation Program Manager</t>
        </is>
      </c>
      <c r="D379" s="48" t="inlineStr">
        <is>
          <t>Program Manager</t>
        </is>
      </c>
      <c r="E379" s="48" t="inlineStr">
        <is>
          <t>US</t>
        </is>
      </c>
      <c r="F379" s="48" t="inlineStr">
        <is>
          <t>Unconfirmed</t>
        </is>
      </c>
      <c r="G379" s="48" t="n">
        <v>55</v>
      </c>
      <c r="H379" s="48" t="inlineStr">
        <is>
          <t>Dice</t>
        </is>
      </c>
      <c r="I379" s="48" t="n"/>
      <c r="J379" s="48" t="inlineStr">
        <is>
          <t>Yes</t>
        </is>
      </c>
      <c r="K379" s="55" t="inlineStr">
        <is>
          <t>Applied</t>
        </is>
      </c>
      <c r="L379" s="48" t="n"/>
      <c r="M379" s="48">
        <f>IF(OR(L234="",A234=""),"",L234-A234)</f>
        <v/>
      </c>
      <c r="N379" s="48" t="inlineStr">
        <is>
          <t>Do not pursue further — flagged as a suspicious agency; no follow-up needed</t>
        </is>
      </c>
      <c r="O379" s="48" t="n"/>
      <c r="P379" s="51" t="inlineStr">
        <is>
          <t>Confirmed via Dice application-confirmation email (applyonline@dice.com), received 2026-09-08 1:50am ET: "Your application for AI Transformation Program Manager at Cloudious was successfully submitted." No JD reviewed - title-only Est. fit score: 55% (kept conservative rather than assuming parity with the similarly-titled BEUMER Group role, since Cloudious's actual scope, company size, and requirements are unknown). | FLAGGED by Elena 2026-09-10: this is a suspicious US-based agency — treat with caution, do not prioritize follow-up, and exclude similar postings from future Dice/job-search matching. | Sponsorship set to Yes — US-based, and per Elena's standing rule all US roles require visa sponsorship for her.</t>
        </is>
      </c>
      <c r="Q379" s="48" t="n"/>
      <c r="R379" s="48" t="n"/>
      <c r="S379" s="51" t="n"/>
      <c r="T379" s="52">
        <f>IF(G379="","",G379)</f>
        <v/>
      </c>
      <c r="U379" s="52">
        <f>IF(C379="","",IF(OR(ISNUMBER(SEARCH("Director",C379)),ISNUMBER(SEARCH("Lead",C379)),ISNUMBER(SEARCH("Senior",C379)),ISNUMBER(SEARCH("Sr.",C379))),90,IF(OR(ISNUMBER(SEARCH("Manager",C379)),ISNUMBER(SEARCH("Program",C379)),ISNUMBER(SEARCH("Portfolio",C379))),80,60)))</f>
        <v/>
      </c>
      <c r="V379" s="52">
        <f>IF(C379="","",IF(OR(ISNUMBER(SEARCH("AI",C379)),ISNUMBER(SEARCH("Data",C379)),ISNUMBER(SEARCH("Technology",C379)),ISNUMBER(SEARCH("Technical",C379)),ISNUMBER(SEARCH("Engineering",C379)),ISNUMBER(SEARCH("Platform",C379)),ISNUMBER(SEARCH("Portfolio",C379))),85,65))</f>
        <v/>
      </c>
      <c r="W379" s="52">
        <f>IF(C379="","",MIN(100,50+IF(S379&lt;&gt;"",25,0)+IF(R379&lt;&gt;"",15,0)+IF(P379&lt;&gt;"",10,0)))</f>
        <v/>
      </c>
      <c r="X379" s="52">
        <f>IF(E379="","",IF(OR(E379="Canada",E379="CA"),100,IF(OR(E379="United States",E379="USA",E379="US"),IF(J379="Yes",45,75),65)))</f>
        <v/>
      </c>
      <c r="Y379" s="52">
        <f>IF(C379="","",IF(OR(ISNUMBER(SEARCH("Program",C379)),ISNUMBER(SEARCH("Portfolio",C379)),ISNUMBER(SEARCH("Operations",C379)),ISNUMBER(SEARCH("Transformation",C379))),85,IF(ISNUMBER(SEARCH("Product Manager",C379)),55,70)))</f>
        <v/>
      </c>
      <c r="Z379" s="52">
        <f>IF(C379="","",MIN(100,IF(I379&lt;&gt;"",60,10)+IF(AA379&gt;0,MIN(40,AA379*20),0)))</f>
        <v/>
      </c>
      <c r="AA379" s="52">
        <f>IF(T379="","",ROUND(T379*25%+U379*15%+V379*10%+W379*15%+X379*15%+Y379*10%+Z379*10%,0))</f>
        <v/>
      </c>
      <c r="AB379" s="52">
        <f>IF(AA379="","",IF(X379&lt;50,"Selective / Barrier",IF(AA379&gt;=80,"Tier 1 - Pursue",IF(AA379&gt;=70,"Tier 2 - Pursue",IF(AA379&gt;=60,"Tier 3 - Selective","Do Not Pursue")))))</f>
        <v/>
      </c>
      <c r="AC379" s="52">
        <f>IF(C379="","",IF(I379&lt;&gt;"","Named Contact",IF(AA379&gt;0,"Outreach Logged","Cold")))</f>
        <v/>
      </c>
      <c r="AD379" s="52">
        <f>IF(B379="","",COUNTIF('Outreach Log'!$C:$C,B379))</f>
        <v/>
      </c>
      <c r="AE379" s="52">
        <f>IF(A379="","",IF(OR(K379="Rejected",K379="Closed"),IF(L379&lt;&gt;"",L379-A379,TODAY()-A379),TODAY()-A379))</f>
        <v/>
      </c>
      <c r="AF379" s="52">
        <f>IF(C379="","",IF(AND(AA379&gt;=70,AC379="Cold"),"High-fit but cold",IF(AND(AA379&lt;60,K379="Applied"),"Low-fit application",IF(AND(AA379&gt;=70,OR(AC379="Named Contact",AC379="Outreach Logged")),"Targeted pursuit","Review"))))</f>
        <v/>
      </c>
    </row>
    <row r="380" ht="15" customHeight="1" s="44">
      <c r="A380" s="53" t="n">
        <v>46273</v>
      </c>
      <c r="B380" s="48" t="inlineStr">
        <is>
          <t>Cambium Learning Group</t>
        </is>
      </c>
      <c r="C380" s="48" t="inlineStr">
        <is>
          <t>(role unspecified)</t>
        </is>
      </c>
      <c r="D380" s="48" t="n"/>
      <c r="E380" s="48" t="n"/>
      <c r="F380" s="48" t="n"/>
      <c r="G380" s="48" t="n"/>
      <c r="H380" s="48" t="n"/>
      <c r="I380" s="48" t="n"/>
      <c r="J380" s="48" t="n"/>
      <c r="K380" s="55" t="inlineStr">
        <is>
          <t>Applied</t>
        </is>
      </c>
      <c r="L380" s="48" t="n"/>
      <c r="M380" s="48" t="n"/>
      <c r="N380" s="48" t="n"/>
      <c r="O380" s="48" t="n"/>
      <c r="P380" s="51" t="inlineStr">
        <is>
          <t>Second application</t>
        </is>
      </c>
      <c r="Q380" s="48" t="n"/>
      <c r="R380" s="48" t="n"/>
      <c r="S380" s="51" t="n"/>
      <c r="T380" s="52">
        <f>IF(G380="","",G380)</f>
        <v/>
      </c>
      <c r="U380" s="52">
        <f>IF(C380="","",IF(OR(ISNUMBER(SEARCH("Director",C380)),ISNUMBER(SEARCH("Lead",C380)),ISNUMBER(SEARCH("Senior",C380)),ISNUMBER(SEARCH("Sr.",C380))),90,IF(OR(ISNUMBER(SEARCH("Manager",C380)),ISNUMBER(SEARCH("Program",C380)),ISNUMBER(SEARCH("Portfolio",C380))),80,60)))</f>
        <v/>
      </c>
      <c r="V380" s="52">
        <f>IF(C380="","",IF(OR(ISNUMBER(SEARCH("AI",C380)),ISNUMBER(SEARCH("Data",C380)),ISNUMBER(SEARCH("Technology",C380)),ISNUMBER(SEARCH("Technical",C380)),ISNUMBER(SEARCH("Engineering",C380)),ISNUMBER(SEARCH("Platform",C380)),ISNUMBER(SEARCH("Portfolio",C380))),85,65))</f>
        <v/>
      </c>
      <c r="W380" s="52">
        <f>IF(C380="","",MIN(100,50+IF(S380&lt;&gt;"",25,0)+IF(R380&lt;&gt;"",15,0)+IF(P380&lt;&gt;"",10,0)))</f>
        <v/>
      </c>
      <c r="X380" s="52">
        <f>IF(E380="","",IF(OR(E380="Canada",E380="CA"),100,IF(OR(E380="United States",E380="USA",E380="US"),IF(J380="Yes",45,75),65)))</f>
        <v/>
      </c>
      <c r="Y380" s="52">
        <f>IF(C380="","",IF(OR(ISNUMBER(SEARCH("Program",C380)),ISNUMBER(SEARCH("Portfolio",C380)),ISNUMBER(SEARCH("Operations",C380)),ISNUMBER(SEARCH("Transformation",C380))),85,IF(ISNUMBER(SEARCH("Product Manager",C380)),55,70)))</f>
        <v/>
      </c>
      <c r="Z380" s="52">
        <f>IF(C380="","",MIN(100,IF(I380&lt;&gt;"",60,10)+IF(AA380&gt;0,MIN(40,AA380*20),0)))</f>
        <v/>
      </c>
      <c r="AA380" s="52">
        <f>IF(T380="","",ROUND(T380*25%+U380*15%+V380*10%+W380*15%+X380*15%+Y380*10%+Z380*10%,0))</f>
        <v/>
      </c>
      <c r="AB380" s="52">
        <f>IF(AA380="","",IF(X380&lt;50,"Selective / Barrier",IF(AA380&gt;=80,"Tier 1 - Pursue",IF(AA380&gt;=70,"Tier 2 - Pursue",IF(AA380&gt;=60,"Tier 3 - Selective","Do Not Pursue")))))</f>
        <v/>
      </c>
      <c r="AC380" s="52">
        <f>IF(C380="","",IF(I380&lt;&gt;"","Named Contact",IF(AA380&gt;0,"Outreach Logged","Cold")))</f>
        <v/>
      </c>
      <c r="AD380" s="52">
        <f>IF(B380="","",COUNTIF('Outreach Log'!$C:$C,B380))</f>
        <v/>
      </c>
      <c r="AE380" s="52">
        <f>IF(A380="","",IF(OR(K380="Rejected",K380="Closed"),IF(L380&lt;&gt;"",L380-A380,TODAY()-A380),TODAY()-A380))</f>
        <v/>
      </c>
      <c r="AF380" s="52">
        <f>IF(C380="","",IF(AND(AA380&gt;=70,AC380="Cold"),"High-fit but cold",IF(AND(AA380&lt;60,K380="Applied"),"Low-fit application",IF(AND(AA380&gt;=70,OR(AC380="Named Contact",AC380="Outreach Logged")),"Targeted pursuit","Review"))))</f>
        <v/>
      </c>
    </row>
    <row r="381" ht="15" customHeight="1" s="44">
      <c r="A381" s="53" t="n">
        <v>46273</v>
      </c>
      <c r="B381" s="48" t="inlineStr">
        <is>
          <t>BEUMER Group</t>
        </is>
      </c>
      <c r="C381" s="48" t="inlineStr">
        <is>
          <t>(role unspecified)</t>
        </is>
      </c>
      <c r="D381" s="48" t="n"/>
      <c r="E381" s="48" t="n"/>
      <c r="F381" s="48" t="n"/>
      <c r="G381" s="48" t="n"/>
      <c r="H381" s="48" t="n"/>
      <c r="I381" s="48" t="n"/>
      <c r="J381" s="48" t="n"/>
      <c r="K381" s="55" t="inlineStr">
        <is>
          <t>Applied</t>
        </is>
      </c>
      <c r="L381" s="48" t="n"/>
      <c r="M381" s="48" t="n"/>
      <c r="N381" s="48" t="n"/>
      <c r="O381" s="48" t="n"/>
      <c r="P381" s="51" t="n"/>
      <c r="Q381" s="48" t="n"/>
      <c r="R381" s="48" t="n"/>
      <c r="S381" s="51" t="n"/>
      <c r="T381" s="52">
        <f>IF(G381="","",G381)</f>
        <v/>
      </c>
      <c r="U381" s="52">
        <f>IF(C381="","",IF(OR(ISNUMBER(SEARCH("Director",C381)),ISNUMBER(SEARCH("Lead",C381)),ISNUMBER(SEARCH("Senior",C381)),ISNUMBER(SEARCH("Sr.",C381))),90,IF(OR(ISNUMBER(SEARCH("Manager",C381)),ISNUMBER(SEARCH("Program",C381)),ISNUMBER(SEARCH("Portfolio",C381))),80,60)))</f>
        <v/>
      </c>
      <c r="V381" s="52">
        <f>IF(C381="","",IF(OR(ISNUMBER(SEARCH("AI",C381)),ISNUMBER(SEARCH("Data",C381)),ISNUMBER(SEARCH("Technology",C381)),ISNUMBER(SEARCH("Technical",C381)),ISNUMBER(SEARCH("Engineering",C381)),ISNUMBER(SEARCH("Platform",C381)),ISNUMBER(SEARCH("Portfolio",C381))),85,65))</f>
        <v/>
      </c>
      <c r="W381" s="52">
        <f>IF(C381="","",MIN(100,50+IF(S381&lt;&gt;"",25,0)+IF(R381&lt;&gt;"",15,0)+IF(P381&lt;&gt;"",10,0)))</f>
        <v/>
      </c>
      <c r="X381" s="52">
        <f>IF(E381="","",IF(OR(E381="Canada",E381="CA"),100,IF(OR(E381="United States",E381="USA",E381="US"),IF(J381="Yes",45,75),65)))</f>
        <v/>
      </c>
      <c r="Y381" s="52">
        <f>IF(C381="","",IF(OR(ISNUMBER(SEARCH("Program",C381)),ISNUMBER(SEARCH("Portfolio",C381)),ISNUMBER(SEARCH("Operations",C381)),ISNUMBER(SEARCH("Transformation",C381))),85,IF(ISNUMBER(SEARCH("Product Manager",C381)),55,70)))</f>
        <v/>
      </c>
      <c r="Z381" s="52">
        <f>IF(C381="","",MIN(100,IF(I381&lt;&gt;"",60,10)+IF(AA381&gt;0,MIN(40,AA381*20),0)))</f>
        <v/>
      </c>
      <c r="AA381" s="52">
        <f>IF(T381="","",ROUND(T381*25%+U381*15%+V381*10%+W381*15%+X381*15%+Y381*10%+Z381*10%,0))</f>
        <v/>
      </c>
      <c r="AB381" s="52">
        <f>IF(AA381="","",IF(X381&lt;50,"Selective / Barrier",IF(AA381&gt;=80,"Tier 1 - Pursue",IF(AA381&gt;=70,"Tier 2 - Pursue",IF(AA381&gt;=60,"Tier 3 - Selective","Do Not Pursue")))))</f>
        <v/>
      </c>
      <c r="AC381" s="52">
        <f>IF(C381="","",IF(I381&lt;&gt;"","Named Contact",IF(AA381&gt;0,"Outreach Logged","Cold")))</f>
        <v/>
      </c>
      <c r="AD381" s="52">
        <f>IF(B381="","",COUNTIF('Outreach Log'!$C:$C,B381))</f>
        <v/>
      </c>
      <c r="AE381" s="52">
        <f>IF(A381="","",IF(OR(K381="Rejected",K381="Closed"),IF(L381&lt;&gt;"",L381-A381,TODAY()-A381),TODAY()-A381))</f>
        <v/>
      </c>
      <c r="AF381" s="52">
        <f>IF(C381="","",IF(AND(AA381&gt;=70,AC381="Cold"),"High-fit but cold",IF(AND(AA381&lt;60,K381="Applied"),"Low-fit application",IF(AND(AA381&gt;=70,OR(AC381="Named Contact",AC381="Outreach Logged")),"Targeted pursuit","Review"))))</f>
        <v/>
      </c>
    </row>
    <row r="382" ht="15" customHeight="1" s="44">
      <c r="A382" s="53" t="n">
        <v>46274</v>
      </c>
      <c r="B382" s="48" t="inlineStr">
        <is>
          <t>Raise (staffing agency)</t>
        </is>
      </c>
      <c r="C382" s="48" t="inlineStr">
        <is>
          <t>Business Systems Analyst – Parts</t>
        </is>
      </c>
      <c r="D382" s="48" t="inlineStr">
        <is>
          <t>IC/BA</t>
        </is>
      </c>
      <c r="E382" s="48" t="inlineStr">
        <is>
          <t>Canada</t>
        </is>
      </c>
      <c r="F382" s="48" t="inlineStr">
        <is>
          <t>Toronto</t>
        </is>
      </c>
      <c r="G382" s="48" t="n">
        <v>20</v>
      </c>
      <c r="H382" s="48" t="inlineStr">
        <is>
          <t>Indeed</t>
        </is>
      </c>
      <c r="I382" s="48" t="n"/>
      <c r="J382" s="48" t="inlineStr">
        <is>
          <t>No</t>
        </is>
      </c>
      <c r="K382" s="49" t="inlineStr">
        <is>
          <t>Rejected</t>
        </is>
      </c>
      <c r="L382" s="50" t="n">
        <v>46275</v>
      </c>
      <c r="M382" s="48">
        <f>IF(OR(L235="",A235=""),"",L235-A235)</f>
        <v/>
      </c>
      <c r="N382" s="48" t="n"/>
      <c r="O382" s="48" t="n"/>
      <c r="P382" s="51" t="inlineStr">
        <is>
          <t>Confirmed via Indeed (indeedapply@indeed.com, 2026-09-09 3:31am ET) and Raise (hello@raisejobs.com, 2026-09-09 11:02am ET): "Thanks for taking the time to apply for the Business Systems Analyst – Parts role." No JD reviewed - title-only Est. fit score: 20% - Business Systems Analyst is an individual-contributor analyst discipline (automotive parts domain), well below her Director/Senior Program Management target. Raise is a staffing/recruiting firm (same agency as row 192's Senior IT Program Manager posting); end client unconfirmed. | Location corrected by Elena 2026-09-10: Canada-based. Sponsorship set to No accordingly (no sponsorship required for Canadian roles). | City set to Toronto by Elena 2026-09-10: all her Canadian roles are Toronto-based. | CLOSED 2026-09-10: Raise (Ma Jenrish Dollendo, hello@raisejobs.com) — "the Business Systems Analyst – Parts role has closed, so we won't be able to move forward with your application."</t>
        </is>
      </c>
      <c r="Q382" s="48" t="n"/>
      <c r="R382" s="48" t="n"/>
      <c r="S382" s="51" t="n"/>
      <c r="T382" s="52">
        <f>IF(G382="","",G382)</f>
        <v/>
      </c>
      <c r="U382" s="52">
        <f>IF(C382="","",IF(OR(ISNUMBER(SEARCH("Director",C382)),ISNUMBER(SEARCH("Lead",C382)),ISNUMBER(SEARCH("Senior",C382)),ISNUMBER(SEARCH("Sr.",C382))),90,IF(OR(ISNUMBER(SEARCH("Manager",C382)),ISNUMBER(SEARCH("Program",C382)),ISNUMBER(SEARCH("Portfolio",C382))),80,60)))</f>
        <v/>
      </c>
      <c r="V382" s="52">
        <f>IF(C382="","",IF(OR(ISNUMBER(SEARCH("AI",C382)),ISNUMBER(SEARCH("Data",C382)),ISNUMBER(SEARCH("Technology",C382)),ISNUMBER(SEARCH("Technical",C382)),ISNUMBER(SEARCH("Engineering",C382)),ISNUMBER(SEARCH("Platform",C382)),ISNUMBER(SEARCH("Portfolio",C382))),85,65))</f>
        <v/>
      </c>
      <c r="W382" s="52">
        <f>IF(C382="","",MIN(100,50+IF(S382&lt;&gt;"",25,0)+IF(R382&lt;&gt;"",15,0)+IF(P382&lt;&gt;"",10,0)))</f>
        <v/>
      </c>
      <c r="X382" s="52">
        <f>IF(E382="","",IF(OR(E382="Canada",E382="CA"),100,IF(OR(E382="United States",E382="USA",E382="US"),IF(J382="Yes",45,75),65)))</f>
        <v/>
      </c>
      <c r="Y382" s="52">
        <f>IF(C382="","",IF(OR(ISNUMBER(SEARCH("Program",C382)),ISNUMBER(SEARCH("Portfolio",C382)),ISNUMBER(SEARCH("Operations",C382)),ISNUMBER(SEARCH("Transformation",C382))),85,IF(ISNUMBER(SEARCH("Product Manager",C382)),55,70)))</f>
        <v/>
      </c>
      <c r="Z382" s="52">
        <f>IF(C382="","",MIN(100,IF(I382&lt;&gt;"",60,10)+IF(AA382&gt;0,MIN(40,AA382*20),0)))</f>
        <v/>
      </c>
      <c r="AA382" s="52">
        <f>IF(T382="","",ROUND(T382*25%+U382*15%+V382*10%+W382*15%+X382*15%+Y382*10%+Z382*10%,0))</f>
        <v/>
      </c>
      <c r="AB382" s="52">
        <f>IF(AA382="","",IF(X382&lt;50,"Selective / Barrier",IF(AA382&gt;=80,"Tier 1 - Pursue",IF(AA382&gt;=70,"Tier 2 - Pursue",IF(AA382&gt;=60,"Tier 3 - Selective","Do Not Pursue")))))</f>
        <v/>
      </c>
      <c r="AC382" s="52">
        <f>IF(C382="","",IF(I382&lt;&gt;"","Named Contact",IF(AA382&gt;0,"Outreach Logged","Cold")))</f>
        <v/>
      </c>
      <c r="AD382" s="52">
        <f>IF(B382="","",COUNTIF('Outreach Log'!$C:$C,B382))</f>
        <v/>
      </c>
      <c r="AE382" s="52">
        <f>IF(A382="","",IF(OR(K382="Rejected",K382="Closed"),IF(L382&lt;&gt;"",L382-A382,TODAY()-A382),TODAY()-A382))</f>
        <v/>
      </c>
      <c r="AF382" s="52">
        <f>IF(C382="","",IF(AND(AA382&gt;=70,AC382="Cold"),"High-fit but cold",IF(AND(AA382&lt;60,K382="Applied"),"Low-fit application",IF(AND(AA382&gt;=70,OR(AC382="Named Contact",AC382="Outreach Logged")),"Targeted pursuit","Review"))))</f>
        <v/>
      </c>
    </row>
    <row r="383" ht="15" customHeight="1" s="44">
      <c r="A383" s="53" t="n">
        <v>46274</v>
      </c>
      <c r="B383" s="48" t="inlineStr">
        <is>
          <t>(Raise/staffing)</t>
        </is>
      </c>
      <c r="C383" s="48" t="inlineStr">
        <is>
          <t>Business Systems Analyst - Parts</t>
        </is>
      </c>
      <c r="D383" s="48" t="n"/>
      <c r="E383" s="48" t="n"/>
      <c r="F383" s="48" t="n"/>
      <c r="G383" s="48" t="n"/>
      <c r="H383" s="48" t="n"/>
      <c r="I383" s="48" t="n"/>
      <c r="J383" s="48" t="n"/>
      <c r="K383" s="49" t="inlineStr">
        <is>
          <t>Rejected</t>
        </is>
      </c>
      <c r="L383" s="48" t="n"/>
      <c r="M383" s="48" t="n"/>
      <c r="N383" s="48" t="n"/>
      <c r="O383" s="48" t="n"/>
      <c r="P383" s="51" t="inlineStr">
        <is>
          <t>Initial application confirmation | Reconciled to Rejected per Greenhouse-based tracker cross-check (Sep 20, 2026); was: Applied.</t>
        </is>
      </c>
      <c r="Q383" s="48" t="n"/>
      <c r="R383" s="48" t="n"/>
      <c r="S383" s="51" t="n"/>
      <c r="T383" s="52">
        <f>IF(G383="","",G383)</f>
        <v/>
      </c>
      <c r="U383" s="52">
        <f>IF(C383="","",IF(OR(ISNUMBER(SEARCH("Director",C383)),ISNUMBER(SEARCH("Lead",C383)),ISNUMBER(SEARCH("Senior",C383)),ISNUMBER(SEARCH("Sr.",C383))),90,IF(OR(ISNUMBER(SEARCH("Manager",C383)),ISNUMBER(SEARCH("Program",C383)),ISNUMBER(SEARCH("Portfolio",C383))),80,60)))</f>
        <v/>
      </c>
      <c r="V383" s="52">
        <f>IF(C383="","",IF(OR(ISNUMBER(SEARCH("AI",C383)),ISNUMBER(SEARCH("Data",C383)),ISNUMBER(SEARCH("Technology",C383)),ISNUMBER(SEARCH("Technical",C383)),ISNUMBER(SEARCH("Engineering",C383)),ISNUMBER(SEARCH("Platform",C383)),ISNUMBER(SEARCH("Portfolio",C383))),85,65))</f>
        <v/>
      </c>
      <c r="W383" s="52">
        <f>IF(C383="","",MIN(100,50+IF(S383&lt;&gt;"",25,0)+IF(R383&lt;&gt;"",15,0)+IF(P383&lt;&gt;"",10,0)))</f>
        <v/>
      </c>
      <c r="X383" s="52">
        <f>IF(E383="","",IF(OR(E383="Canada",E383="CA"),100,IF(OR(E383="United States",E383="USA",E383="US"),IF(J383="Yes",45,75),65)))</f>
        <v/>
      </c>
      <c r="Y383" s="52">
        <f>IF(C383="","",IF(OR(ISNUMBER(SEARCH("Program",C383)),ISNUMBER(SEARCH("Portfolio",C383)),ISNUMBER(SEARCH("Operations",C383)),ISNUMBER(SEARCH("Transformation",C383))),85,IF(ISNUMBER(SEARCH("Product Manager",C383)),55,70)))</f>
        <v/>
      </c>
      <c r="Z383" s="52">
        <f>IF(C383="","",MIN(100,IF(I383&lt;&gt;"",60,10)+IF(AA383&gt;0,MIN(40,AA383*20),0)))</f>
        <v/>
      </c>
      <c r="AA383" s="52">
        <f>IF(T383="","",ROUND(T383*25%+U383*15%+V383*10%+W383*15%+X383*15%+Y383*10%+Z383*10%,0))</f>
        <v/>
      </c>
      <c r="AB383" s="52">
        <f>IF(AA383="","",IF(X383&lt;50,"Selective / Barrier",IF(AA383&gt;=80,"Tier 1 - Pursue",IF(AA383&gt;=70,"Tier 2 - Pursue",IF(AA383&gt;=60,"Tier 3 - Selective","Do Not Pursue")))))</f>
        <v/>
      </c>
      <c r="AC383" s="52">
        <f>IF(C383="","",IF(I383&lt;&gt;"","Named Contact",IF(AA383&gt;0,"Outreach Logged","Cold")))</f>
        <v/>
      </c>
      <c r="AD383" s="52">
        <f>IF(B383="","",COUNTIF('Outreach Log'!$C:$C,B383))</f>
        <v/>
      </c>
      <c r="AE383" s="52">
        <f>IF(A383="","",IF(OR(K383="Rejected",K383="Closed"),IF(L383&lt;&gt;"",L383-A383,TODAY()-A383),TODAY()-A383))</f>
        <v/>
      </c>
      <c r="AF383" s="52">
        <f>IF(C383="","",IF(AND(AA383&gt;=70,AC383="Cold"),"High-fit but cold",IF(AND(AA383&lt;60,K383="Applied"),"Low-fit application",IF(AND(AA383&gt;=70,OR(AC383="Named Contact",AC383="Outreach Logged")),"Targeted pursuit","Review"))))</f>
        <v/>
      </c>
    </row>
    <row r="384" ht="15" customHeight="1" s="44">
      <c r="A384" s="53" t="n">
        <v>46275</v>
      </c>
      <c r="B384" s="48" t="inlineStr">
        <is>
          <t>GC AI</t>
        </is>
      </c>
      <c r="C384" s="48" t="inlineStr">
        <is>
          <t>Founding Technical Program Manager</t>
        </is>
      </c>
      <c r="D384" s="48" t="inlineStr">
        <is>
          <t>Sr TPM</t>
        </is>
      </c>
      <c r="E384" s="48" t="inlineStr">
        <is>
          <t>US</t>
        </is>
      </c>
      <c r="F384" s="48" t="inlineStr">
        <is>
          <t>Remote (US HQ: San Mateo, CA) — unconfirmed</t>
        </is>
      </c>
      <c r="G384" s="48" t="n"/>
      <c r="H384" s="48" t="inlineStr">
        <is>
          <t>Cold Portal (Ashby)</t>
        </is>
      </c>
      <c r="I384" s="48" t="n"/>
      <c r="J384" s="48" t="inlineStr">
        <is>
          <t>Yes</t>
        </is>
      </c>
      <c r="K384" s="55" t="inlineStr">
        <is>
          <t>Applied</t>
        </is>
      </c>
      <c r="L384" s="48" t="n"/>
      <c r="M384" s="48">
        <f>IF(OR(L236="",A236=""),"",L236-A236)</f>
        <v/>
      </c>
      <c r="N384" s="48" t="n"/>
      <c r="O384" s="48" t="n"/>
      <c r="P384" s="51" t="inlineStr">
        <is>
          <t>Applied 2026-09-10 via Ashby. Legal AI platform for in-house/general counsel. Country/sponsorship inferred from company HQ — confirm exact posting location if known.</t>
        </is>
      </c>
      <c r="Q384" s="48" t="n"/>
      <c r="R384" s="48" t="n"/>
      <c r="S384" s="51" t="n"/>
      <c r="T384" s="52">
        <f>IF(G384="","",G384)</f>
        <v/>
      </c>
      <c r="U384" s="52">
        <f>IF(C384="","",IF(OR(ISNUMBER(SEARCH("Director",C384)),ISNUMBER(SEARCH("Lead",C384)),ISNUMBER(SEARCH("Senior",C384)),ISNUMBER(SEARCH("Sr.",C384))),90,IF(OR(ISNUMBER(SEARCH("Manager",C384)),ISNUMBER(SEARCH("Program",C384)),ISNUMBER(SEARCH("Portfolio",C384))),80,60)))</f>
        <v/>
      </c>
      <c r="V384" s="52">
        <f>IF(C384="","",IF(OR(ISNUMBER(SEARCH("AI",C384)),ISNUMBER(SEARCH("Data",C384)),ISNUMBER(SEARCH("Technology",C384)),ISNUMBER(SEARCH("Technical",C384)),ISNUMBER(SEARCH("Engineering",C384)),ISNUMBER(SEARCH("Platform",C384)),ISNUMBER(SEARCH("Portfolio",C384))),85,65))</f>
        <v/>
      </c>
      <c r="W384" s="52">
        <f>IF(C384="","",MIN(100,50+IF(S384&lt;&gt;"",25,0)+IF(R384&lt;&gt;"",15,0)+IF(P384&lt;&gt;"",10,0)))</f>
        <v/>
      </c>
      <c r="X384" s="52">
        <f>IF(E384="","",IF(OR(E384="Canada",E384="CA"),100,IF(OR(E384="United States",E384="USA",E384="US"),IF(J384="Yes",45,75),65)))</f>
        <v/>
      </c>
      <c r="Y384" s="52">
        <f>IF(C384="","",IF(OR(ISNUMBER(SEARCH("Program",C384)),ISNUMBER(SEARCH("Portfolio",C384)),ISNUMBER(SEARCH("Operations",C384)),ISNUMBER(SEARCH("Transformation",C384))),85,IF(ISNUMBER(SEARCH("Product Manager",C384)),55,70)))</f>
        <v/>
      </c>
      <c r="Z384" s="52">
        <f>IF(C384="","",MIN(100,IF(I384&lt;&gt;"",60,10)+IF(AA384&gt;0,MIN(40,AA384*20),0)))</f>
        <v/>
      </c>
      <c r="AA384" s="52">
        <f>IF(T384="","",ROUND(T384*25%+U384*15%+V384*10%+W384*15%+X384*15%+Y384*10%+Z384*10%,0))</f>
        <v/>
      </c>
      <c r="AB384" s="52">
        <f>IF(AA384="","",IF(X384&lt;50,"Selective / Barrier",IF(AA384&gt;=80,"Tier 1 - Pursue",IF(AA384&gt;=70,"Tier 2 - Pursue",IF(AA384&gt;=60,"Tier 3 - Selective","Do Not Pursue")))))</f>
        <v/>
      </c>
      <c r="AC384" s="52">
        <f>IF(C384="","",IF(I384&lt;&gt;"","Named Contact",IF(AA384&gt;0,"Outreach Logged","Cold")))</f>
        <v/>
      </c>
      <c r="AD384" s="52">
        <f>IF(B384="","",COUNTIF('Outreach Log'!$C:$C,B384))</f>
        <v/>
      </c>
      <c r="AE384" s="52">
        <f>IF(A384="","",IF(OR(K384="Rejected",K384="Closed"),IF(L384&lt;&gt;"",L384-A384,TODAY()-A384),TODAY()-A384))</f>
        <v/>
      </c>
      <c r="AF384" s="52">
        <f>IF(C384="","",IF(AND(AA384&gt;=70,AC384="Cold"),"High-fit but cold",IF(AND(AA384&lt;60,K384="Applied"),"Low-fit application",IF(AND(AA384&gt;=70,OR(AC384="Named Contact",AC384="Outreach Logged")),"Targeted pursuit","Review"))))</f>
        <v/>
      </c>
    </row>
    <row r="385" ht="15" customHeight="1" s="44">
      <c r="A385" s="53" t="n">
        <v>46275</v>
      </c>
      <c r="B385" s="48" t="inlineStr">
        <is>
          <t>OpenTable</t>
        </is>
      </c>
      <c r="C385" s="48" t="inlineStr">
        <is>
          <t>Director, Technical Program Management (Hybrid)</t>
        </is>
      </c>
      <c r="D385" s="48" t="inlineStr">
        <is>
          <t>Director</t>
        </is>
      </c>
      <c r="E385" s="48" t="inlineStr">
        <is>
          <t>Canada</t>
        </is>
      </c>
      <c r="F385" s="48" t="inlineStr">
        <is>
          <t>Toronto (Hybrid, 2 days/week office)</t>
        </is>
      </c>
      <c r="G385" s="48" t="n"/>
      <c r="H385" s="48" t="inlineStr">
        <is>
          <t>Cold Portal</t>
        </is>
      </c>
      <c r="I385" s="48" t="n"/>
      <c r="J385" s="48" t="inlineStr">
        <is>
          <t>No</t>
        </is>
      </c>
      <c r="K385" s="55" t="inlineStr">
        <is>
          <t>Applied</t>
        </is>
      </c>
      <c r="L385" s="48" t="n"/>
      <c r="M385" s="48">
        <f>IF(OR(L237="",A237=""),"",L237-A237)</f>
        <v/>
      </c>
      <c r="N385" s="48" t="n"/>
      <c r="O385" s="48" t="n"/>
      <c r="P385" s="51" t="inlineStr">
        <is>
          <t>Applied 2026-09-10. Resume tailored specifically to this JD (5 responsibility areas: Executive Management, Team Leadership, Operating Model Transformation, Strategic Execution, Process Optimization). Flagged gap: JD requires 5+ yrs formally leading/retaining teams — Elena has ~7 months formal direct reports plus repeated 4-6 person program leadership. | Confirmed by Elena 2026-09-13: role is Canada-based (Toronto).</t>
        </is>
      </c>
      <c r="Q385" s="48" t="n"/>
      <c r="R385" s="48" t="n"/>
      <c r="S385" s="51" t="n"/>
      <c r="T385" s="52">
        <f>IF(G385="","",G385)</f>
        <v/>
      </c>
      <c r="U385" s="52">
        <f>IF(C385="","",IF(OR(ISNUMBER(SEARCH("Director",C385)),ISNUMBER(SEARCH("Lead",C385)),ISNUMBER(SEARCH("Senior",C385)),ISNUMBER(SEARCH("Sr.",C385))),90,IF(OR(ISNUMBER(SEARCH("Manager",C385)),ISNUMBER(SEARCH("Program",C385)),ISNUMBER(SEARCH("Portfolio",C385))),80,60)))</f>
        <v/>
      </c>
      <c r="V385" s="52">
        <f>IF(C385="","",IF(OR(ISNUMBER(SEARCH("AI",C385)),ISNUMBER(SEARCH("Data",C385)),ISNUMBER(SEARCH("Technology",C385)),ISNUMBER(SEARCH("Technical",C385)),ISNUMBER(SEARCH("Engineering",C385)),ISNUMBER(SEARCH("Platform",C385)),ISNUMBER(SEARCH("Portfolio",C385))),85,65))</f>
        <v/>
      </c>
      <c r="W385" s="52">
        <f>IF(C385="","",MIN(100,50+IF(S385&lt;&gt;"",25,0)+IF(R385&lt;&gt;"",15,0)+IF(P385&lt;&gt;"",10,0)))</f>
        <v/>
      </c>
      <c r="X385" s="52">
        <f>IF(E385="","",IF(OR(E385="Canada",E385="CA"),100,IF(OR(E385="United States",E385="USA",E385="US"),IF(J385="Yes",45,75),65)))</f>
        <v/>
      </c>
      <c r="Y385" s="52">
        <f>IF(C385="","",IF(OR(ISNUMBER(SEARCH("Program",C385)),ISNUMBER(SEARCH("Portfolio",C385)),ISNUMBER(SEARCH("Operations",C385)),ISNUMBER(SEARCH("Transformation",C385))),85,IF(ISNUMBER(SEARCH("Product Manager",C385)),55,70)))</f>
        <v/>
      </c>
      <c r="Z385" s="52">
        <f>IF(C385="","",MIN(100,IF(I385&lt;&gt;"",60,10)+IF(AA385&gt;0,MIN(40,AA385*20),0)))</f>
        <v/>
      </c>
      <c r="AA385" s="52">
        <f>IF(T385="","",ROUND(T385*25%+U385*15%+V385*10%+W385*15%+X385*15%+Y385*10%+Z385*10%,0))</f>
        <v/>
      </c>
      <c r="AB385" s="52">
        <f>IF(AA385="","",IF(X385&lt;50,"Selective / Barrier",IF(AA385&gt;=80,"Tier 1 - Pursue",IF(AA385&gt;=70,"Tier 2 - Pursue",IF(AA385&gt;=60,"Tier 3 - Selective","Do Not Pursue")))))</f>
        <v/>
      </c>
      <c r="AC385" s="52">
        <f>IF(C385="","",IF(I385&lt;&gt;"","Named Contact",IF(AA385&gt;0,"Outreach Logged","Cold")))</f>
        <v/>
      </c>
      <c r="AD385" s="52">
        <f>IF(B385="","",COUNTIF('Outreach Log'!$C:$C,B385))</f>
        <v/>
      </c>
      <c r="AE385" s="52">
        <f>IF(A385="","",IF(OR(K385="Rejected",K385="Closed"),IF(L385&lt;&gt;"",L385-A385,TODAY()-A385),TODAY()-A385))</f>
        <v/>
      </c>
      <c r="AF385" s="52">
        <f>IF(C385="","",IF(AND(AA385&gt;=70,AC385="Cold"),"High-fit but cold",IF(AND(AA385&lt;60,K385="Applied"),"Low-fit application",IF(AND(AA385&gt;=70,OR(AC385="Named Contact",AC385="Outreach Logged")),"Targeted pursuit","Review"))))</f>
        <v/>
      </c>
    </row>
    <row r="386" ht="15" customHeight="1" s="44">
      <c r="A386" s="53" t="n">
        <v>46275</v>
      </c>
      <c r="B386" s="48" t="inlineStr">
        <is>
          <t>CoLab Software</t>
        </is>
      </c>
      <c r="C386" s="48" t="inlineStr">
        <is>
          <t>Strategic Technical Program Manager</t>
        </is>
      </c>
      <c r="D386" s="48" t="inlineStr">
        <is>
          <t>Sr TPM</t>
        </is>
      </c>
      <c r="E386" s="48" t="inlineStr">
        <is>
          <t>Canada</t>
        </is>
      </c>
      <c r="F386" s="48" t="inlineStr">
        <is>
          <t>Toronto</t>
        </is>
      </c>
      <c r="G386" s="48" t="n">
        <v>62</v>
      </c>
      <c r="H386" s="48" t="inlineStr">
        <is>
          <t>Cold Portal (Greenhouse)</t>
        </is>
      </c>
      <c r="I386" s="48" t="n"/>
      <c r="J386" s="48" t="inlineStr">
        <is>
          <t>No</t>
        </is>
      </c>
      <c r="K386" s="49" t="inlineStr">
        <is>
          <t>Rejected</t>
        </is>
      </c>
      <c r="L386" s="50" t="n">
        <v>46280</v>
      </c>
      <c r="M386" s="48">
        <f>IF(OR(L238="",A238=""),"",L238-A238)</f>
        <v/>
      </c>
      <c r="N386" s="48" t="n"/>
      <c r="O386" s="48" t="n"/>
      <c r="P386" s="51" t="inlineStr">
        <is>
          <t>Applied 2026-09-10. CoLab Software is a Canadian (Newfoundland-based) engineering collaboration software company. | City confirmed by Elena 2026-09-13: Toronto. | Role confirmed via JD 2026-09-13: Technical Program Manager, reports to Director of TPM. Core focus: customer-facing delivery for enterprise accounts, cross-functional coordination (Eng/Product/Success), UAT ownership, executive-level status reporting. Est. fit score: 62 — strong overlap on cross-functional delivery, governance/status reporting, and agile fluency; docked for being an IC-level role reporting to a Director (below her targeted Director/Sr Manager level) and for the heavy CSM/customer-account ownership component, which is less central to her portfolio/governance background. | REJECTED 2026-09-15: CoLab Software (Kelly Lipnicky) — "we received a lot of applicants for this posting and unfortunately will not be moving forward." Actual role title confirmed as "Strategic Technical Program Manager" (was logged as "Technical Program Manager").</t>
        </is>
      </c>
      <c r="Q386" s="48" t="n"/>
      <c r="R386" s="48" t="n"/>
      <c r="S386" s="51" t="n"/>
      <c r="T386" s="52">
        <f>IF(G386="","",G386)</f>
        <v/>
      </c>
      <c r="U386" s="52">
        <f>IF(C386="","",IF(OR(ISNUMBER(SEARCH("Director",C386)),ISNUMBER(SEARCH("Lead",C386)),ISNUMBER(SEARCH("Senior",C386)),ISNUMBER(SEARCH("Sr.",C386))),90,IF(OR(ISNUMBER(SEARCH("Manager",C386)),ISNUMBER(SEARCH("Program",C386)),ISNUMBER(SEARCH("Portfolio",C386))),80,60)))</f>
        <v/>
      </c>
      <c r="V386" s="52">
        <f>IF(C386="","",IF(OR(ISNUMBER(SEARCH("AI",C386)),ISNUMBER(SEARCH("Data",C386)),ISNUMBER(SEARCH("Technology",C386)),ISNUMBER(SEARCH("Technical",C386)),ISNUMBER(SEARCH("Engineering",C386)),ISNUMBER(SEARCH("Platform",C386)),ISNUMBER(SEARCH("Portfolio",C386))),85,65))</f>
        <v/>
      </c>
      <c r="W386" s="52">
        <f>IF(C386="","",MIN(100,50+IF(S386&lt;&gt;"",25,0)+IF(R386&lt;&gt;"",15,0)+IF(P386&lt;&gt;"",10,0)))</f>
        <v/>
      </c>
      <c r="X386" s="52">
        <f>IF(E386="","",IF(OR(E386="Canada",E386="CA"),100,IF(OR(E386="United States",E386="USA",E386="US"),IF(J386="Yes",45,75),65)))</f>
        <v/>
      </c>
      <c r="Y386" s="52">
        <f>IF(C386="","",IF(OR(ISNUMBER(SEARCH("Program",C386)),ISNUMBER(SEARCH("Portfolio",C386)),ISNUMBER(SEARCH("Operations",C386)),ISNUMBER(SEARCH("Transformation",C386))),85,IF(ISNUMBER(SEARCH("Product Manager",C386)),55,70)))</f>
        <v/>
      </c>
      <c r="Z386" s="52">
        <f>IF(C386="","",MIN(100,IF(I386&lt;&gt;"",60,10)+IF(AA386&gt;0,MIN(40,AA386*20),0)))</f>
        <v/>
      </c>
      <c r="AA386" s="52">
        <f>IF(T386="","",ROUND(T386*25%+U386*15%+V386*10%+W386*15%+X386*15%+Y386*10%+Z386*10%,0))</f>
        <v/>
      </c>
      <c r="AB386" s="52">
        <f>IF(AA386="","",IF(X386&lt;50,"Selective / Barrier",IF(AA386&gt;=80,"Tier 1 - Pursue",IF(AA386&gt;=70,"Tier 2 - Pursue",IF(AA386&gt;=60,"Tier 3 - Selective","Do Not Pursue")))))</f>
        <v/>
      </c>
      <c r="AC386" s="52">
        <f>IF(C386="","",IF(I386&lt;&gt;"","Named Contact",IF(AA386&gt;0,"Outreach Logged","Cold")))</f>
        <v/>
      </c>
      <c r="AD386" s="52">
        <f>IF(B386="","",COUNTIF('Outreach Log'!$C:$C,B386))</f>
        <v/>
      </c>
      <c r="AE386" s="52">
        <f>IF(A386="","",IF(OR(K386="Rejected",K386="Closed"),IF(L386&lt;&gt;"",L386-A386,TODAY()-A386),TODAY()-A386))</f>
        <v/>
      </c>
      <c r="AF386" s="52">
        <f>IF(C386="","",IF(AND(AA386&gt;=70,AC386="Cold"),"High-fit but cold",IF(AND(AA386&lt;60,K386="Applied"),"Low-fit application",IF(AND(AA386&gt;=70,OR(AC386="Named Contact",AC386="Outreach Logged")),"Targeted pursuit","Review"))))</f>
        <v/>
      </c>
    </row>
    <row r="387" ht="15" customHeight="1" s="44">
      <c r="A387" s="53" t="n">
        <v>46275</v>
      </c>
      <c r="B387" s="48" t="inlineStr">
        <is>
          <t>(Raise/staffing)</t>
        </is>
      </c>
      <c r="C387" s="48" t="inlineStr">
        <is>
          <t>Business Systems Analyst - Parts</t>
        </is>
      </c>
      <c r="D387" s="48" t="n"/>
      <c r="E387" s="48" t="n"/>
      <c r="F387" s="48" t="n"/>
      <c r="G387" s="48" t="n"/>
      <c r="H387" s="48" t="n"/>
      <c r="I387" s="48" t="n"/>
      <c r="J387" s="48" t="n"/>
      <c r="K387" s="49" t="inlineStr">
        <is>
          <t>Rejected</t>
        </is>
      </c>
      <c r="L387" s="48" t="n"/>
      <c r="M387" s="48" t="n"/>
      <c r="N387" s="48" t="n"/>
      <c r="O387" s="48" t="n"/>
      <c r="P387" s="51" t="inlineStr">
        <is>
          <t>Rejected (per Greenhouse portal review, Sep 20 2026). Role closed</t>
        </is>
      </c>
      <c r="Q387" s="48" t="n"/>
      <c r="R387" s="48" t="n"/>
      <c r="S387" s="51" t="n"/>
      <c r="T387" s="52">
        <f>IF(G387="","",G387)</f>
        <v/>
      </c>
      <c r="U387" s="52">
        <f>IF(C387="","",IF(OR(ISNUMBER(SEARCH("Director",C387)),ISNUMBER(SEARCH("Lead",C387)),ISNUMBER(SEARCH("Senior",C387)),ISNUMBER(SEARCH("Sr.",C387))),90,IF(OR(ISNUMBER(SEARCH("Manager",C387)),ISNUMBER(SEARCH("Program",C387)),ISNUMBER(SEARCH("Portfolio",C387))),80,60)))</f>
        <v/>
      </c>
      <c r="V387" s="52">
        <f>IF(C387="","",IF(OR(ISNUMBER(SEARCH("AI",C387)),ISNUMBER(SEARCH("Data",C387)),ISNUMBER(SEARCH("Technology",C387)),ISNUMBER(SEARCH("Technical",C387)),ISNUMBER(SEARCH("Engineering",C387)),ISNUMBER(SEARCH("Platform",C387)),ISNUMBER(SEARCH("Portfolio",C387))),85,65))</f>
        <v/>
      </c>
      <c r="W387" s="52">
        <f>IF(C387="","",MIN(100,50+IF(S387&lt;&gt;"",25,0)+IF(R387&lt;&gt;"",15,0)+IF(P387&lt;&gt;"",10,0)))</f>
        <v/>
      </c>
      <c r="X387" s="52">
        <f>IF(E387="","",IF(OR(E387="Canada",E387="CA"),100,IF(OR(E387="United States",E387="USA",E387="US"),IF(J387="Yes",45,75),65)))</f>
        <v/>
      </c>
      <c r="Y387" s="52">
        <f>IF(C387="","",IF(OR(ISNUMBER(SEARCH("Program",C387)),ISNUMBER(SEARCH("Portfolio",C387)),ISNUMBER(SEARCH("Operations",C387)),ISNUMBER(SEARCH("Transformation",C387))),85,IF(ISNUMBER(SEARCH("Product Manager",C387)),55,70)))</f>
        <v/>
      </c>
      <c r="Z387" s="52">
        <f>IF(C387="","",MIN(100,IF(I387&lt;&gt;"",60,10)+IF(AA387&gt;0,MIN(40,AA387*20),0)))</f>
        <v/>
      </c>
      <c r="AA387" s="52">
        <f>IF(T387="","",ROUND(T387*25%+U387*15%+V387*10%+W387*15%+X387*15%+Y387*10%+Z387*10%,0))</f>
        <v/>
      </c>
      <c r="AB387" s="52">
        <f>IF(AA387="","",IF(X387&lt;50,"Selective / Barrier",IF(AA387&gt;=80,"Tier 1 - Pursue",IF(AA387&gt;=70,"Tier 2 - Pursue",IF(AA387&gt;=60,"Tier 3 - Selective","Do Not Pursue")))))</f>
        <v/>
      </c>
      <c r="AC387" s="52">
        <f>IF(C387="","",IF(I387&lt;&gt;"","Named Contact",IF(AA387&gt;0,"Outreach Logged","Cold")))</f>
        <v/>
      </c>
      <c r="AD387" s="52">
        <f>IF(B387="","",COUNTIF('Outreach Log'!$C:$C,B387))</f>
        <v/>
      </c>
      <c r="AE387" s="52">
        <f>IF(A387="","",IF(OR(K387="Rejected",K387="Closed"),IF(L387&lt;&gt;"",L387-A387,TODAY()-A387),TODAY()-A387))</f>
        <v/>
      </c>
      <c r="AF387" s="52">
        <f>IF(C387="","",IF(AND(AA387&gt;=70,AC387="Cold"),"High-fit but cold",IF(AND(AA387&lt;60,K387="Applied"),"Low-fit application",IF(AND(AA387&gt;=70,OR(AC387="Named Contact",AC387="Outreach Logged")),"Targeted pursuit","Review"))))</f>
        <v/>
      </c>
    </row>
    <row r="388" ht="15" customHeight="1" s="44">
      <c r="A388" s="53" t="n">
        <v>46276</v>
      </c>
      <c r="B388" s="48" t="inlineStr">
        <is>
          <t>Dutch</t>
        </is>
      </c>
      <c r="C388" s="48" t="inlineStr">
        <is>
          <t>Senior Technical Program Manager</t>
        </is>
      </c>
      <c r="D388" s="48" t="inlineStr">
        <is>
          <t>Sr TPM</t>
        </is>
      </c>
      <c r="E388" s="48" t="inlineStr">
        <is>
          <t>Canada</t>
        </is>
      </c>
      <c r="F388" s="48" t="inlineStr">
        <is>
          <t>Toronto</t>
        </is>
      </c>
      <c r="G388" s="48" t="n"/>
      <c r="H388" s="48" t="inlineStr">
        <is>
          <t>Cold Portal (Lever)</t>
        </is>
      </c>
      <c r="I388" s="48" t="n"/>
      <c r="J388" s="48" t="inlineStr">
        <is>
          <t>No</t>
        </is>
      </c>
      <c r="K388" s="49" t="inlineStr">
        <is>
          <t>Rejected</t>
        </is>
      </c>
      <c r="L388" s="50" t="n">
        <v>46280</v>
      </c>
      <c r="M388" s="48">
        <f>IF(OR(L239="",A239=""),"",L239-A239)</f>
        <v/>
      </c>
      <c r="N388" s="48" t="n"/>
      <c r="O388" s="48" t="n"/>
      <c r="P388" s="51" t="inlineStr">
        <is>
          <t>Applied 2026-09-11. Confirmation via Lever ATS. | Confirmed by Elena 2026-09-13: role is Canada-based. | City confirmed by Elena 2026-09-13: Toronto. | REJECTED 2026-09-15: Dutch (Lever) — "decided to move forward with other candidates."</t>
        </is>
      </c>
      <c r="Q388" s="48" t="n"/>
      <c r="R388" s="48" t="n"/>
      <c r="S388" s="51" t="n"/>
      <c r="T388" s="52">
        <f>IF(G388="","",G388)</f>
        <v/>
      </c>
      <c r="U388" s="52">
        <f>IF(C388="","",IF(OR(ISNUMBER(SEARCH("Director",C388)),ISNUMBER(SEARCH("Lead",C388)),ISNUMBER(SEARCH("Senior",C388)),ISNUMBER(SEARCH("Sr.",C388))),90,IF(OR(ISNUMBER(SEARCH("Manager",C388)),ISNUMBER(SEARCH("Program",C388)),ISNUMBER(SEARCH("Portfolio",C388))),80,60)))</f>
        <v/>
      </c>
      <c r="V388" s="52">
        <f>IF(C388="","",IF(OR(ISNUMBER(SEARCH("AI",C388)),ISNUMBER(SEARCH("Data",C388)),ISNUMBER(SEARCH("Technology",C388)),ISNUMBER(SEARCH("Technical",C388)),ISNUMBER(SEARCH("Engineering",C388)),ISNUMBER(SEARCH("Platform",C388)),ISNUMBER(SEARCH("Portfolio",C388))),85,65))</f>
        <v/>
      </c>
      <c r="W388" s="52">
        <f>IF(C388="","",MIN(100,50+IF(S388&lt;&gt;"",25,0)+IF(R388&lt;&gt;"",15,0)+IF(P388&lt;&gt;"",10,0)))</f>
        <v/>
      </c>
      <c r="X388" s="52">
        <f>IF(E388="","",IF(OR(E388="Canada",E388="CA"),100,IF(OR(E388="United States",E388="USA",E388="US"),IF(J388="Yes",45,75),65)))</f>
        <v/>
      </c>
      <c r="Y388" s="52">
        <f>IF(C388="","",IF(OR(ISNUMBER(SEARCH("Program",C388)),ISNUMBER(SEARCH("Portfolio",C388)),ISNUMBER(SEARCH("Operations",C388)),ISNUMBER(SEARCH("Transformation",C388))),85,IF(ISNUMBER(SEARCH("Product Manager",C388)),55,70)))</f>
        <v/>
      </c>
      <c r="Z388" s="52">
        <f>IF(C388="","",MIN(100,IF(I388&lt;&gt;"",60,10)+IF(AA388&gt;0,MIN(40,AA388*20),0)))</f>
        <v/>
      </c>
      <c r="AA388" s="52">
        <f>IF(T388="","",ROUND(T388*25%+U388*15%+V388*10%+W388*15%+X388*15%+Y388*10%+Z388*10%,0))</f>
        <v/>
      </c>
      <c r="AB388" s="52">
        <f>IF(AA388="","",IF(X388&lt;50,"Selective / Barrier",IF(AA388&gt;=80,"Tier 1 - Pursue",IF(AA388&gt;=70,"Tier 2 - Pursue",IF(AA388&gt;=60,"Tier 3 - Selective","Do Not Pursue")))))</f>
        <v/>
      </c>
      <c r="AC388" s="52">
        <f>IF(C388="","",IF(I388&lt;&gt;"","Named Contact",IF(AA388&gt;0,"Outreach Logged","Cold")))</f>
        <v/>
      </c>
      <c r="AD388" s="52">
        <f>IF(B388="","",COUNTIF('Outreach Log'!$C:$C,B388))</f>
        <v/>
      </c>
      <c r="AE388" s="52">
        <f>IF(A388="","",IF(OR(K388="Rejected",K388="Closed"),IF(L388&lt;&gt;"",L388-A388,TODAY()-A388),TODAY()-A388))</f>
        <v/>
      </c>
      <c r="AF388" s="52">
        <f>IF(C388="","",IF(AND(AA388&gt;=70,AC388="Cold"),"High-fit but cold",IF(AND(AA388&lt;60,K388="Applied"),"Low-fit application",IF(AND(AA388&gt;=70,OR(AC388="Named Contact",AC388="Outreach Logged")),"Targeted pursuit","Review"))))</f>
        <v/>
      </c>
    </row>
    <row r="389" ht="15" customHeight="1" s="44">
      <c r="A389" s="53" t="n">
        <v>46277</v>
      </c>
      <c r="B389" s="48" t="inlineStr">
        <is>
          <t>Cambium Learning Group</t>
        </is>
      </c>
      <c r="C389" s="48" t="inlineStr">
        <is>
          <t>Senior Manager, IT Program Management</t>
        </is>
      </c>
      <c r="D389" s="48" t="inlineStr">
        <is>
          <t>Sr Manager</t>
        </is>
      </c>
      <c r="E389" s="48" t="inlineStr">
        <is>
          <t>US</t>
        </is>
      </c>
      <c r="F389" s="48" t="inlineStr">
        <is>
          <t>Unconfirmed</t>
        </is>
      </c>
      <c r="G389" s="48" t="n"/>
      <c r="H389" s="48" t="inlineStr">
        <is>
          <t>Cold Portal (Workday)</t>
        </is>
      </c>
      <c r="I389" s="48" t="n"/>
      <c r="J389" s="48" t="inlineStr">
        <is>
          <t>Yes</t>
        </is>
      </c>
      <c r="K389" s="49" t="inlineStr">
        <is>
          <t>Rejected</t>
        </is>
      </c>
      <c r="L389" s="50" t="n">
        <v>46277</v>
      </c>
      <c r="M389" s="48">
        <f>IF(OR(L240="",A240=""),"",L240-A240)</f>
        <v/>
      </c>
      <c r="N389" s="48" t="n"/>
      <c r="O389" s="48" t="n"/>
      <c r="P389" s="51" t="inlineStr">
        <is>
          <t>REJECTED 2026-09-12: Cambium Learning Group (cambiumlearning@myworkday.com) — "decided to move forward with other candidates who best meet the needs..." Applied date unconfirmed — using rejection date as placeholder; update Date Applied if known.</t>
        </is>
      </c>
      <c r="Q389" s="48" t="n"/>
      <c r="R389" s="48" t="n"/>
      <c r="S389" s="51" t="n"/>
      <c r="T389" s="52">
        <f>IF(G389="","",G389)</f>
        <v/>
      </c>
      <c r="U389" s="52">
        <f>IF(C389="","",IF(OR(ISNUMBER(SEARCH("Director",C389)),ISNUMBER(SEARCH("Lead",C389)),ISNUMBER(SEARCH("Senior",C389)),ISNUMBER(SEARCH("Sr.",C389))),90,IF(OR(ISNUMBER(SEARCH("Manager",C389)),ISNUMBER(SEARCH("Program",C389)),ISNUMBER(SEARCH("Portfolio",C389))),80,60)))</f>
        <v/>
      </c>
      <c r="V389" s="52">
        <f>IF(C389="","",IF(OR(ISNUMBER(SEARCH("AI",C389)),ISNUMBER(SEARCH("Data",C389)),ISNUMBER(SEARCH("Technology",C389)),ISNUMBER(SEARCH("Technical",C389)),ISNUMBER(SEARCH("Engineering",C389)),ISNUMBER(SEARCH("Platform",C389)),ISNUMBER(SEARCH("Portfolio",C389))),85,65))</f>
        <v/>
      </c>
      <c r="W389" s="52">
        <f>IF(C389="","",MIN(100,50+IF(S389&lt;&gt;"",25,0)+IF(R389&lt;&gt;"",15,0)+IF(P389&lt;&gt;"",10,0)))</f>
        <v/>
      </c>
      <c r="X389" s="52">
        <f>IF(E389="","",IF(OR(E389="Canada",E389="CA"),100,IF(OR(E389="United States",E389="USA",E389="US"),IF(J389="Yes",45,75),65)))</f>
        <v/>
      </c>
      <c r="Y389" s="52">
        <f>IF(C389="","",IF(OR(ISNUMBER(SEARCH("Program",C389)),ISNUMBER(SEARCH("Portfolio",C389)),ISNUMBER(SEARCH("Operations",C389)),ISNUMBER(SEARCH("Transformation",C389))),85,IF(ISNUMBER(SEARCH("Product Manager",C389)),55,70)))</f>
        <v/>
      </c>
      <c r="Z389" s="52">
        <f>IF(C389="","",MIN(100,IF(I389&lt;&gt;"",60,10)+IF(AA389&gt;0,MIN(40,AA389*20),0)))</f>
        <v/>
      </c>
      <c r="AA389" s="52">
        <f>IF(T389="","",ROUND(T389*25%+U389*15%+V389*10%+W389*15%+X389*15%+Y389*10%+Z389*10%,0))</f>
        <v/>
      </c>
      <c r="AB389" s="52">
        <f>IF(AA389="","",IF(X389&lt;50,"Selective / Barrier",IF(AA389&gt;=80,"Tier 1 - Pursue",IF(AA389&gt;=70,"Tier 2 - Pursue",IF(AA389&gt;=60,"Tier 3 - Selective","Do Not Pursue")))))</f>
        <v/>
      </c>
      <c r="AC389" s="52">
        <f>IF(C389="","",IF(I389&lt;&gt;"","Named Contact",IF(AA389&gt;0,"Outreach Logged","Cold")))</f>
        <v/>
      </c>
      <c r="AD389" s="52">
        <f>IF(B389="","",COUNTIF('Outreach Log'!$C:$C,B389))</f>
        <v/>
      </c>
      <c r="AE389" s="52">
        <f>IF(A389="","",IF(OR(K389="Rejected",K389="Closed"),IF(L389&lt;&gt;"",L389-A389,TODAY()-A389),TODAY()-A389))</f>
        <v/>
      </c>
      <c r="AF389" s="52">
        <f>IF(C389="","",IF(AND(AA389&gt;=70,AC389="Cold"),"High-fit but cold",IF(AND(AA389&lt;60,K389="Applied"),"Low-fit application",IF(AND(AA389&gt;=70,OR(AC389="Named Contact",AC389="Outreach Logged")),"Targeted pursuit","Review"))))</f>
        <v/>
      </c>
    </row>
    <row r="390" ht="15" customHeight="1" s="44">
      <c r="A390" s="53" t="n">
        <v>46277</v>
      </c>
      <c r="B390" s="48" t="inlineStr">
        <is>
          <t>Create Music Group</t>
        </is>
      </c>
      <c r="C390" s="48" t="inlineStr">
        <is>
          <t>Director, Program Management</t>
        </is>
      </c>
      <c r="D390" s="48" t="inlineStr">
        <is>
          <t>Director</t>
        </is>
      </c>
      <c r="E390" s="48" t="inlineStr">
        <is>
          <t>Canada</t>
        </is>
      </c>
      <c r="F390" s="48" t="inlineStr">
        <is>
          <t>Toronto — $180K-$200K/yr posted</t>
        </is>
      </c>
      <c r="G390" s="48" t="n"/>
      <c r="H390" s="48" t="inlineStr">
        <is>
          <t>Cold Portal (Rippling + Indeed)</t>
        </is>
      </c>
      <c r="I390" s="48" t="n"/>
      <c r="J390" s="48" t="inlineStr">
        <is>
          <t>No</t>
        </is>
      </c>
      <c r="K390" s="55" t="inlineStr">
        <is>
          <t>Applied</t>
        </is>
      </c>
      <c r="L390" s="48" t="n"/>
      <c r="M390" s="48">
        <f>IF(OR(L241="",A241=""),"",L241-A241)</f>
        <v/>
      </c>
      <c r="N390" s="48" t="n"/>
      <c r="O390" s="48" t="n"/>
      <c r="P390" s="51" t="inlineStr">
        <is>
          <t>Applied 2026-09-12 (confirmed via both Rippling ATS and Indeed application receipts). Posted salary $180,000-$200,000/yr. | Confirmed by Elena 2026-09-13: role is Canada-based. | City confirmed by Elena 2026-09-13: Toronto.</t>
        </is>
      </c>
      <c r="Q390" s="48" t="n"/>
      <c r="R390" s="48" t="n"/>
      <c r="S390" s="51" t="n"/>
      <c r="T390" s="52">
        <f>IF(G390="","",G390)</f>
        <v/>
      </c>
      <c r="U390" s="52">
        <f>IF(C390="","",IF(OR(ISNUMBER(SEARCH("Director",C390)),ISNUMBER(SEARCH("Lead",C390)),ISNUMBER(SEARCH("Senior",C390)),ISNUMBER(SEARCH("Sr.",C390))),90,IF(OR(ISNUMBER(SEARCH("Manager",C390)),ISNUMBER(SEARCH("Program",C390)),ISNUMBER(SEARCH("Portfolio",C390))),80,60)))</f>
        <v/>
      </c>
      <c r="V390" s="52">
        <f>IF(C390="","",IF(OR(ISNUMBER(SEARCH("AI",C390)),ISNUMBER(SEARCH("Data",C390)),ISNUMBER(SEARCH("Technology",C390)),ISNUMBER(SEARCH("Technical",C390)),ISNUMBER(SEARCH("Engineering",C390)),ISNUMBER(SEARCH("Platform",C390)),ISNUMBER(SEARCH("Portfolio",C390))),85,65))</f>
        <v/>
      </c>
      <c r="W390" s="52">
        <f>IF(C390="","",MIN(100,50+IF(S390&lt;&gt;"",25,0)+IF(R390&lt;&gt;"",15,0)+IF(P390&lt;&gt;"",10,0)))</f>
        <v/>
      </c>
      <c r="X390" s="52">
        <f>IF(E390="","",IF(OR(E390="Canada",E390="CA"),100,IF(OR(E390="United States",E390="USA",E390="US"),IF(J390="Yes",45,75),65)))</f>
        <v/>
      </c>
      <c r="Y390" s="52">
        <f>IF(C390="","",IF(OR(ISNUMBER(SEARCH("Program",C390)),ISNUMBER(SEARCH("Portfolio",C390)),ISNUMBER(SEARCH("Operations",C390)),ISNUMBER(SEARCH("Transformation",C390))),85,IF(ISNUMBER(SEARCH("Product Manager",C390)),55,70)))</f>
        <v/>
      </c>
      <c r="Z390" s="52">
        <f>IF(C390="","",MIN(100,IF(I390&lt;&gt;"",60,10)+IF(AA390&gt;0,MIN(40,AA390*20),0)))</f>
        <v/>
      </c>
      <c r="AA390" s="52">
        <f>IF(T390="","",ROUND(T390*25%+U390*15%+V390*10%+W390*15%+X390*15%+Y390*10%+Z390*10%,0))</f>
        <v/>
      </c>
      <c r="AB390" s="52">
        <f>IF(AA390="","",IF(X390&lt;50,"Selective / Barrier",IF(AA390&gt;=80,"Tier 1 - Pursue",IF(AA390&gt;=70,"Tier 2 - Pursue",IF(AA390&gt;=60,"Tier 3 - Selective","Do Not Pursue")))))</f>
        <v/>
      </c>
      <c r="AC390" s="52">
        <f>IF(C390="","",IF(I390&lt;&gt;"","Named Contact",IF(AA390&gt;0,"Outreach Logged","Cold")))</f>
        <v/>
      </c>
      <c r="AD390" s="52">
        <f>IF(B390="","",COUNTIF('Outreach Log'!$C:$C,B390))</f>
        <v/>
      </c>
      <c r="AE390" s="52">
        <f>IF(A390="","",IF(OR(K390="Rejected",K390="Closed"),IF(L390&lt;&gt;"",L390-A390,TODAY()-A390),TODAY()-A390))</f>
        <v/>
      </c>
      <c r="AF390" s="52">
        <f>IF(C390="","",IF(AND(AA390&gt;=70,AC390="Cold"),"High-fit but cold",IF(AND(AA390&lt;60,K390="Applied"),"Low-fit application",IF(AND(AA390&gt;=70,OR(AC390="Named Contact",AC390="Outreach Logged")),"Targeted pursuit","Review"))))</f>
        <v/>
      </c>
    </row>
    <row r="391" ht="15" customHeight="1" s="44">
      <c r="A391" s="53" t="n">
        <v>46277</v>
      </c>
      <c r="B391" s="48" t="inlineStr">
        <is>
          <t>Affirm</t>
        </is>
      </c>
      <c r="C391" s="48" t="inlineStr">
        <is>
          <t>Senior Technical Program Manager</t>
        </is>
      </c>
      <c r="D391" s="48" t="inlineStr">
        <is>
          <t>Senior</t>
        </is>
      </c>
      <c r="E391" s="48" t="inlineStr">
        <is>
          <t>Canada</t>
        </is>
      </c>
      <c r="F391" s="48" t="inlineStr">
        <is>
          <t>Toronto</t>
        </is>
      </c>
      <c r="G391" s="48" t="n"/>
      <c r="H391" s="48" t="inlineStr">
        <is>
          <t>Cold Portal (Greenhouse)</t>
        </is>
      </c>
      <c r="I391" s="48" t="n"/>
      <c r="J391" s="48" t="inlineStr">
        <is>
          <t>No</t>
        </is>
      </c>
      <c r="K391" s="55" t="inlineStr">
        <is>
          <t>Applied</t>
        </is>
      </c>
      <c r="L391" s="48" t="n"/>
      <c r="M391" s="48">
        <f>IF(OR(L242="",A242=""),"",L242-A242)</f>
        <v/>
      </c>
      <c r="N391" s="48" t="n"/>
      <c r="O391" s="48" t="n"/>
      <c r="P391" s="51" t="inlineStr">
        <is>
          <t>Applied 2026-09-12/13 via Greenhouse. Distinct from row 76 (Affirm, Staff Technical Program Manager, applied 7/22, Remote US) — separate role, separate application. | Confirmed by Elena 2026-09-13: role is Canada-based. | City confirmed by Elena 2026-09-13: Toronto.</t>
        </is>
      </c>
      <c r="Q391" s="48" t="n"/>
      <c r="R391" s="48" t="n"/>
      <c r="S391" s="51" t="n"/>
      <c r="T391" s="52">
        <f>IF(G391="","",G391)</f>
        <v/>
      </c>
      <c r="U391" s="52">
        <f>IF(C391="","",IF(OR(ISNUMBER(SEARCH("Director",C391)),ISNUMBER(SEARCH("Lead",C391)),ISNUMBER(SEARCH("Senior",C391)),ISNUMBER(SEARCH("Sr.",C391))),90,IF(OR(ISNUMBER(SEARCH("Manager",C391)),ISNUMBER(SEARCH("Program",C391)),ISNUMBER(SEARCH("Portfolio",C391))),80,60)))</f>
        <v/>
      </c>
      <c r="V391" s="52">
        <f>IF(C391="","",IF(OR(ISNUMBER(SEARCH("AI",C391)),ISNUMBER(SEARCH("Data",C391)),ISNUMBER(SEARCH("Technology",C391)),ISNUMBER(SEARCH("Technical",C391)),ISNUMBER(SEARCH("Engineering",C391)),ISNUMBER(SEARCH("Platform",C391)),ISNUMBER(SEARCH("Portfolio",C391))),85,65))</f>
        <v/>
      </c>
      <c r="W391" s="52">
        <f>IF(C391="","",MIN(100,50+IF(S391&lt;&gt;"",25,0)+IF(R391&lt;&gt;"",15,0)+IF(P391&lt;&gt;"",10,0)))</f>
        <v/>
      </c>
      <c r="X391" s="52">
        <f>IF(E391="","",IF(OR(E391="Canada",E391="CA"),100,IF(OR(E391="United States",E391="USA",E391="US"),IF(J391="Yes",45,75),65)))</f>
        <v/>
      </c>
      <c r="Y391" s="52">
        <f>IF(C391="","",IF(OR(ISNUMBER(SEARCH("Program",C391)),ISNUMBER(SEARCH("Portfolio",C391)),ISNUMBER(SEARCH("Operations",C391)),ISNUMBER(SEARCH("Transformation",C391))),85,IF(ISNUMBER(SEARCH("Product Manager",C391)),55,70)))</f>
        <v/>
      </c>
      <c r="Z391" s="52">
        <f>IF(C391="","",MIN(100,IF(I391&lt;&gt;"",60,10)+IF(AA391&gt;0,MIN(40,AA391*20),0)))</f>
        <v/>
      </c>
      <c r="AA391" s="52">
        <f>IF(T391="","",ROUND(T391*25%+U391*15%+V391*10%+W391*15%+X391*15%+Y391*10%+Z391*10%,0))</f>
        <v/>
      </c>
      <c r="AB391" s="52">
        <f>IF(AA391="","",IF(X391&lt;50,"Selective / Barrier",IF(AA391&gt;=80,"Tier 1 - Pursue",IF(AA391&gt;=70,"Tier 2 - Pursue",IF(AA391&gt;=60,"Tier 3 - Selective","Do Not Pursue")))))</f>
        <v/>
      </c>
      <c r="AC391" s="52">
        <f>IF(C391="","",IF(I391&lt;&gt;"","Named Contact",IF(AA391&gt;0,"Outreach Logged","Cold")))</f>
        <v/>
      </c>
      <c r="AD391" s="52">
        <f>IF(B391="","",COUNTIF('Outreach Log'!$C:$C,B391))</f>
        <v/>
      </c>
      <c r="AE391" s="52">
        <f>IF(A391="","",IF(OR(K391="Rejected",K391="Closed"),IF(L391&lt;&gt;"",L391-A391,TODAY()-A391),TODAY()-A391))</f>
        <v/>
      </c>
      <c r="AF391" s="52">
        <f>IF(C391="","",IF(AND(AA391&gt;=70,AC391="Cold"),"High-fit but cold",IF(AND(AA391&lt;60,K391="Applied"),"Low-fit application",IF(AND(AA391&gt;=70,OR(AC391="Named Contact",AC391="Outreach Logged")),"Targeted pursuit","Review"))))</f>
        <v/>
      </c>
    </row>
    <row r="392" ht="15" customHeight="1" s="44">
      <c r="A392" s="53" t="n">
        <v>46277</v>
      </c>
      <c r="B392" s="48" t="inlineStr">
        <is>
          <t>Create Music Group</t>
        </is>
      </c>
      <c r="C392" s="48" t="inlineStr">
        <is>
          <t>(role unspecified)</t>
        </is>
      </c>
      <c r="D392" s="48" t="n"/>
      <c r="E392" s="48" t="n"/>
      <c r="F392" s="48" t="n"/>
      <c r="G392" s="48" t="n"/>
      <c r="H392" s="48" t="n"/>
      <c r="I392" s="48" t="n"/>
      <c r="J392" s="48" t="n"/>
      <c r="K392" s="55" t="inlineStr">
        <is>
          <t>Applied</t>
        </is>
      </c>
      <c r="L392" s="48" t="n"/>
      <c r="M392" s="48" t="n"/>
      <c r="N392" s="48" t="n"/>
      <c r="O392" s="48" t="n"/>
      <c r="P392" s="51" t="n"/>
      <c r="Q392" s="48" t="n"/>
      <c r="R392" s="48" t="n"/>
      <c r="S392" s="51" t="n"/>
      <c r="T392" s="52">
        <f>IF(G392="","",G392)</f>
        <v/>
      </c>
      <c r="U392" s="52">
        <f>IF(C392="","",IF(OR(ISNUMBER(SEARCH("Director",C392)),ISNUMBER(SEARCH("Lead",C392)),ISNUMBER(SEARCH("Senior",C392)),ISNUMBER(SEARCH("Sr.",C392))),90,IF(OR(ISNUMBER(SEARCH("Manager",C392)),ISNUMBER(SEARCH("Program",C392)),ISNUMBER(SEARCH("Portfolio",C392))),80,60)))</f>
        <v/>
      </c>
      <c r="V392" s="52">
        <f>IF(C392="","",IF(OR(ISNUMBER(SEARCH("AI",C392)),ISNUMBER(SEARCH("Data",C392)),ISNUMBER(SEARCH("Technology",C392)),ISNUMBER(SEARCH("Technical",C392)),ISNUMBER(SEARCH("Engineering",C392)),ISNUMBER(SEARCH("Platform",C392)),ISNUMBER(SEARCH("Portfolio",C392))),85,65))</f>
        <v/>
      </c>
      <c r="W392" s="52">
        <f>IF(C392="","",MIN(100,50+IF(S392&lt;&gt;"",25,0)+IF(R392&lt;&gt;"",15,0)+IF(P392&lt;&gt;"",10,0)))</f>
        <v/>
      </c>
      <c r="X392" s="52">
        <f>IF(E392="","",IF(OR(E392="Canada",E392="CA"),100,IF(OR(E392="United States",E392="USA",E392="US"),IF(J392="Yes",45,75),65)))</f>
        <v/>
      </c>
      <c r="Y392" s="52">
        <f>IF(C392="","",IF(OR(ISNUMBER(SEARCH("Program",C392)),ISNUMBER(SEARCH("Portfolio",C392)),ISNUMBER(SEARCH("Operations",C392)),ISNUMBER(SEARCH("Transformation",C392))),85,IF(ISNUMBER(SEARCH("Product Manager",C392)),55,70)))</f>
        <v/>
      </c>
      <c r="Z392" s="52">
        <f>IF(C392="","",MIN(100,IF(I392&lt;&gt;"",60,10)+IF(AA392&gt;0,MIN(40,AA392*20),0)))</f>
        <v/>
      </c>
      <c r="AA392" s="52">
        <f>IF(T392="","",ROUND(T392*25%+U392*15%+V392*10%+W392*15%+X392*15%+Y392*10%+Z392*10%,0))</f>
        <v/>
      </c>
      <c r="AB392" s="52">
        <f>IF(AA392="","",IF(X392&lt;50,"Selective / Barrier",IF(AA392&gt;=80,"Tier 1 - Pursue",IF(AA392&gt;=70,"Tier 2 - Pursue",IF(AA392&gt;=60,"Tier 3 - Selective","Do Not Pursue")))))</f>
        <v/>
      </c>
      <c r="AC392" s="52">
        <f>IF(C392="","",IF(I392&lt;&gt;"","Named Contact",IF(AA392&gt;0,"Outreach Logged","Cold")))</f>
        <v/>
      </c>
      <c r="AD392" s="52">
        <f>IF(B392="","",COUNTIF('Outreach Log'!$C:$C,B392))</f>
        <v/>
      </c>
      <c r="AE392" s="52">
        <f>IF(A392="","",IF(OR(K392="Rejected",K392="Closed"),IF(L392&lt;&gt;"",L392-A392,TODAY()-A392),TODAY()-A392))</f>
        <v/>
      </c>
      <c r="AF392" s="52">
        <f>IF(C392="","",IF(AND(AA392&gt;=70,AC392="Cold"),"High-fit but cold",IF(AND(AA392&lt;60,K392="Applied"),"Low-fit application",IF(AND(AA392&gt;=70,OR(AC392="Named Contact",AC392="Outreach Logged")),"Targeted pursuit","Review"))))</f>
        <v/>
      </c>
    </row>
    <row r="393" ht="15" customHeight="1" s="44">
      <c r="A393" s="53" t="n">
        <v>46277</v>
      </c>
      <c r="B393" s="48" t="inlineStr">
        <is>
          <t>(Indeed)</t>
        </is>
      </c>
      <c r="C393" s="48" t="inlineStr">
        <is>
          <t>Director, Program Management</t>
        </is>
      </c>
      <c r="D393" s="48" t="n"/>
      <c r="E393" s="48" t="n"/>
      <c r="F393" s="48" t="n"/>
      <c r="G393" s="48" t="n"/>
      <c r="H393" s="48" t="n"/>
      <c r="I393" s="48" t="n"/>
      <c r="J393" s="48" t="n"/>
      <c r="K393" s="55" t="inlineStr">
        <is>
          <t>Applied</t>
        </is>
      </c>
      <c r="L393" s="48" t="n"/>
      <c r="M393" s="48" t="n"/>
      <c r="N393" s="48" t="n"/>
      <c r="O393" s="48" t="n"/>
      <c r="P393" s="51" t="inlineStr">
        <is>
          <t>No confirmation from employer found</t>
        </is>
      </c>
      <c r="Q393" s="48" t="n"/>
      <c r="R393" s="48" t="n"/>
      <c r="S393" s="51" t="n"/>
      <c r="T393" s="52">
        <f>IF(G393="","",G393)</f>
        <v/>
      </c>
      <c r="U393" s="52">
        <f>IF(C393="","",IF(OR(ISNUMBER(SEARCH("Director",C393)),ISNUMBER(SEARCH("Lead",C393)),ISNUMBER(SEARCH("Senior",C393)),ISNUMBER(SEARCH("Sr.",C393))),90,IF(OR(ISNUMBER(SEARCH("Manager",C393)),ISNUMBER(SEARCH("Program",C393)),ISNUMBER(SEARCH("Portfolio",C393))),80,60)))</f>
        <v/>
      </c>
      <c r="V393" s="52">
        <f>IF(C393="","",IF(OR(ISNUMBER(SEARCH("AI",C393)),ISNUMBER(SEARCH("Data",C393)),ISNUMBER(SEARCH("Technology",C393)),ISNUMBER(SEARCH("Technical",C393)),ISNUMBER(SEARCH("Engineering",C393)),ISNUMBER(SEARCH("Platform",C393)),ISNUMBER(SEARCH("Portfolio",C393))),85,65))</f>
        <v/>
      </c>
      <c r="W393" s="52">
        <f>IF(C393="","",MIN(100,50+IF(S393&lt;&gt;"",25,0)+IF(R393&lt;&gt;"",15,0)+IF(P393&lt;&gt;"",10,0)))</f>
        <v/>
      </c>
      <c r="X393" s="52">
        <f>IF(E393="","",IF(OR(E393="Canada",E393="CA"),100,IF(OR(E393="United States",E393="USA",E393="US"),IF(J393="Yes",45,75),65)))</f>
        <v/>
      </c>
      <c r="Y393" s="52">
        <f>IF(C393="","",IF(OR(ISNUMBER(SEARCH("Program",C393)),ISNUMBER(SEARCH("Portfolio",C393)),ISNUMBER(SEARCH("Operations",C393)),ISNUMBER(SEARCH("Transformation",C393))),85,IF(ISNUMBER(SEARCH("Product Manager",C393)),55,70)))</f>
        <v/>
      </c>
      <c r="Z393" s="52">
        <f>IF(C393="","",MIN(100,IF(I393&lt;&gt;"",60,10)+IF(AA393&gt;0,MIN(40,AA393*20),0)))</f>
        <v/>
      </c>
      <c r="AA393" s="52">
        <f>IF(T393="","",ROUND(T393*25%+U393*15%+V393*10%+W393*15%+X393*15%+Y393*10%+Z393*10%,0))</f>
        <v/>
      </c>
      <c r="AB393" s="52">
        <f>IF(AA393="","",IF(X393&lt;50,"Selective / Barrier",IF(AA393&gt;=80,"Tier 1 - Pursue",IF(AA393&gt;=70,"Tier 2 - Pursue",IF(AA393&gt;=60,"Tier 3 - Selective","Do Not Pursue")))))</f>
        <v/>
      </c>
      <c r="AC393" s="52">
        <f>IF(C393="","",IF(I393&lt;&gt;"","Named Contact",IF(AA393&gt;0,"Outreach Logged","Cold")))</f>
        <v/>
      </c>
      <c r="AD393" s="52">
        <f>IF(B393="","",COUNTIF('Outreach Log'!$C:$C,B393))</f>
        <v/>
      </c>
      <c r="AE393" s="52">
        <f>IF(A393="","",IF(OR(K393="Rejected",K393="Closed"),IF(L393&lt;&gt;"",L393-A393,TODAY()-A393),TODAY()-A393))</f>
        <v/>
      </c>
      <c r="AF393" s="52">
        <f>IF(C393="","",IF(AND(AA393&gt;=70,AC393="Cold"),"High-fit but cold",IF(AND(AA393&lt;60,K393="Applied"),"Low-fit application",IF(AND(AA393&gt;=70,OR(AC393="Named Contact",AC393="Outreach Logged")),"Targeted pursuit","Review"))))</f>
        <v/>
      </c>
    </row>
    <row r="394" ht="15" customHeight="1" s="44">
      <c r="A394" s="53" t="n">
        <v>46278</v>
      </c>
      <c r="B394" s="48" t="inlineStr">
        <is>
          <t>ML6 Search + Talent Advisory</t>
        </is>
      </c>
      <c r="C394" s="48" t="inlineStr">
        <is>
          <t>Senior Manager, AI</t>
        </is>
      </c>
      <c r="D394" s="48" t="inlineStr">
        <is>
          <t>Sr Manager</t>
        </is>
      </c>
      <c r="E394" s="48" t="inlineStr">
        <is>
          <t>Canada</t>
        </is>
      </c>
      <c r="F394" s="48" t="inlineStr">
        <is>
          <t>Greater Toronto Area (Hybrid)</t>
        </is>
      </c>
      <c r="G394" s="48" t="n"/>
      <c r="H394" s="48" t="inlineStr">
        <is>
          <t>LinkedIn Easy Apply</t>
        </is>
      </c>
      <c r="I394" s="48" t="n"/>
      <c r="J394" s="48" t="inlineStr">
        <is>
          <t>No</t>
        </is>
      </c>
      <c r="K394" s="55" t="inlineStr">
        <is>
          <t>Applied</t>
        </is>
      </c>
      <c r="L394" s="48" t="n"/>
      <c r="M394" s="48">
        <f>IF(OR(L243="",A243=""),"",L243-A243)</f>
        <v/>
      </c>
      <c r="N394" s="48" t="n"/>
      <c r="O394" s="48" t="n"/>
      <c r="P394" s="51" t="inlineStr">
        <is>
          <t>Applied 2026-09-13 via LinkedIn. ML6 Search + Talent Advisory is a recruiting/search firm; role is Senior Manager, AI. Confirmed via LinkedIn application confirmation screenshot.</t>
        </is>
      </c>
      <c r="Q394" s="48" t="n"/>
      <c r="R394" s="48" t="n"/>
      <c r="S394" s="51" t="n"/>
      <c r="T394" s="52">
        <f>IF(G394="","",G394)</f>
        <v/>
      </c>
      <c r="U394" s="52">
        <f>IF(C394="","",IF(OR(ISNUMBER(SEARCH("Director",C394)),ISNUMBER(SEARCH("Lead",C394)),ISNUMBER(SEARCH("Senior",C394)),ISNUMBER(SEARCH("Sr.",C394))),90,IF(OR(ISNUMBER(SEARCH("Manager",C394)),ISNUMBER(SEARCH("Program",C394)),ISNUMBER(SEARCH("Portfolio",C394))),80,60)))</f>
        <v/>
      </c>
      <c r="V394" s="52">
        <f>IF(C394="","",IF(OR(ISNUMBER(SEARCH("AI",C394)),ISNUMBER(SEARCH("Data",C394)),ISNUMBER(SEARCH("Technology",C394)),ISNUMBER(SEARCH("Technical",C394)),ISNUMBER(SEARCH("Engineering",C394)),ISNUMBER(SEARCH("Platform",C394)),ISNUMBER(SEARCH("Portfolio",C394))),85,65))</f>
        <v/>
      </c>
      <c r="W394" s="52">
        <f>IF(C394="","",MIN(100,50+IF(S394&lt;&gt;"",25,0)+IF(R394&lt;&gt;"",15,0)+IF(P394&lt;&gt;"",10,0)))</f>
        <v/>
      </c>
      <c r="X394" s="52">
        <f>IF(E394="","",IF(OR(E394="Canada",E394="CA"),100,IF(OR(E394="United States",E394="USA",E394="US"),IF(J394="Yes",45,75),65)))</f>
        <v/>
      </c>
      <c r="Y394" s="52">
        <f>IF(C394="","",IF(OR(ISNUMBER(SEARCH("Program",C394)),ISNUMBER(SEARCH("Portfolio",C394)),ISNUMBER(SEARCH("Operations",C394)),ISNUMBER(SEARCH("Transformation",C394))),85,IF(ISNUMBER(SEARCH("Product Manager",C394)),55,70)))</f>
        <v/>
      </c>
      <c r="Z394" s="52">
        <f>IF(C394="","",MIN(100,IF(I394&lt;&gt;"",60,10)+IF(AA394&gt;0,MIN(40,AA394*20),0)))</f>
        <v/>
      </c>
      <c r="AA394" s="52">
        <f>IF(T394="","",ROUND(T394*25%+U394*15%+V394*10%+W394*15%+X394*15%+Y394*10%+Z394*10%,0))</f>
        <v/>
      </c>
      <c r="AB394" s="52">
        <f>IF(AA394="","",IF(X394&lt;50,"Selective / Barrier",IF(AA394&gt;=80,"Tier 1 - Pursue",IF(AA394&gt;=70,"Tier 2 - Pursue",IF(AA394&gt;=60,"Tier 3 - Selective","Do Not Pursue")))))</f>
        <v/>
      </c>
      <c r="AC394" s="52">
        <f>IF(C394="","",IF(I394&lt;&gt;"","Named Contact",IF(AA394&gt;0,"Outreach Logged","Cold")))</f>
        <v/>
      </c>
      <c r="AD394" s="52">
        <f>IF(B394="","",COUNTIF('Outreach Log'!$C:$C,B394))</f>
        <v/>
      </c>
      <c r="AE394" s="52">
        <f>IF(A394="","",IF(OR(K394="Rejected",K394="Closed"),IF(L394&lt;&gt;"",L394-A394,TODAY()-A394),TODAY()-A394))</f>
        <v/>
      </c>
      <c r="AF394" s="52">
        <f>IF(C394="","",IF(AND(AA394&gt;=70,AC394="Cold"),"High-fit but cold",IF(AND(AA394&lt;60,K394="Applied"),"Low-fit application",IF(AND(AA394&gt;=70,OR(AC394="Named Contact",AC394="Outreach Logged")),"Targeted pursuit","Review"))))</f>
        <v/>
      </c>
    </row>
    <row r="395" ht="15" customHeight="1" s="44">
      <c r="A395" s="53" t="n">
        <v>46278</v>
      </c>
      <c r="B395" s="48" t="inlineStr">
        <is>
          <t>eBay</t>
        </is>
      </c>
      <c r="C395" s="48" t="inlineStr">
        <is>
          <t>Principal Program Mgr, Depop Synergies (R0076176)</t>
        </is>
      </c>
      <c r="D395" s="48" t="inlineStr">
        <is>
          <t>Principal</t>
        </is>
      </c>
      <c r="E395" s="48" t="inlineStr">
        <is>
          <t>Canada</t>
        </is>
      </c>
      <c r="F395" s="48" t="inlineStr">
        <is>
          <t>Toronto</t>
        </is>
      </c>
      <c r="G395" s="48" t="n">
        <v>78</v>
      </c>
      <c r="H395" s="48" t="inlineStr">
        <is>
          <t>Cold Portal</t>
        </is>
      </c>
      <c r="I395" s="48" t="n"/>
      <c r="J395" s="48" t="inlineStr">
        <is>
          <t>No</t>
        </is>
      </c>
      <c r="K395" s="55" t="inlineStr">
        <is>
          <t>Applied</t>
        </is>
      </c>
      <c r="L395" s="48" t="n"/>
      <c r="M395" s="48">
        <f>IF(OR(L244="",A244=""),"",L244-A244)</f>
        <v/>
      </c>
      <c r="N395" s="48" t="n"/>
      <c r="O395" s="48" t="n"/>
      <c r="P395" s="51" t="inlineStr">
        <is>
          <t>Applied 2026-09-13 via jobs.ebayinc.com (req R0076176), based on Depop synergy work post-acquisition. No confirmation email received yet. | Confirmed by Elena 2026-09-13: role is Canada-based (Toronto). | Est. fit score: 78 — strong Program Manager title match; Depop post-acquisition integration focus parallels her Bell Customer Profile consolidation work (unifying fragmented systems). Principal level aligns with Sr TPM/Director targeting. Docked slightly for no direct named M&amp;A-integration precedent.</t>
        </is>
      </c>
      <c r="Q395" s="48" t="n"/>
      <c r="R395" s="48" t="n"/>
      <c r="S395" s="51" t="n"/>
      <c r="T395" s="52">
        <f>IF(G395="","",G395)</f>
        <v/>
      </c>
      <c r="U395" s="52">
        <f>IF(C395="","",IF(OR(ISNUMBER(SEARCH("Director",C395)),ISNUMBER(SEARCH("Lead",C395)),ISNUMBER(SEARCH("Senior",C395)),ISNUMBER(SEARCH("Sr.",C395))),90,IF(OR(ISNUMBER(SEARCH("Manager",C395)),ISNUMBER(SEARCH("Program",C395)),ISNUMBER(SEARCH("Portfolio",C395))),80,60)))</f>
        <v/>
      </c>
      <c r="V395" s="52">
        <f>IF(C395="","",IF(OR(ISNUMBER(SEARCH("AI",C395)),ISNUMBER(SEARCH("Data",C395)),ISNUMBER(SEARCH("Technology",C395)),ISNUMBER(SEARCH("Technical",C395)),ISNUMBER(SEARCH("Engineering",C395)),ISNUMBER(SEARCH("Platform",C395)),ISNUMBER(SEARCH("Portfolio",C395))),85,65))</f>
        <v/>
      </c>
      <c r="W395" s="52">
        <f>IF(C395="","",MIN(100,50+IF(S395&lt;&gt;"",25,0)+IF(R395&lt;&gt;"",15,0)+IF(P395&lt;&gt;"",10,0)))</f>
        <v/>
      </c>
      <c r="X395" s="52">
        <f>IF(E395="","",IF(OR(E395="Canada",E395="CA"),100,IF(OR(E395="United States",E395="USA",E395="US"),IF(J395="Yes",45,75),65)))</f>
        <v/>
      </c>
      <c r="Y395" s="52">
        <f>IF(C395="","",IF(OR(ISNUMBER(SEARCH("Program",C395)),ISNUMBER(SEARCH("Portfolio",C395)),ISNUMBER(SEARCH("Operations",C395)),ISNUMBER(SEARCH("Transformation",C395))),85,IF(ISNUMBER(SEARCH("Product Manager",C395)),55,70)))</f>
        <v/>
      </c>
      <c r="Z395" s="52">
        <f>IF(C395="","",MIN(100,IF(I395&lt;&gt;"",60,10)+IF(AA395&gt;0,MIN(40,AA395*20),0)))</f>
        <v/>
      </c>
      <c r="AA395" s="52">
        <f>IF(T395="","",ROUND(T395*25%+U395*15%+V395*10%+W395*15%+X395*15%+Y395*10%+Z395*10%,0))</f>
        <v/>
      </c>
      <c r="AB395" s="52">
        <f>IF(AA395="","",IF(X395&lt;50,"Selective / Barrier",IF(AA395&gt;=80,"Tier 1 - Pursue",IF(AA395&gt;=70,"Tier 2 - Pursue",IF(AA395&gt;=60,"Tier 3 - Selective","Do Not Pursue")))))</f>
        <v/>
      </c>
      <c r="AC395" s="52">
        <f>IF(C395="","",IF(I395&lt;&gt;"","Named Contact",IF(AA395&gt;0,"Outreach Logged","Cold")))</f>
        <v/>
      </c>
      <c r="AD395" s="52">
        <f>IF(B395="","",COUNTIF('Outreach Log'!$C:$C,B395))</f>
        <v/>
      </c>
      <c r="AE395" s="52">
        <f>IF(A395="","",IF(OR(K395="Rejected",K395="Closed"),IF(L395&lt;&gt;"",L395-A395,TODAY()-A395),TODAY()-A395))</f>
        <v/>
      </c>
      <c r="AF395" s="52">
        <f>IF(C395="","",IF(AND(AA395&gt;=70,AC395="Cold"),"High-fit but cold",IF(AND(AA395&lt;60,K395="Applied"),"Low-fit application",IF(AND(AA395&gt;=70,OR(AC395="Named Contact",AC395="Outreach Logged")),"Targeted pursuit","Review"))))</f>
        <v/>
      </c>
    </row>
    <row r="396" ht="15" customHeight="1" s="44">
      <c r="A396" s="53" t="n">
        <v>46278</v>
      </c>
      <c r="B396" s="48" t="inlineStr">
        <is>
          <t>OpenText</t>
        </is>
      </c>
      <c r="C396" s="48" t="inlineStr">
        <is>
          <t>Sr. Director, Product Management - Portfolio</t>
        </is>
      </c>
      <c r="D396" s="48" t="n"/>
      <c r="E396" s="48" t="n"/>
      <c r="F396" s="48" t="n"/>
      <c r="G396" s="48" t="n"/>
      <c r="H396" s="48" t="n"/>
      <c r="I396" s="48" t="n"/>
      <c r="J396" s="48" t="n"/>
      <c r="K396" s="55" t="inlineStr">
        <is>
          <t>Applied</t>
        </is>
      </c>
      <c r="L396" s="48" t="n"/>
      <c r="M396" s="48" t="n"/>
      <c r="N396" s="48" t="n"/>
      <c r="O396" s="48" t="n"/>
      <c r="P396" s="51" t="inlineStr">
        <is>
          <t>'Still under review' follow-up received Sep 10</t>
        </is>
      </c>
      <c r="Q396" s="48" t="n"/>
      <c r="R396" s="48" t="n"/>
      <c r="S396" s="51" t="n"/>
      <c r="T396" s="52">
        <f>IF(G396="","",G396)</f>
        <v/>
      </c>
      <c r="U396" s="52">
        <f>IF(C396="","",IF(OR(ISNUMBER(SEARCH("Director",C396)),ISNUMBER(SEARCH("Lead",C396)),ISNUMBER(SEARCH("Senior",C396)),ISNUMBER(SEARCH("Sr.",C396))),90,IF(OR(ISNUMBER(SEARCH("Manager",C396)),ISNUMBER(SEARCH("Program",C396)),ISNUMBER(SEARCH("Portfolio",C396))),80,60)))</f>
        <v/>
      </c>
      <c r="V396" s="52">
        <f>IF(C396="","",IF(OR(ISNUMBER(SEARCH("AI",C396)),ISNUMBER(SEARCH("Data",C396)),ISNUMBER(SEARCH("Technology",C396)),ISNUMBER(SEARCH("Technical",C396)),ISNUMBER(SEARCH("Engineering",C396)),ISNUMBER(SEARCH("Platform",C396)),ISNUMBER(SEARCH("Portfolio",C396))),85,65))</f>
        <v/>
      </c>
      <c r="W396" s="52">
        <f>IF(C396="","",MIN(100,50+IF(S396&lt;&gt;"",25,0)+IF(R396&lt;&gt;"",15,0)+IF(P396&lt;&gt;"",10,0)))</f>
        <v/>
      </c>
      <c r="X396" s="52">
        <f>IF(E396="","",IF(OR(E396="Canada",E396="CA"),100,IF(OR(E396="United States",E396="USA",E396="US"),IF(J396="Yes",45,75),65)))</f>
        <v/>
      </c>
      <c r="Y396" s="52">
        <f>IF(C396="","",IF(OR(ISNUMBER(SEARCH("Program",C396)),ISNUMBER(SEARCH("Portfolio",C396)),ISNUMBER(SEARCH("Operations",C396)),ISNUMBER(SEARCH("Transformation",C396))),85,IF(ISNUMBER(SEARCH("Product Manager",C396)),55,70)))</f>
        <v/>
      </c>
      <c r="Z396" s="52">
        <f>IF(C396="","",MIN(100,IF(I396&lt;&gt;"",60,10)+IF(AA396&gt;0,MIN(40,AA396*20),0)))</f>
        <v/>
      </c>
      <c r="AA396" s="52">
        <f>IF(T396="","",ROUND(T396*25%+U396*15%+V396*10%+W396*15%+X396*15%+Y396*10%+Z396*10%,0))</f>
        <v/>
      </c>
      <c r="AB396" s="52">
        <f>IF(AA396="","",IF(X396&lt;50,"Selective / Barrier",IF(AA396&gt;=80,"Tier 1 - Pursue",IF(AA396&gt;=70,"Tier 2 - Pursue",IF(AA396&gt;=60,"Tier 3 - Selective","Do Not Pursue")))))</f>
        <v/>
      </c>
      <c r="AC396" s="52">
        <f>IF(C396="","",IF(I396&lt;&gt;"","Named Contact",IF(AA396&gt;0,"Outreach Logged","Cold")))</f>
        <v/>
      </c>
      <c r="AD396" s="52">
        <f>IF(B396="","",COUNTIF('Outreach Log'!$C:$C,B396))</f>
        <v/>
      </c>
      <c r="AE396" s="52">
        <f>IF(A396="","",IF(OR(K396="Rejected",K396="Closed"),IF(L396&lt;&gt;"",L396-A396,TODAY()-A396),TODAY()-A396))</f>
        <v/>
      </c>
      <c r="AF396" s="52">
        <f>IF(C396="","",IF(AND(AA396&gt;=70,AC396="Cold"),"High-fit but cold",IF(AND(AA396&lt;60,K396="Applied"),"Low-fit application",IF(AND(AA396&gt;=70,OR(AC396="Named Contact",AC396="Outreach Logged")),"Targeted pursuit","Review"))))</f>
        <v/>
      </c>
    </row>
    <row r="397" ht="15" customHeight="1" s="44">
      <c r="A397" s="53" t="n">
        <v>46279</v>
      </c>
      <c r="B397" s="48" t="inlineStr">
        <is>
          <t>Lightspeed</t>
        </is>
      </c>
      <c r="C397" s="48" t="inlineStr">
        <is>
          <t>Staff Technical Program Manager - PDLC</t>
        </is>
      </c>
      <c r="D397" s="48" t="inlineStr">
        <is>
          <t>Sr TPM</t>
        </is>
      </c>
      <c r="E397" s="48" t="inlineStr">
        <is>
          <t>Canada</t>
        </is>
      </c>
      <c r="F397" s="48" t="inlineStr">
        <is>
          <t>Toronto</t>
        </is>
      </c>
      <c r="G397" s="48" t="n">
        <v>78</v>
      </c>
      <c r="H397" s="48" t="inlineStr">
        <is>
          <t>Cold Portal</t>
        </is>
      </c>
      <c r="I397" s="48" t="n"/>
      <c r="J397" s="48" t="inlineStr">
        <is>
          <t>No</t>
        </is>
      </c>
      <c r="K397" s="55" t="inlineStr">
        <is>
          <t>Applied</t>
        </is>
      </c>
      <c r="L397" s="48" t="n"/>
      <c r="M397" s="48">
        <f>IF(OR(L245="",A245=""),"",L245-A245)</f>
        <v/>
      </c>
      <c r="N397" s="48" t="n"/>
      <c r="O397" s="48" t="n"/>
      <c r="P397" s="51" t="inlineStr">
        <is>
          <t>Applied 2026-09-14 (confirmed by Elena; confirmation email arrived 12:14 AM ET same day). Lightspeed Commerce is Montreal-headquartered; role confirmed as Toronto-based. Role corrected by Elena 2026-09-14: Staff Technical Program Manager - PDLC (Product Development Life Cycle) — not Strategy Director as initially assumed from job-alert history. Est. fit score: 78 — strong match: Staff-level TPM owning PDLC process mirrors her hardware/software delivery governance experience (Bell payments platform architecture, IBM tooling delivery), and "PDLC" ownership aligns closely with her track record of introducing structure/cadence to underperforming delivery teams.</t>
        </is>
      </c>
      <c r="Q397" s="48" t="n"/>
      <c r="R397" s="48" t="n"/>
      <c r="S397" s="51" t="n"/>
      <c r="T397" s="52">
        <f>IF(G397="","",G397)</f>
        <v/>
      </c>
      <c r="U397" s="52">
        <f>IF(C397="","",IF(OR(ISNUMBER(SEARCH("Director",C397)),ISNUMBER(SEARCH("Lead",C397)),ISNUMBER(SEARCH("Senior",C397)),ISNUMBER(SEARCH("Sr.",C397))),90,IF(OR(ISNUMBER(SEARCH("Manager",C397)),ISNUMBER(SEARCH("Program",C397)),ISNUMBER(SEARCH("Portfolio",C397))),80,60)))</f>
        <v/>
      </c>
      <c r="V397" s="52">
        <f>IF(C397="","",IF(OR(ISNUMBER(SEARCH("AI",C397)),ISNUMBER(SEARCH("Data",C397)),ISNUMBER(SEARCH("Technology",C397)),ISNUMBER(SEARCH("Technical",C397)),ISNUMBER(SEARCH("Engineering",C397)),ISNUMBER(SEARCH("Platform",C397)),ISNUMBER(SEARCH("Portfolio",C397))),85,65))</f>
        <v/>
      </c>
      <c r="W397" s="52">
        <f>IF(C397="","",MIN(100,50+IF(S397&lt;&gt;"",25,0)+IF(R397&lt;&gt;"",15,0)+IF(P397&lt;&gt;"",10,0)))</f>
        <v/>
      </c>
      <c r="X397" s="52">
        <f>IF(E397="","",IF(OR(E397="Canada",E397="CA"),100,IF(OR(E397="United States",E397="USA",E397="US"),IF(J397="Yes",45,75),65)))</f>
        <v/>
      </c>
      <c r="Y397" s="52">
        <f>IF(C397="","",IF(OR(ISNUMBER(SEARCH("Program",C397)),ISNUMBER(SEARCH("Portfolio",C397)),ISNUMBER(SEARCH("Operations",C397)),ISNUMBER(SEARCH("Transformation",C397))),85,IF(ISNUMBER(SEARCH("Product Manager",C397)),55,70)))</f>
        <v/>
      </c>
      <c r="Z397" s="52">
        <f>IF(C397="","",MIN(100,IF(I397&lt;&gt;"",60,10)+IF(AA397&gt;0,MIN(40,AA397*20),0)))</f>
        <v/>
      </c>
      <c r="AA397" s="52">
        <f>IF(T397="","",ROUND(T397*25%+U397*15%+V397*10%+W397*15%+X397*15%+Y397*10%+Z397*10%,0))</f>
        <v/>
      </c>
      <c r="AB397" s="52">
        <f>IF(AA397="","",IF(X397&lt;50,"Selective / Barrier",IF(AA397&gt;=80,"Tier 1 - Pursue",IF(AA397&gt;=70,"Tier 2 - Pursue",IF(AA397&gt;=60,"Tier 3 - Selective","Do Not Pursue")))))</f>
        <v/>
      </c>
      <c r="AC397" s="52">
        <f>IF(C397="","",IF(I397&lt;&gt;"","Named Contact",IF(AA397&gt;0,"Outreach Logged","Cold")))</f>
        <v/>
      </c>
      <c r="AD397" s="52">
        <f>IF(B397="","",COUNTIF('Outreach Log'!$C:$C,B397))</f>
        <v/>
      </c>
      <c r="AE397" s="52">
        <f>IF(A397="","",IF(OR(K397="Rejected",K397="Closed"),IF(L397&lt;&gt;"",L397-A397,TODAY()-A397),TODAY()-A397))</f>
        <v/>
      </c>
      <c r="AF397" s="52">
        <f>IF(C397="","",IF(AND(AA397&gt;=70,AC397="Cold"),"High-fit but cold",IF(AND(AA397&lt;60,K397="Applied"),"Low-fit application",IF(AND(AA397&gt;=70,OR(AC397="Named Contact",AC397="Outreach Logged")),"Targeted pursuit","Review"))))</f>
        <v/>
      </c>
    </row>
    <row r="398" ht="15" customHeight="1" s="44">
      <c r="A398" s="53" t="n">
        <v>46279</v>
      </c>
      <c r="B398" s="48" t="inlineStr">
        <is>
          <t>Google</t>
        </is>
      </c>
      <c r="C398" s="48" t="inlineStr">
        <is>
          <t>Gestionnaire de programme, Google Public Sector (Program Manager)</t>
        </is>
      </c>
      <c r="D398" s="48" t="inlineStr">
        <is>
          <t>Manager</t>
        </is>
      </c>
      <c r="E398" s="48" t="inlineStr">
        <is>
          <t>Canada</t>
        </is>
      </c>
      <c r="F398" s="48" t="inlineStr">
        <is>
          <t>Toronto</t>
        </is>
      </c>
      <c r="G398" s="48" t="n">
        <v>76</v>
      </c>
      <c r="H398" s="48" t="inlineStr">
        <is>
          <t>Cold Portal</t>
        </is>
      </c>
      <c r="I398" s="48" t="n"/>
      <c r="J398" s="48" t="inlineStr">
        <is>
          <t>No</t>
        </is>
      </c>
      <c r="K398" s="55" t="inlineStr">
        <is>
          <t>Applied</t>
        </is>
      </c>
      <c r="L398" s="48" t="n"/>
      <c r="M398" s="48">
        <f>IF(OR(L246="",A246=""),"",L246-A246)</f>
        <v/>
      </c>
      <c r="N398" s="48" t="n"/>
      <c r="O398" s="48" t="n"/>
      <c r="P398" s="51" t="inlineStr">
        <is>
          <t>Applied 2026-09-14. Confirmed by Elena 2026-09-14: role is Toronto-based. (Title remains in French per original posting; French-fluency requirement still worth verifying given the language of the listing.) | Est. fit score: 76 — Program Manager title matches core skill set; genuine public-sector precedent via IBM Canada (Curam delivery for Alberta Ministry of Youth and Children Services) is a real differentiator. Docked for Manager level (below recent Director targeting) and an open question on whether the French-language posting requires French fluency — verify before investing further.</t>
        </is>
      </c>
      <c r="Q398" s="48" t="n"/>
      <c r="R398" s="48" t="n"/>
      <c r="S398" s="51" t="n"/>
      <c r="T398" s="52">
        <f>IF(G398="","",G398)</f>
        <v/>
      </c>
      <c r="U398" s="52">
        <f>IF(C398="","",IF(OR(ISNUMBER(SEARCH("Director",C398)),ISNUMBER(SEARCH("Lead",C398)),ISNUMBER(SEARCH("Senior",C398)),ISNUMBER(SEARCH("Sr.",C398))),90,IF(OR(ISNUMBER(SEARCH("Manager",C398)),ISNUMBER(SEARCH("Program",C398)),ISNUMBER(SEARCH("Portfolio",C398))),80,60)))</f>
        <v/>
      </c>
      <c r="V398" s="52">
        <f>IF(C398="","",IF(OR(ISNUMBER(SEARCH("AI",C398)),ISNUMBER(SEARCH("Data",C398)),ISNUMBER(SEARCH("Technology",C398)),ISNUMBER(SEARCH("Technical",C398)),ISNUMBER(SEARCH("Engineering",C398)),ISNUMBER(SEARCH("Platform",C398)),ISNUMBER(SEARCH("Portfolio",C398))),85,65))</f>
        <v/>
      </c>
      <c r="W398" s="52">
        <f>IF(C398="","",MIN(100,50+IF(S398&lt;&gt;"",25,0)+IF(R398&lt;&gt;"",15,0)+IF(P398&lt;&gt;"",10,0)))</f>
        <v/>
      </c>
      <c r="X398" s="52">
        <f>IF(E398="","",IF(OR(E398="Canada",E398="CA"),100,IF(OR(E398="United States",E398="USA",E398="US"),IF(J398="Yes",45,75),65)))</f>
        <v/>
      </c>
      <c r="Y398" s="52">
        <f>IF(C398="","",IF(OR(ISNUMBER(SEARCH("Program",C398)),ISNUMBER(SEARCH("Portfolio",C398)),ISNUMBER(SEARCH("Operations",C398)),ISNUMBER(SEARCH("Transformation",C398))),85,IF(ISNUMBER(SEARCH("Product Manager",C398)),55,70)))</f>
        <v/>
      </c>
      <c r="Z398" s="52">
        <f>IF(C398="","",MIN(100,IF(I398&lt;&gt;"",60,10)+IF(AA398&gt;0,MIN(40,AA398*20),0)))</f>
        <v/>
      </c>
      <c r="AA398" s="52">
        <f>IF(T398="","",ROUND(T398*25%+U398*15%+V398*10%+W398*15%+X398*15%+Y398*10%+Z398*10%,0))</f>
        <v/>
      </c>
      <c r="AB398" s="52">
        <f>IF(AA398="","",IF(X398&lt;50,"Selective / Barrier",IF(AA398&gt;=80,"Tier 1 - Pursue",IF(AA398&gt;=70,"Tier 2 - Pursue",IF(AA398&gt;=60,"Tier 3 - Selective","Do Not Pursue")))))</f>
        <v/>
      </c>
      <c r="AC398" s="52">
        <f>IF(C398="","",IF(I398&lt;&gt;"","Named Contact",IF(AA398&gt;0,"Outreach Logged","Cold")))</f>
        <v/>
      </c>
      <c r="AD398" s="52">
        <f>IF(B398="","",COUNTIF('Outreach Log'!$C:$C,B398))</f>
        <v/>
      </c>
      <c r="AE398" s="52">
        <f>IF(A398="","",IF(OR(K398="Rejected",K398="Closed"),IF(L398&lt;&gt;"",L398-A398,TODAY()-A398),TODAY()-A398))</f>
        <v/>
      </c>
      <c r="AF398" s="52">
        <f>IF(C398="","",IF(AND(AA398&gt;=70,AC398="Cold"),"High-fit but cold",IF(AND(AA398&lt;60,K398="Applied"),"Low-fit application",IF(AND(AA398&gt;=70,OR(AC398="Named Contact",AC398="Outreach Logged")),"Targeted pursuit","Review"))))</f>
        <v/>
      </c>
    </row>
    <row r="399" ht="15" customHeight="1" s="44">
      <c r="A399" s="53" t="n">
        <v>46279</v>
      </c>
      <c r="B399" s="48" t="inlineStr">
        <is>
          <t>Guidewire Software</t>
        </is>
      </c>
      <c r="C399" s="48" t="inlineStr">
        <is>
          <t>Technical Program Manager - Implementation Lead</t>
        </is>
      </c>
      <c r="D399" s="48" t="inlineStr">
        <is>
          <t>Sr TPM</t>
        </is>
      </c>
      <c r="E399" s="48" t="inlineStr">
        <is>
          <t>Canada</t>
        </is>
      </c>
      <c r="F399" s="48" t="inlineStr">
        <is>
          <t>Toronto</t>
        </is>
      </c>
      <c r="G399" s="48" t="n">
        <v>70</v>
      </c>
      <c r="H399" s="48" t="inlineStr">
        <is>
          <t>Cold Portal</t>
        </is>
      </c>
      <c r="I399" s="48" t="n"/>
      <c r="J399" s="48" t="inlineStr">
        <is>
          <t>No</t>
        </is>
      </c>
      <c r="K399" s="55" t="inlineStr">
        <is>
          <t>Applied</t>
        </is>
      </c>
      <c r="L399" s="48" t="n"/>
      <c r="M399" s="48">
        <f>IF(OR(L247="",A247=""),"",L247-A247)</f>
        <v/>
      </c>
      <c r="N399" s="48" t="n"/>
      <c r="O399" s="48" t="n"/>
      <c r="P399" s="51" t="inlineStr">
        <is>
          <t>Applied 2026-09-14 (confirmation email via guidewire@myworkday.com). Distinct from row 141 (Guidewire, Engagement Manager - GWCP Professional Services, applied 8/12) — separate role, same company. Est. fit score: 70 — TPM Implementation Lead is a direct title match for her delivery-execution track; docked slightly since Guidewire is insurance-software specific and she has no named insurance-vertical precedent.</t>
        </is>
      </c>
      <c r="Q399" s="48" t="n"/>
      <c r="R399" s="48" t="n"/>
      <c r="S399" s="51" t="n"/>
      <c r="T399" s="52">
        <f>IF(G399="","",G399)</f>
        <v/>
      </c>
      <c r="U399" s="52">
        <f>IF(C399="","",IF(OR(ISNUMBER(SEARCH("Director",C399)),ISNUMBER(SEARCH("Lead",C399)),ISNUMBER(SEARCH("Senior",C399)),ISNUMBER(SEARCH("Sr.",C399))),90,IF(OR(ISNUMBER(SEARCH("Manager",C399)),ISNUMBER(SEARCH("Program",C399)),ISNUMBER(SEARCH("Portfolio",C399))),80,60)))</f>
        <v/>
      </c>
      <c r="V399" s="52">
        <f>IF(C399="","",IF(OR(ISNUMBER(SEARCH("AI",C399)),ISNUMBER(SEARCH("Data",C399)),ISNUMBER(SEARCH("Technology",C399)),ISNUMBER(SEARCH("Technical",C399)),ISNUMBER(SEARCH("Engineering",C399)),ISNUMBER(SEARCH("Platform",C399)),ISNUMBER(SEARCH("Portfolio",C399))),85,65))</f>
        <v/>
      </c>
      <c r="W399" s="52">
        <f>IF(C399="","",MIN(100,50+IF(S399&lt;&gt;"",25,0)+IF(R399&lt;&gt;"",15,0)+IF(P399&lt;&gt;"",10,0)))</f>
        <v/>
      </c>
      <c r="X399" s="52">
        <f>IF(E399="","",IF(OR(E399="Canada",E399="CA"),100,IF(OR(E399="United States",E399="USA",E399="US"),IF(J399="Yes",45,75),65)))</f>
        <v/>
      </c>
      <c r="Y399" s="52">
        <f>IF(C399="","",IF(OR(ISNUMBER(SEARCH("Program",C399)),ISNUMBER(SEARCH("Portfolio",C399)),ISNUMBER(SEARCH("Operations",C399)),ISNUMBER(SEARCH("Transformation",C399))),85,IF(ISNUMBER(SEARCH("Product Manager",C399)),55,70)))</f>
        <v/>
      </c>
      <c r="Z399" s="52">
        <f>IF(C399="","",MIN(100,IF(I399&lt;&gt;"",60,10)+IF(AA399&gt;0,MIN(40,AA399*20),0)))</f>
        <v/>
      </c>
      <c r="AA399" s="52">
        <f>IF(T399="","",ROUND(T399*25%+U399*15%+V399*10%+W399*15%+X399*15%+Y399*10%+Z399*10%,0))</f>
        <v/>
      </c>
      <c r="AB399" s="52">
        <f>IF(AA399="","",IF(X399&lt;50,"Selective / Barrier",IF(AA399&gt;=80,"Tier 1 - Pursue",IF(AA399&gt;=70,"Tier 2 - Pursue",IF(AA399&gt;=60,"Tier 3 - Selective","Do Not Pursue")))))</f>
        <v/>
      </c>
      <c r="AC399" s="52">
        <f>IF(C399="","",IF(I399&lt;&gt;"","Named Contact",IF(AA399&gt;0,"Outreach Logged","Cold")))</f>
        <v/>
      </c>
      <c r="AD399" s="52">
        <f>IF(B399="","",COUNTIF('Outreach Log'!$C:$C,B399))</f>
        <v/>
      </c>
      <c r="AE399" s="52">
        <f>IF(A399="","",IF(OR(K399="Rejected",K399="Closed"),IF(L399&lt;&gt;"",L399-A399,TODAY()-A399),TODAY()-A399))</f>
        <v/>
      </c>
      <c r="AF399" s="52">
        <f>IF(C399="","",IF(AND(AA399&gt;=70,AC399="Cold"),"High-fit but cold",IF(AND(AA399&lt;60,K399="Applied"),"Low-fit application",IF(AND(AA399&gt;=70,OR(AC399="Named Contact",AC399="Outreach Logged")),"Targeted pursuit","Review"))))</f>
        <v/>
      </c>
    </row>
    <row r="400" ht="15" customHeight="1" s="44">
      <c r="A400" s="53" t="n">
        <v>46279</v>
      </c>
      <c r="B400" s="48" t="inlineStr">
        <is>
          <t>Electronic Arts</t>
        </is>
      </c>
      <c r="C400" s="48" t="inlineStr">
        <is>
          <t>Technical Program Manager - AI Applications, Enterprise Intelligence (Req 216010)</t>
        </is>
      </c>
      <c r="D400" s="48" t="inlineStr">
        <is>
          <t>Sr TPM</t>
        </is>
      </c>
      <c r="E400" s="48" t="inlineStr">
        <is>
          <t>Canada</t>
        </is>
      </c>
      <c r="F400" s="48" t="inlineStr">
        <is>
          <t>Toronto</t>
        </is>
      </c>
      <c r="G400" s="48" t="n">
        <v>68</v>
      </c>
      <c r="H400" s="48" t="inlineStr">
        <is>
          <t>Cold Portal</t>
        </is>
      </c>
      <c r="I400" s="48" t="n"/>
      <c r="J400" s="48" t="inlineStr">
        <is>
          <t>No</t>
        </is>
      </c>
      <c r="K400" s="55" t="inlineStr">
        <is>
          <t>Applied</t>
        </is>
      </c>
      <c r="L400" s="48" t="n"/>
      <c r="M400" s="48">
        <f>IF(OR(L248="",A248=""),"",L248-A248)</f>
        <v/>
      </c>
      <c r="N400" s="48" t="n"/>
      <c r="O400" s="48" t="n"/>
      <c r="P400" s="51" t="inlineStr">
        <is>
          <t>Applied 2026-09-14 (confirmation via EAcareers@ea.com). Est. fit score: 68 — TPM title and AI-applications focus match her recent AI/data program work (Bell Data &amp; AI portfolio), but gaming industry is a new vertical with no direct precedent on her resume. | Confirmed by Elena 2026-09-14: role is Canada-based.</t>
        </is>
      </c>
      <c r="Q400" s="48" t="n"/>
      <c r="R400" s="48" t="n"/>
      <c r="S400" s="51" t="n"/>
      <c r="T400" s="52">
        <f>IF(G400="","",G400)</f>
        <v/>
      </c>
      <c r="U400" s="52">
        <f>IF(C400="","",IF(OR(ISNUMBER(SEARCH("Director",C400)),ISNUMBER(SEARCH("Lead",C400)),ISNUMBER(SEARCH("Senior",C400)),ISNUMBER(SEARCH("Sr.",C400))),90,IF(OR(ISNUMBER(SEARCH("Manager",C400)),ISNUMBER(SEARCH("Program",C400)),ISNUMBER(SEARCH("Portfolio",C400))),80,60)))</f>
        <v/>
      </c>
      <c r="V400" s="52">
        <f>IF(C400="","",IF(OR(ISNUMBER(SEARCH("AI",C400)),ISNUMBER(SEARCH("Data",C400)),ISNUMBER(SEARCH("Technology",C400)),ISNUMBER(SEARCH("Technical",C400)),ISNUMBER(SEARCH("Engineering",C400)),ISNUMBER(SEARCH("Platform",C400)),ISNUMBER(SEARCH("Portfolio",C400))),85,65))</f>
        <v/>
      </c>
      <c r="W400" s="52">
        <f>IF(C400="","",MIN(100,50+IF(S400&lt;&gt;"",25,0)+IF(R400&lt;&gt;"",15,0)+IF(P400&lt;&gt;"",10,0)))</f>
        <v/>
      </c>
      <c r="X400" s="52">
        <f>IF(E400="","",IF(OR(E400="Canada",E400="CA"),100,IF(OR(E400="United States",E400="USA",E400="US"),IF(J400="Yes",45,75),65)))</f>
        <v/>
      </c>
      <c r="Y400" s="52">
        <f>IF(C400="","",IF(OR(ISNUMBER(SEARCH("Program",C400)),ISNUMBER(SEARCH("Portfolio",C400)),ISNUMBER(SEARCH("Operations",C400)),ISNUMBER(SEARCH("Transformation",C400))),85,IF(ISNUMBER(SEARCH("Product Manager",C400)),55,70)))</f>
        <v/>
      </c>
      <c r="Z400" s="52">
        <f>IF(C400="","",MIN(100,IF(I400&lt;&gt;"",60,10)+IF(AA400&gt;0,MIN(40,AA400*20),0)))</f>
        <v/>
      </c>
      <c r="AA400" s="52">
        <f>IF(T400="","",ROUND(T400*25%+U400*15%+V400*10%+W400*15%+X400*15%+Y400*10%+Z400*10%,0))</f>
        <v/>
      </c>
      <c r="AB400" s="52">
        <f>IF(AA400="","",IF(X400&lt;50,"Selective / Barrier",IF(AA400&gt;=80,"Tier 1 - Pursue",IF(AA400&gt;=70,"Tier 2 - Pursue",IF(AA400&gt;=60,"Tier 3 - Selective","Do Not Pursue")))))</f>
        <v/>
      </c>
      <c r="AC400" s="52">
        <f>IF(C400="","",IF(I400&lt;&gt;"","Named Contact",IF(AA400&gt;0,"Outreach Logged","Cold")))</f>
        <v/>
      </c>
      <c r="AD400" s="52">
        <f>IF(B400="","",COUNTIF('Outreach Log'!$C:$C,B400))</f>
        <v/>
      </c>
      <c r="AE400" s="52">
        <f>IF(A400="","",IF(OR(K400="Rejected",K400="Closed"),IF(L400&lt;&gt;"",L400-A400,TODAY()-A400),TODAY()-A400))</f>
        <v/>
      </c>
      <c r="AF400" s="52">
        <f>IF(C400="","",IF(AND(AA400&gt;=70,AC400="Cold"),"High-fit but cold",IF(AND(AA400&lt;60,K400="Applied"),"Low-fit application",IF(AND(AA400&gt;=70,OR(AC400="Named Contact",AC400="Outreach Logged")),"Targeted pursuit","Review"))))</f>
        <v/>
      </c>
    </row>
    <row r="401" ht="15" customHeight="1" s="44">
      <c r="A401" s="53" t="n">
        <v>46279</v>
      </c>
      <c r="B401" s="48" t="inlineStr">
        <is>
          <t>Transcarent</t>
        </is>
      </c>
      <c r="C401" s="48" t="inlineStr">
        <is>
          <t>Senior Technical Program Manager</t>
        </is>
      </c>
      <c r="D401" s="48" t="inlineStr">
        <is>
          <t>Senior</t>
        </is>
      </c>
      <c r="E401" s="48" t="inlineStr">
        <is>
          <t>US</t>
        </is>
      </c>
      <c r="F401" s="48" t="inlineStr">
        <is>
          <t>Seattle, WA</t>
        </is>
      </c>
      <c r="G401" s="48" t="n">
        <v>65</v>
      </c>
      <c r="H401" s="48" t="inlineStr">
        <is>
          <t>Cold Portal</t>
        </is>
      </c>
      <c r="I401" s="48" t="n"/>
      <c r="J401" s="48" t="inlineStr">
        <is>
          <t>Yes</t>
        </is>
      </c>
      <c r="K401" s="55" t="inlineStr">
        <is>
          <t>Applied</t>
        </is>
      </c>
      <c r="L401" s="48" t="n"/>
      <c r="M401" s="48">
        <f>IF(OR(L249="",A249=""),"",L249-A249)</f>
        <v/>
      </c>
      <c r="N401" s="48" t="n"/>
      <c r="O401" s="48" t="n"/>
      <c r="P401" s="51" t="inlineStr">
        <is>
          <t>Applied 2026-09-14 (confirmation via atlas-noreply@transcarent.com). Transcarent is a health navigation/benefits platform company. Est. fit score: 65 — Senior TPM title matches her core lane, but healthcare/benefits-tech is a new vertical with no direct precedent on her resume. | Confirmed by Elena 2026-09-14: role is Seattle, WA-based.</t>
        </is>
      </c>
      <c r="Q401" s="48" t="n"/>
      <c r="R401" s="48" t="n"/>
      <c r="S401" s="51" t="n"/>
      <c r="T401" s="52">
        <f>IF(G401="","",G401)</f>
        <v/>
      </c>
      <c r="U401" s="52">
        <f>IF(C401="","",IF(OR(ISNUMBER(SEARCH("Director",C401)),ISNUMBER(SEARCH("Lead",C401)),ISNUMBER(SEARCH("Senior",C401)),ISNUMBER(SEARCH("Sr.",C401))),90,IF(OR(ISNUMBER(SEARCH("Manager",C401)),ISNUMBER(SEARCH("Program",C401)),ISNUMBER(SEARCH("Portfolio",C401))),80,60)))</f>
        <v/>
      </c>
      <c r="V401" s="52">
        <f>IF(C401="","",IF(OR(ISNUMBER(SEARCH("AI",C401)),ISNUMBER(SEARCH("Data",C401)),ISNUMBER(SEARCH("Technology",C401)),ISNUMBER(SEARCH("Technical",C401)),ISNUMBER(SEARCH("Engineering",C401)),ISNUMBER(SEARCH("Platform",C401)),ISNUMBER(SEARCH("Portfolio",C401))),85,65))</f>
        <v/>
      </c>
      <c r="W401" s="52">
        <f>IF(C401="","",MIN(100,50+IF(S401&lt;&gt;"",25,0)+IF(R401&lt;&gt;"",15,0)+IF(P401&lt;&gt;"",10,0)))</f>
        <v/>
      </c>
      <c r="X401" s="52">
        <f>IF(E401="","",IF(OR(E401="Canada",E401="CA"),100,IF(OR(E401="United States",E401="USA",E401="US"),IF(J401="Yes",45,75),65)))</f>
        <v/>
      </c>
      <c r="Y401" s="52">
        <f>IF(C401="","",IF(OR(ISNUMBER(SEARCH("Program",C401)),ISNUMBER(SEARCH("Portfolio",C401)),ISNUMBER(SEARCH("Operations",C401)),ISNUMBER(SEARCH("Transformation",C401))),85,IF(ISNUMBER(SEARCH("Product Manager",C401)),55,70)))</f>
        <v/>
      </c>
      <c r="Z401" s="52">
        <f>IF(C401="","",MIN(100,IF(I401&lt;&gt;"",60,10)+IF(AA401&gt;0,MIN(40,AA401*20),0)))</f>
        <v/>
      </c>
      <c r="AA401" s="52">
        <f>IF(T401="","",ROUND(T401*25%+U401*15%+V401*10%+W401*15%+X401*15%+Y401*10%+Z401*10%,0))</f>
        <v/>
      </c>
      <c r="AB401" s="52">
        <f>IF(AA401="","",IF(X401&lt;50,"Selective / Barrier",IF(AA401&gt;=80,"Tier 1 - Pursue",IF(AA401&gt;=70,"Tier 2 - Pursue",IF(AA401&gt;=60,"Tier 3 - Selective","Do Not Pursue")))))</f>
        <v/>
      </c>
      <c r="AC401" s="52">
        <f>IF(C401="","",IF(I401&lt;&gt;"","Named Contact",IF(AA401&gt;0,"Outreach Logged","Cold")))</f>
        <v/>
      </c>
      <c r="AD401" s="52">
        <f>IF(B401="","",COUNTIF('Outreach Log'!$C:$C,B401))</f>
        <v/>
      </c>
      <c r="AE401" s="52">
        <f>IF(A401="","",IF(OR(K401="Rejected",K401="Closed"),IF(L401&lt;&gt;"",L401-A401,TODAY()-A401),TODAY()-A401))</f>
        <v/>
      </c>
      <c r="AF401" s="52">
        <f>IF(C401="","",IF(AND(AA401&gt;=70,AC401="Cold"),"High-fit but cold",IF(AND(AA401&lt;60,K401="Applied"),"Low-fit application",IF(AND(AA401&gt;=70,OR(AC401="Named Contact",AC401="Outreach Logged")),"Targeted pursuit","Review"))))</f>
        <v/>
      </c>
    </row>
    <row r="402" ht="15" customHeight="1" s="44">
      <c r="A402" s="53" t="n">
        <v>46279</v>
      </c>
      <c r="B402" s="48" t="inlineStr">
        <is>
          <t>McKesson</t>
        </is>
      </c>
      <c r="C402" s="48" t="inlineStr">
        <is>
          <t>Sr. Manager, Program Management</t>
        </is>
      </c>
      <c r="D402" s="48" t="inlineStr">
        <is>
          <t>Sr Manager</t>
        </is>
      </c>
      <c r="E402" s="48" t="inlineStr">
        <is>
          <t>Canada</t>
        </is>
      </c>
      <c r="F402" s="48" t="inlineStr">
        <is>
          <t>Mississauga, ON</t>
        </is>
      </c>
      <c r="G402" s="48" t="n">
        <v>75</v>
      </c>
      <c r="H402" s="48" t="inlineStr">
        <is>
          <t>LinkedIn</t>
        </is>
      </c>
      <c r="I402" s="48" t="n"/>
      <c r="J402" s="48" t="inlineStr">
        <is>
          <t>No</t>
        </is>
      </c>
      <c r="K402" s="55" t="inlineStr">
        <is>
          <t>Applied</t>
        </is>
      </c>
      <c r="L402" s="48" t="n"/>
      <c r="M402" s="48">
        <f>IF(OR(L250="",A250=""),"",L250-A250)</f>
        <v/>
      </c>
      <c r="N402" s="48" t="n"/>
      <c r="O402" s="48" t="n"/>
      <c r="P402" s="51" t="inlineStr">
        <is>
          <t>Applied 2026-09-14 (confirmed via mckesson@myworkday.com; also viewed on LinkedIn, "Reposted 1 week ago, over 100 people clicked apply, Promoted by hirer, Responses managed off LinkedIn"). Distinct from row 136 (McKesson, Principal Technology Portfolio Management Leader, applied 8/10, 88% fit) — separate role, same company. Est. fit score: 75 — Sr Manager, Program Management is a solid title match, though a step below her Principal-level McKesson application; healthcare distribution vertical already has one strong precedent (row 136) so less domain-novelty risk than most new applications.</t>
        </is>
      </c>
      <c r="Q402" s="48" t="n"/>
      <c r="R402" s="48" t="n"/>
      <c r="S402" s="51" t="n"/>
      <c r="T402" s="52">
        <f>IF(G402="","",G402)</f>
        <v/>
      </c>
      <c r="U402" s="52">
        <f>IF(C402="","",IF(OR(ISNUMBER(SEARCH("Director",C402)),ISNUMBER(SEARCH("Lead",C402)),ISNUMBER(SEARCH("Senior",C402)),ISNUMBER(SEARCH("Sr.",C402))),90,IF(OR(ISNUMBER(SEARCH("Manager",C402)),ISNUMBER(SEARCH("Program",C402)),ISNUMBER(SEARCH("Portfolio",C402))),80,60)))</f>
        <v/>
      </c>
      <c r="V402" s="52">
        <f>IF(C402="","",IF(OR(ISNUMBER(SEARCH("AI",C402)),ISNUMBER(SEARCH("Data",C402)),ISNUMBER(SEARCH("Technology",C402)),ISNUMBER(SEARCH("Technical",C402)),ISNUMBER(SEARCH("Engineering",C402)),ISNUMBER(SEARCH("Platform",C402)),ISNUMBER(SEARCH("Portfolio",C402))),85,65))</f>
        <v/>
      </c>
      <c r="W402" s="52">
        <f>IF(C402="","",MIN(100,50+IF(S402&lt;&gt;"",25,0)+IF(R402&lt;&gt;"",15,0)+IF(P402&lt;&gt;"",10,0)))</f>
        <v/>
      </c>
      <c r="X402" s="52">
        <f>IF(E402="","",IF(OR(E402="Canada",E402="CA"),100,IF(OR(E402="United States",E402="USA",E402="US"),IF(J402="Yes",45,75),65)))</f>
        <v/>
      </c>
      <c r="Y402" s="52">
        <f>IF(C402="","",IF(OR(ISNUMBER(SEARCH("Program",C402)),ISNUMBER(SEARCH("Portfolio",C402)),ISNUMBER(SEARCH("Operations",C402)),ISNUMBER(SEARCH("Transformation",C402))),85,IF(ISNUMBER(SEARCH("Product Manager",C402)),55,70)))</f>
        <v/>
      </c>
      <c r="Z402" s="52">
        <f>IF(C402="","",MIN(100,IF(I402&lt;&gt;"",60,10)+IF(AA402&gt;0,MIN(40,AA402*20),0)))</f>
        <v/>
      </c>
      <c r="AA402" s="52">
        <f>IF(T402="","",ROUND(T402*25%+U402*15%+V402*10%+W402*15%+X402*15%+Y402*10%+Z402*10%,0))</f>
        <v/>
      </c>
      <c r="AB402" s="52">
        <f>IF(AA402="","",IF(X402&lt;50,"Selective / Barrier",IF(AA402&gt;=80,"Tier 1 - Pursue",IF(AA402&gt;=70,"Tier 2 - Pursue",IF(AA402&gt;=60,"Tier 3 - Selective","Do Not Pursue")))))</f>
        <v/>
      </c>
      <c r="AC402" s="52">
        <f>IF(C402="","",IF(I402&lt;&gt;"","Named Contact",IF(AA402&gt;0,"Outreach Logged","Cold")))</f>
        <v/>
      </c>
      <c r="AD402" s="52">
        <f>IF(B402="","",COUNTIF('Outreach Log'!$C:$C,B402))</f>
        <v/>
      </c>
      <c r="AE402" s="52">
        <f>IF(A402="","",IF(OR(K402="Rejected",K402="Closed"),IF(L402&lt;&gt;"",L402-A402,TODAY()-A402),TODAY()-A402))</f>
        <v/>
      </c>
      <c r="AF402" s="52">
        <f>IF(C402="","",IF(AND(AA402&gt;=70,AC402="Cold"),"High-fit but cold",IF(AND(AA402&lt;60,K402="Applied"),"Low-fit application",IF(AND(AA402&gt;=70,OR(AC402="Named Contact",AC402="Outreach Logged")),"Targeted pursuit","Review"))))</f>
        <v/>
      </c>
    </row>
    <row r="403" ht="15" customHeight="1" s="44">
      <c r="A403" s="53" t="n">
        <v>46279</v>
      </c>
      <c r="B403" s="48" t="inlineStr">
        <is>
          <t>Electronic Arts</t>
        </is>
      </c>
      <c r="C403" s="48" t="inlineStr">
        <is>
          <t>TPM, AI Applications, Enterprise Intelligence</t>
        </is>
      </c>
      <c r="D403" s="48" t="n"/>
      <c r="E403" s="48" t="n"/>
      <c r="F403" s="48" t="n"/>
      <c r="G403" s="48" t="n"/>
      <c r="H403" s="48" t="n"/>
      <c r="I403" s="48" t="n"/>
      <c r="J403" s="48" t="n"/>
      <c r="K403" s="55" t="inlineStr">
        <is>
          <t>Applied</t>
        </is>
      </c>
      <c r="L403" s="48" t="n"/>
      <c r="M403" s="48" t="n"/>
      <c r="N403" s="48" t="n"/>
      <c r="O403" s="48" t="n"/>
      <c r="P403" s="51" t="n"/>
      <c r="Q403" s="48" t="n"/>
      <c r="R403" s="48" t="n"/>
      <c r="S403" s="51" t="n"/>
      <c r="T403" s="52">
        <f>IF(G403="","",G403)</f>
        <v/>
      </c>
      <c r="U403" s="52">
        <f>IF(C403="","",IF(OR(ISNUMBER(SEARCH("Director",C403)),ISNUMBER(SEARCH("Lead",C403)),ISNUMBER(SEARCH("Senior",C403)),ISNUMBER(SEARCH("Sr.",C403))),90,IF(OR(ISNUMBER(SEARCH("Manager",C403)),ISNUMBER(SEARCH("Program",C403)),ISNUMBER(SEARCH("Portfolio",C403))),80,60)))</f>
        <v/>
      </c>
      <c r="V403" s="52">
        <f>IF(C403="","",IF(OR(ISNUMBER(SEARCH("AI",C403)),ISNUMBER(SEARCH("Data",C403)),ISNUMBER(SEARCH("Technology",C403)),ISNUMBER(SEARCH("Technical",C403)),ISNUMBER(SEARCH("Engineering",C403)),ISNUMBER(SEARCH("Platform",C403)),ISNUMBER(SEARCH("Portfolio",C403))),85,65))</f>
        <v/>
      </c>
      <c r="W403" s="52">
        <f>IF(C403="","",MIN(100,50+IF(S403&lt;&gt;"",25,0)+IF(R403&lt;&gt;"",15,0)+IF(P403&lt;&gt;"",10,0)))</f>
        <v/>
      </c>
      <c r="X403" s="52">
        <f>IF(E403="","",IF(OR(E403="Canada",E403="CA"),100,IF(OR(E403="United States",E403="USA",E403="US"),IF(J403="Yes",45,75),65)))</f>
        <v/>
      </c>
      <c r="Y403" s="52">
        <f>IF(C403="","",IF(OR(ISNUMBER(SEARCH("Program",C403)),ISNUMBER(SEARCH("Portfolio",C403)),ISNUMBER(SEARCH("Operations",C403)),ISNUMBER(SEARCH("Transformation",C403))),85,IF(ISNUMBER(SEARCH("Product Manager",C403)),55,70)))</f>
        <v/>
      </c>
      <c r="Z403" s="52">
        <f>IF(C403="","",MIN(100,IF(I403&lt;&gt;"",60,10)+IF(AA403&gt;0,MIN(40,AA403*20),0)))</f>
        <v/>
      </c>
      <c r="AA403" s="52">
        <f>IF(T403="","",ROUND(T403*25%+U403*15%+V403*10%+W403*15%+X403*15%+Y403*10%+Z403*10%,0))</f>
        <v/>
      </c>
      <c r="AB403" s="52">
        <f>IF(AA403="","",IF(X403&lt;50,"Selective / Barrier",IF(AA403&gt;=80,"Tier 1 - Pursue",IF(AA403&gt;=70,"Tier 2 - Pursue",IF(AA403&gt;=60,"Tier 3 - Selective","Do Not Pursue")))))</f>
        <v/>
      </c>
      <c r="AC403" s="52">
        <f>IF(C403="","",IF(I403&lt;&gt;"","Named Contact",IF(AA403&gt;0,"Outreach Logged","Cold")))</f>
        <v/>
      </c>
      <c r="AD403" s="52">
        <f>IF(B403="","",COUNTIF('Outreach Log'!$C:$C,B403))</f>
        <v/>
      </c>
      <c r="AE403" s="52">
        <f>IF(A403="","",IF(OR(K403="Rejected",K403="Closed"),IF(L403&lt;&gt;"",L403-A403,TODAY()-A403),TODAY()-A403))</f>
        <v/>
      </c>
      <c r="AF403" s="52">
        <f>IF(C403="","",IF(AND(AA403&gt;=70,AC403="Cold"),"High-fit but cold",IF(AND(AA403&lt;60,K403="Applied"),"Low-fit application",IF(AND(AA403&gt;=70,OR(AC403="Named Contact",AC403="Outreach Logged")),"Targeted pursuit","Review"))))</f>
        <v/>
      </c>
    </row>
    <row r="404" ht="15" customHeight="1" s="44">
      <c r="A404" s="53" t="n">
        <v>46279</v>
      </c>
      <c r="B404" s="48" t="inlineStr">
        <is>
          <t>Guidewire Software</t>
        </is>
      </c>
      <c r="C404" s="48" t="inlineStr">
        <is>
          <t>TPM - Implementation Lead</t>
        </is>
      </c>
      <c r="D404" s="48" t="n"/>
      <c r="E404" s="48" t="n"/>
      <c r="F404" s="48" t="n"/>
      <c r="G404" s="48" t="n"/>
      <c r="H404" s="48" t="n"/>
      <c r="I404" s="48" t="n"/>
      <c r="J404" s="48" t="n"/>
      <c r="K404" s="55" t="inlineStr">
        <is>
          <t>Applied</t>
        </is>
      </c>
      <c r="L404" s="48" t="n"/>
      <c r="M404" s="48" t="n"/>
      <c r="N404" s="48" t="n"/>
      <c r="O404" s="48" t="n"/>
      <c r="P404" s="51" t="n"/>
      <c r="Q404" s="48" t="n"/>
      <c r="R404" s="48" t="n"/>
      <c r="S404" s="51" t="n"/>
      <c r="T404" s="52">
        <f>IF(G404="","",G404)</f>
        <v/>
      </c>
      <c r="U404" s="52">
        <f>IF(C404="","",IF(OR(ISNUMBER(SEARCH("Director",C404)),ISNUMBER(SEARCH("Lead",C404)),ISNUMBER(SEARCH("Senior",C404)),ISNUMBER(SEARCH("Sr.",C404))),90,IF(OR(ISNUMBER(SEARCH("Manager",C404)),ISNUMBER(SEARCH("Program",C404)),ISNUMBER(SEARCH("Portfolio",C404))),80,60)))</f>
        <v/>
      </c>
      <c r="V404" s="52">
        <f>IF(C404="","",IF(OR(ISNUMBER(SEARCH("AI",C404)),ISNUMBER(SEARCH("Data",C404)),ISNUMBER(SEARCH("Technology",C404)),ISNUMBER(SEARCH("Technical",C404)),ISNUMBER(SEARCH("Engineering",C404)),ISNUMBER(SEARCH("Platform",C404)),ISNUMBER(SEARCH("Portfolio",C404))),85,65))</f>
        <v/>
      </c>
      <c r="W404" s="52">
        <f>IF(C404="","",MIN(100,50+IF(S404&lt;&gt;"",25,0)+IF(R404&lt;&gt;"",15,0)+IF(P404&lt;&gt;"",10,0)))</f>
        <v/>
      </c>
      <c r="X404" s="52">
        <f>IF(E404="","",IF(OR(E404="Canada",E404="CA"),100,IF(OR(E404="United States",E404="USA",E404="US"),IF(J404="Yes",45,75),65)))</f>
        <v/>
      </c>
      <c r="Y404" s="52">
        <f>IF(C404="","",IF(OR(ISNUMBER(SEARCH("Program",C404)),ISNUMBER(SEARCH("Portfolio",C404)),ISNUMBER(SEARCH("Operations",C404)),ISNUMBER(SEARCH("Transformation",C404))),85,IF(ISNUMBER(SEARCH("Product Manager",C404)),55,70)))</f>
        <v/>
      </c>
      <c r="Z404" s="52">
        <f>IF(C404="","",MIN(100,IF(I404&lt;&gt;"",60,10)+IF(AA404&gt;0,MIN(40,AA404*20),0)))</f>
        <v/>
      </c>
      <c r="AA404" s="52">
        <f>IF(T404="","",ROUND(T404*25%+U404*15%+V404*10%+W404*15%+X404*15%+Y404*10%+Z404*10%,0))</f>
        <v/>
      </c>
      <c r="AB404" s="52">
        <f>IF(AA404="","",IF(X404&lt;50,"Selective / Barrier",IF(AA404&gt;=80,"Tier 1 - Pursue",IF(AA404&gt;=70,"Tier 2 - Pursue",IF(AA404&gt;=60,"Tier 3 - Selective","Do Not Pursue")))))</f>
        <v/>
      </c>
      <c r="AC404" s="52">
        <f>IF(C404="","",IF(I404&lt;&gt;"","Named Contact",IF(AA404&gt;0,"Outreach Logged","Cold")))</f>
        <v/>
      </c>
      <c r="AD404" s="52">
        <f>IF(B404="","",COUNTIF('Outreach Log'!$C:$C,B404))</f>
        <v/>
      </c>
      <c r="AE404" s="52">
        <f>IF(A404="","",IF(OR(K404="Rejected",K404="Closed"),IF(L404&lt;&gt;"",L404-A404,TODAY()-A404),TODAY()-A404))</f>
        <v/>
      </c>
      <c r="AF404" s="52">
        <f>IF(C404="","",IF(AND(AA404&gt;=70,AC404="Cold"),"High-fit but cold",IF(AND(AA404&lt;60,K404="Applied"),"Low-fit application",IF(AND(AA404&gt;=70,OR(AC404="Named Contact",AC404="Outreach Logged")),"Targeted pursuit","Review"))))</f>
        <v/>
      </c>
    </row>
    <row r="405" ht="15" customHeight="1" s="44">
      <c r="A405" s="53" t="n">
        <v>46280</v>
      </c>
      <c r="B405" s="48" t="inlineStr">
        <is>
          <t>Anthropic</t>
        </is>
      </c>
      <c r="C405" s="48" t="inlineStr">
        <is>
          <t>Technical Program Manager, Apps Platform</t>
        </is>
      </c>
      <c r="D405" s="48" t="inlineStr">
        <is>
          <t>Sr TPM</t>
        </is>
      </c>
      <c r="E405" s="48" t="inlineStr">
        <is>
          <t>US</t>
        </is>
      </c>
      <c r="F405" s="48" t="inlineStr">
        <is>
          <t>SF</t>
        </is>
      </c>
      <c r="G405" s="48" t="n">
        <v>78</v>
      </c>
      <c r="H405" s="48" t="inlineStr">
        <is>
          <t>Cold Portal</t>
        </is>
      </c>
      <c r="I405" s="48" t="n"/>
      <c r="J405" s="48" t="inlineStr">
        <is>
          <t>Yes</t>
        </is>
      </c>
      <c r="K405" s="55" t="inlineStr">
        <is>
          <t>Applied</t>
        </is>
      </c>
      <c r="L405" s="48" t="n"/>
      <c r="M405" s="48">
        <f>IF(OR(L251="",A251=""),"",L251-A251)</f>
        <v/>
      </c>
      <c r="N405" s="48" t="n"/>
      <c r="O405" s="48" t="n"/>
      <c r="P405" s="51" t="inlineStr">
        <is>
          <t>Applied 2026-09-15 (confirmation via Greenhouse). 4th Anthropic application — distinct from rows for Product Manager Consumer (Ghosted), Product Manager GTM Experiences (Applied), and TPM Recruiting Technology (Applied, 80% fit). Est. fit score: 78 — TPM title on the Apps Platform closely matches her platform/systems-integration and delivery-governance track record.</t>
        </is>
      </c>
      <c r="Q405" s="48" t="n"/>
      <c r="R405" s="48" t="n"/>
      <c r="S405" s="51" t="n"/>
      <c r="T405" s="52">
        <f>IF(G405="","",G405)</f>
        <v/>
      </c>
      <c r="U405" s="52">
        <f>IF(C405="","",IF(OR(ISNUMBER(SEARCH("Director",C405)),ISNUMBER(SEARCH("Lead",C405)),ISNUMBER(SEARCH("Senior",C405)),ISNUMBER(SEARCH("Sr.",C405))),90,IF(OR(ISNUMBER(SEARCH("Manager",C405)),ISNUMBER(SEARCH("Program",C405)),ISNUMBER(SEARCH("Portfolio",C405))),80,60)))</f>
        <v/>
      </c>
      <c r="V405" s="52">
        <f>IF(C405="","",IF(OR(ISNUMBER(SEARCH("AI",C405)),ISNUMBER(SEARCH("Data",C405)),ISNUMBER(SEARCH("Technology",C405)),ISNUMBER(SEARCH("Technical",C405)),ISNUMBER(SEARCH("Engineering",C405)),ISNUMBER(SEARCH("Platform",C405)),ISNUMBER(SEARCH("Portfolio",C405))),85,65))</f>
        <v/>
      </c>
      <c r="W405" s="52">
        <f>IF(C405="","",MIN(100,50+IF(S405&lt;&gt;"",25,0)+IF(R405&lt;&gt;"",15,0)+IF(P405&lt;&gt;"",10,0)))</f>
        <v/>
      </c>
      <c r="X405" s="52">
        <f>IF(E405="","",IF(OR(E405="Canada",E405="CA"),100,IF(OR(E405="United States",E405="USA",E405="US"),IF(J405="Yes",45,75),65)))</f>
        <v/>
      </c>
      <c r="Y405" s="52">
        <f>IF(C405="","",IF(OR(ISNUMBER(SEARCH("Program",C405)),ISNUMBER(SEARCH("Portfolio",C405)),ISNUMBER(SEARCH("Operations",C405)),ISNUMBER(SEARCH("Transformation",C405))),85,IF(ISNUMBER(SEARCH("Product Manager",C405)),55,70)))</f>
        <v/>
      </c>
      <c r="Z405" s="52">
        <f>IF(C405="","",MIN(100,IF(I405&lt;&gt;"",60,10)+IF(AA405&gt;0,MIN(40,AA405*20),0)))</f>
        <v/>
      </c>
      <c r="AA405" s="52">
        <f>IF(T405="","",ROUND(T405*25%+U405*15%+V405*10%+W405*15%+X405*15%+Y405*10%+Z405*10%,0))</f>
        <v/>
      </c>
      <c r="AB405" s="52">
        <f>IF(AA405="","",IF(X405&lt;50,"Selective / Barrier",IF(AA405&gt;=80,"Tier 1 - Pursue",IF(AA405&gt;=70,"Tier 2 - Pursue",IF(AA405&gt;=60,"Tier 3 - Selective","Do Not Pursue")))))</f>
        <v/>
      </c>
      <c r="AC405" s="52">
        <f>IF(C405="","",IF(I405&lt;&gt;"","Named Contact",IF(AA405&gt;0,"Outreach Logged","Cold")))</f>
        <v/>
      </c>
      <c r="AD405" s="52">
        <f>IF(B405="","",COUNTIF('Outreach Log'!$C:$C,B405))</f>
        <v/>
      </c>
      <c r="AE405" s="52">
        <f>IF(A405="","",IF(OR(K405="Rejected",K405="Closed"),IF(L405&lt;&gt;"",L405-A405,TODAY()-A405),TODAY()-A405))</f>
        <v/>
      </c>
      <c r="AF405" s="52">
        <f>IF(C405="","",IF(AND(AA405&gt;=70,AC405="Cold"),"High-fit but cold",IF(AND(AA405&lt;60,K405="Applied"),"Low-fit application",IF(AND(AA405&gt;=70,OR(AC405="Named Contact",AC405="Outreach Logged")),"Targeted pursuit","Review"))))</f>
        <v/>
      </c>
    </row>
    <row r="406" ht="15" customHeight="1" s="44">
      <c r="A406" s="53" t="n">
        <v>46280</v>
      </c>
      <c r="B406" s="48" t="inlineStr">
        <is>
          <t>Nordstrom</t>
        </is>
      </c>
      <c r="C406" s="48" t="inlineStr">
        <is>
          <t>Senior 2 Technical Program Manager, AI Native Operating Model</t>
        </is>
      </c>
      <c r="D406" s="48" t="inlineStr">
        <is>
          <t>Senior</t>
        </is>
      </c>
      <c r="E406" s="48" t="inlineStr">
        <is>
          <t>US</t>
        </is>
      </c>
      <c r="F406" s="48" t="inlineStr">
        <is>
          <t>Seattle, WA (Hybrid)</t>
        </is>
      </c>
      <c r="G406" s="48" t="n">
        <v>72</v>
      </c>
      <c r="H406" s="48" t="inlineStr">
        <is>
          <t>Cold Portal</t>
        </is>
      </c>
      <c r="I406" s="48" t="n"/>
      <c r="J406" s="48" t="inlineStr">
        <is>
          <t>Yes</t>
        </is>
      </c>
      <c r="K406" s="49" t="inlineStr">
        <is>
          <t>Rejected</t>
        </is>
      </c>
      <c r="L406" s="50" t="n">
        <v>46282</v>
      </c>
      <c r="M406" s="48">
        <f>IF(OR(L252="",A252=""),"",L252-A252)</f>
        <v/>
      </c>
      <c r="N406" s="48" t="n"/>
      <c r="O406" s="48" t="n"/>
      <c r="P406" s="51" t="inlineStr">
        <is>
          <t>Applied 2026-09-15 (confirmation via nordstrom@myworkday.com). Est. fit score: 72 — Senior TPM title with an AI Native Operating Model focus matches her Bell Data &amp; AI portfolio work and delivery-governance track record; retail is a new vertical with no direct precedent. | REJECTED 2026-09-17: Nordstrom (Workday) — "after careful consideration of your application, we regret to..."</t>
        </is>
      </c>
      <c r="Q406" s="48" t="n"/>
      <c r="R406" s="48" t="n"/>
      <c r="S406" s="51" t="n"/>
      <c r="T406" s="52">
        <f>IF(G406="","",G406)</f>
        <v/>
      </c>
      <c r="U406" s="52">
        <f>IF(C406="","",IF(OR(ISNUMBER(SEARCH("Director",C406)),ISNUMBER(SEARCH("Lead",C406)),ISNUMBER(SEARCH("Senior",C406)),ISNUMBER(SEARCH("Sr.",C406))),90,IF(OR(ISNUMBER(SEARCH("Manager",C406)),ISNUMBER(SEARCH("Program",C406)),ISNUMBER(SEARCH("Portfolio",C406))),80,60)))</f>
        <v/>
      </c>
      <c r="V406" s="52">
        <f>IF(C406="","",IF(OR(ISNUMBER(SEARCH("AI",C406)),ISNUMBER(SEARCH("Data",C406)),ISNUMBER(SEARCH("Technology",C406)),ISNUMBER(SEARCH("Technical",C406)),ISNUMBER(SEARCH("Engineering",C406)),ISNUMBER(SEARCH("Platform",C406)),ISNUMBER(SEARCH("Portfolio",C406))),85,65))</f>
        <v/>
      </c>
      <c r="W406" s="52">
        <f>IF(C406="","",MIN(100,50+IF(S406&lt;&gt;"",25,0)+IF(R406&lt;&gt;"",15,0)+IF(P406&lt;&gt;"",10,0)))</f>
        <v/>
      </c>
      <c r="X406" s="52">
        <f>IF(E406="","",IF(OR(E406="Canada",E406="CA"),100,IF(OR(E406="United States",E406="USA",E406="US"),IF(J406="Yes",45,75),65)))</f>
        <v/>
      </c>
      <c r="Y406" s="52">
        <f>IF(C406="","",IF(OR(ISNUMBER(SEARCH("Program",C406)),ISNUMBER(SEARCH("Portfolio",C406)),ISNUMBER(SEARCH("Operations",C406)),ISNUMBER(SEARCH("Transformation",C406))),85,IF(ISNUMBER(SEARCH("Product Manager",C406)),55,70)))</f>
        <v/>
      </c>
      <c r="Z406" s="52">
        <f>IF(C406="","",MIN(100,IF(I406&lt;&gt;"",60,10)+IF(AA406&gt;0,MIN(40,AA406*20),0)))</f>
        <v/>
      </c>
      <c r="AA406" s="52">
        <f>IF(T406="","",ROUND(T406*25%+U406*15%+V406*10%+W406*15%+X406*15%+Y406*10%+Z406*10%,0))</f>
        <v/>
      </c>
      <c r="AB406" s="52">
        <f>IF(AA406="","",IF(X406&lt;50,"Selective / Barrier",IF(AA406&gt;=80,"Tier 1 - Pursue",IF(AA406&gt;=70,"Tier 2 - Pursue",IF(AA406&gt;=60,"Tier 3 - Selective","Do Not Pursue")))))</f>
        <v/>
      </c>
      <c r="AC406" s="52">
        <f>IF(C406="","",IF(I406&lt;&gt;"","Named Contact",IF(AA406&gt;0,"Outreach Logged","Cold")))</f>
        <v/>
      </c>
      <c r="AD406" s="52">
        <f>IF(B406="","",COUNTIF('Outreach Log'!$C:$C,B406))</f>
        <v/>
      </c>
      <c r="AE406" s="52">
        <f>IF(A406="","",IF(OR(K406="Rejected",K406="Closed"),IF(L406&lt;&gt;"",L406-A406,TODAY()-A406),TODAY()-A406))</f>
        <v/>
      </c>
      <c r="AF406" s="52">
        <f>IF(C406="","",IF(AND(AA406&gt;=70,AC406="Cold"),"High-fit but cold",IF(AND(AA406&lt;60,K406="Applied"),"Low-fit application",IF(AND(AA406&gt;=70,OR(AC406="Named Contact",AC406="Outreach Logged")),"Targeted pursuit","Review"))))</f>
        <v/>
      </c>
    </row>
    <row r="407" ht="15" customHeight="1" s="44">
      <c r="A407" s="53" t="n">
        <v>46280</v>
      </c>
      <c r="B407" s="48" t="inlineStr">
        <is>
          <t>Coupang</t>
        </is>
      </c>
      <c r="C407" s="48" t="inlineStr">
        <is>
          <t>Senior Staff Technical Program Manager</t>
        </is>
      </c>
      <c r="D407" s="48" t="inlineStr">
        <is>
          <t>Staff</t>
        </is>
      </c>
      <c r="E407" s="48" t="inlineStr">
        <is>
          <t>US</t>
        </is>
      </c>
      <c r="F407" s="48" t="inlineStr">
        <is>
          <t>Seattle, WA</t>
        </is>
      </c>
      <c r="G407" s="48" t="n">
        <v>80</v>
      </c>
      <c r="H407" s="48" t="inlineStr">
        <is>
          <t>Cold Portal (Greenhouse)</t>
        </is>
      </c>
      <c r="I407" s="48" t="n"/>
      <c r="J407" s="48" t="inlineStr">
        <is>
          <t>Yes</t>
        </is>
      </c>
      <c r="K407" s="55" t="inlineStr">
        <is>
          <t>Applied</t>
        </is>
      </c>
      <c r="L407" s="48" t="n"/>
      <c r="M407" s="48">
        <f>IF(OR(L253="",A253=""),"",L253-A253)</f>
        <v/>
      </c>
      <c r="N407" s="48" t="n"/>
      <c r="O407" s="48" t="n"/>
      <c r="P407" s="51" t="inlineStr">
        <is>
          <t>Applied 2026-09-15 (confirmation via Greenhouse). Role confirmed by Elena 2026-09-15: Senior Staff Technical Program Manager. Coupang is a Korean e-commerce/marketplace company; role confirmed as Seattle, WA-based. Marketplace/catalog domain parallels her Amazon Search &amp; Catalog Data Platforms experience. Est. fit score: 80 — Senior Staff TPM at a marketplace/e-commerce company closely parallels her Amazon Search &amp; Catalog Data Platforms experience (multi-program leadership, catalog/data-quality governance at marketplace scale).</t>
        </is>
      </c>
      <c r="Q407" s="48" t="n"/>
      <c r="R407" s="48" t="n"/>
      <c r="S407" s="51" t="n"/>
      <c r="T407" s="52">
        <f>IF(G407="","",G407)</f>
        <v/>
      </c>
      <c r="U407" s="52">
        <f>IF(C407="","",IF(OR(ISNUMBER(SEARCH("Director",C407)),ISNUMBER(SEARCH("Lead",C407)),ISNUMBER(SEARCH("Senior",C407)),ISNUMBER(SEARCH("Sr.",C407))),90,IF(OR(ISNUMBER(SEARCH("Manager",C407)),ISNUMBER(SEARCH("Program",C407)),ISNUMBER(SEARCH("Portfolio",C407))),80,60)))</f>
        <v/>
      </c>
      <c r="V407" s="52">
        <f>IF(C407="","",IF(OR(ISNUMBER(SEARCH("AI",C407)),ISNUMBER(SEARCH("Data",C407)),ISNUMBER(SEARCH("Technology",C407)),ISNUMBER(SEARCH("Technical",C407)),ISNUMBER(SEARCH("Engineering",C407)),ISNUMBER(SEARCH("Platform",C407)),ISNUMBER(SEARCH("Portfolio",C407))),85,65))</f>
        <v/>
      </c>
      <c r="W407" s="52">
        <f>IF(C407="","",MIN(100,50+IF(S407&lt;&gt;"",25,0)+IF(R407&lt;&gt;"",15,0)+IF(P407&lt;&gt;"",10,0)))</f>
        <v/>
      </c>
      <c r="X407" s="52">
        <f>IF(E407="","",IF(OR(E407="Canada",E407="CA"),100,IF(OR(E407="United States",E407="USA",E407="US"),IF(J407="Yes",45,75),65)))</f>
        <v/>
      </c>
      <c r="Y407" s="52">
        <f>IF(C407="","",IF(OR(ISNUMBER(SEARCH("Program",C407)),ISNUMBER(SEARCH("Portfolio",C407)),ISNUMBER(SEARCH("Operations",C407)),ISNUMBER(SEARCH("Transformation",C407))),85,IF(ISNUMBER(SEARCH("Product Manager",C407)),55,70)))</f>
        <v/>
      </c>
      <c r="Z407" s="52">
        <f>IF(C407="","",MIN(100,IF(I407&lt;&gt;"",60,10)+IF(AA407&gt;0,MIN(40,AA407*20),0)))</f>
        <v/>
      </c>
      <c r="AA407" s="52">
        <f>IF(T407="","",ROUND(T407*25%+U407*15%+V407*10%+W407*15%+X407*15%+Y407*10%+Z407*10%,0))</f>
        <v/>
      </c>
      <c r="AB407" s="52">
        <f>IF(AA407="","",IF(X407&lt;50,"Selective / Barrier",IF(AA407&gt;=80,"Tier 1 - Pursue",IF(AA407&gt;=70,"Tier 2 - Pursue",IF(AA407&gt;=60,"Tier 3 - Selective","Do Not Pursue")))))</f>
        <v/>
      </c>
      <c r="AC407" s="52">
        <f>IF(C407="","",IF(I407&lt;&gt;"","Named Contact",IF(AA407&gt;0,"Outreach Logged","Cold")))</f>
        <v/>
      </c>
      <c r="AD407" s="52">
        <f>IF(B407="","",COUNTIF('Outreach Log'!$C:$C,B407))</f>
        <v/>
      </c>
      <c r="AE407" s="52">
        <f>IF(A407="","",IF(OR(K407="Rejected",K407="Closed"),IF(L407&lt;&gt;"",L407-A407,TODAY()-A407),TODAY()-A407))</f>
        <v/>
      </c>
      <c r="AF407" s="52">
        <f>IF(C407="","",IF(AND(AA407&gt;=70,AC407="Cold"),"High-fit but cold",IF(AND(AA407&lt;60,K407="Applied"),"Low-fit application",IF(AND(AA407&gt;=70,OR(AC407="Named Contact",AC407="Outreach Logged")),"Targeted pursuit","Review"))))</f>
        <v/>
      </c>
    </row>
    <row r="408" ht="15" customHeight="1" s="44">
      <c r="A408" s="53" t="n">
        <v>46280</v>
      </c>
      <c r="B408" s="48" t="inlineStr">
        <is>
          <t>Snowflake</t>
        </is>
      </c>
      <c r="C408" s="48" t="inlineStr">
        <is>
          <t>Senior Technical Program Manager</t>
        </is>
      </c>
      <c r="D408" s="48" t="inlineStr">
        <is>
          <t>Senior</t>
        </is>
      </c>
      <c r="E408" s="48" t="inlineStr">
        <is>
          <t>US</t>
        </is>
      </c>
      <c r="F408" s="48" t="inlineStr">
        <is>
          <t>Unconfirmed</t>
        </is>
      </c>
      <c r="G408" s="48" t="n">
        <v>75</v>
      </c>
      <c r="H408" s="48" t="inlineStr">
        <is>
          <t>Cold Portal (Ashby)</t>
        </is>
      </c>
      <c r="I408" s="48" t="n"/>
      <c r="J408" s="48" t="inlineStr">
        <is>
          <t>Yes</t>
        </is>
      </c>
      <c r="K408" s="55" t="inlineStr">
        <is>
          <t>Applied</t>
        </is>
      </c>
      <c r="L408" s="48" t="n"/>
      <c r="M408" s="48">
        <f>IF(OR(L254="",A254=""),"",L254-A254)</f>
        <v/>
      </c>
      <c r="N408" s="48" t="n"/>
      <c r="O408" s="48" t="n"/>
      <c r="P408" s="51" t="inlineStr">
        <is>
          <t>Applied 2026-09-15 (confirmation via Ashby). Est. fit score: 75 — Senior TPM title with a data-platform company closely matches her data governance/platform delivery track record (Bell Data &amp; AI, Amazon Search &amp; Catalog). Country/city unconfirmed — verify.</t>
        </is>
      </c>
      <c r="Q408" s="48" t="n"/>
      <c r="R408" s="48" t="n"/>
      <c r="S408" s="51" t="n"/>
      <c r="T408" s="52">
        <f>IF(G408="","",G408)</f>
        <v/>
      </c>
      <c r="U408" s="52">
        <f>IF(C408="","",IF(OR(ISNUMBER(SEARCH("Director",C408)),ISNUMBER(SEARCH("Lead",C408)),ISNUMBER(SEARCH("Senior",C408)),ISNUMBER(SEARCH("Sr.",C408))),90,IF(OR(ISNUMBER(SEARCH("Manager",C408)),ISNUMBER(SEARCH("Program",C408)),ISNUMBER(SEARCH("Portfolio",C408))),80,60)))</f>
        <v/>
      </c>
      <c r="V408" s="52">
        <f>IF(C408="","",IF(OR(ISNUMBER(SEARCH("AI",C408)),ISNUMBER(SEARCH("Data",C408)),ISNUMBER(SEARCH("Technology",C408)),ISNUMBER(SEARCH("Technical",C408)),ISNUMBER(SEARCH("Engineering",C408)),ISNUMBER(SEARCH("Platform",C408)),ISNUMBER(SEARCH("Portfolio",C408))),85,65))</f>
        <v/>
      </c>
      <c r="W408" s="52">
        <f>IF(C408="","",MIN(100,50+IF(S408&lt;&gt;"",25,0)+IF(R408&lt;&gt;"",15,0)+IF(P408&lt;&gt;"",10,0)))</f>
        <v/>
      </c>
      <c r="X408" s="52">
        <f>IF(E408="","",IF(OR(E408="Canada",E408="CA"),100,IF(OR(E408="United States",E408="USA",E408="US"),IF(J408="Yes",45,75),65)))</f>
        <v/>
      </c>
      <c r="Y408" s="52">
        <f>IF(C408="","",IF(OR(ISNUMBER(SEARCH("Program",C408)),ISNUMBER(SEARCH("Portfolio",C408)),ISNUMBER(SEARCH("Operations",C408)),ISNUMBER(SEARCH("Transformation",C408))),85,IF(ISNUMBER(SEARCH("Product Manager",C408)),55,70)))</f>
        <v/>
      </c>
      <c r="Z408" s="52">
        <f>IF(C408="","",MIN(100,IF(I408&lt;&gt;"",60,10)+IF(AA408&gt;0,MIN(40,AA408*20),0)))</f>
        <v/>
      </c>
      <c r="AA408" s="52">
        <f>IF(T408="","",ROUND(T408*25%+U408*15%+V408*10%+W408*15%+X408*15%+Y408*10%+Z408*10%,0))</f>
        <v/>
      </c>
      <c r="AB408" s="52">
        <f>IF(AA408="","",IF(X408&lt;50,"Selective / Barrier",IF(AA408&gt;=80,"Tier 1 - Pursue",IF(AA408&gt;=70,"Tier 2 - Pursue",IF(AA408&gt;=60,"Tier 3 - Selective","Do Not Pursue")))))</f>
        <v/>
      </c>
      <c r="AC408" s="52">
        <f>IF(C408="","",IF(I408&lt;&gt;"","Named Contact",IF(AA408&gt;0,"Outreach Logged","Cold")))</f>
        <v/>
      </c>
      <c r="AD408" s="52">
        <f>IF(B408="","",COUNTIF('Outreach Log'!$C:$C,B408))</f>
        <v/>
      </c>
      <c r="AE408" s="52">
        <f>IF(A408="","",IF(OR(K408="Rejected",K408="Closed"),IF(L408&lt;&gt;"",L408-A408,TODAY()-A408),TODAY()-A408))</f>
        <v/>
      </c>
      <c r="AF408" s="52">
        <f>IF(C408="","",IF(AND(AA408&gt;=70,AC408="Cold"),"High-fit but cold",IF(AND(AA408&lt;60,K408="Applied"),"Low-fit application",IF(AND(AA408&gt;=70,OR(AC408="Named Contact",AC408="Outreach Logged")),"Targeted pursuit","Review"))))</f>
        <v/>
      </c>
    </row>
    <row r="409" ht="15" customHeight="1" s="44">
      <c r="A409" s="53" t="n">
        <v>46280</v>
      </c>
      <c r="B409" s="48" t="inlineStr">
        <is>
          <t>Coupang</t>
        </is>
      </c>
      <c r="C409" s="48" t="inlineStr">
        <is>
          <t>(role unspecified)</t>
        </is>
      </c>
      <c r="D409" s="48" t="n"/>
      <c r="E409" s="48" t="n"/>
      <c r="F409" s="48" t="n"/>
      <c r="G409" s="48" t="n"/>
      <c r="H409" s="48" t="n"/>
      <c r="I409" s="48" t="n"/>
      <c r="J409" s="48" t="n"/>
      <c r="K409" s="55" t="inlineStr">
        <is>
          <t>Applied</t>
        </is>
      </c>
      <c r="L409" s="48" t="n"/>
      <c r="M409" s="48" t="n"/>
      <c r="N409" s="48" t="n"/>
      <c r="O409" s="48" t="n"/>
      <c r="P409" s="51" t="n"/>
      <c r="Q409" s="48" t="n"/>
      <c r="R409" s="48" t="n"/>
      <c r="S409" s="51" t="n"/>
      <c r="T409" s="52">
        <f>IF(G409="","",G409)</f>
        <v/>
      </c>
      <c r="U409" s="52">
        <f>IF(C409="","",IF(OR(ISNUMBER(SEARCH("Director",C409)),ISNUMBER(SEARCH("Lead",C409)),ISNUMBER(SEARCH("Senior",C409)),ISNUMBER(SEARCH("Sr.",C409))),90,IF(OR(ISNUMBER(SEARCH("Manager",C409)),ISNUMBER(SEARCH("Program",C409)),ISNUMBER(SEARCH("Portfolio",C409))),80,60)))</f>
        <v/>
      </c>
      <c r="V409" s="52">
        <f>IF(C409="","",IF(OR(ISNUMBER(SEARCH("AI",C409)),ISNUMBER(SEARCH("Data",C409)),ISNUMBER(SEARCH("Technology",C409)),ISNUMBER(SEARCH("Technical",C409)),ISNUMBER(SEARCH("Engineering",C409)),ISNUMBER(SEARCH("Platform",C409)),ISNUMBER(SEARCH("Portfolio",C409))),85,65))</f>
        <v/>
      </c>
      <c r="W409" s="52">
        <f>IF(C409="","",MIN(100,50+IF(S409&lt;&gt;"",25,0)+IF(R409&lt;&gt;"",15,0)+IF(P409&lt;&gt;"",10,0)))</f>
        <v/>
      </c>
      <c r="X409" s="52">
        <f>IF(E409="","",IF(OR(E409="Canada",E409="CA"),100,IF(OR(E409="United States",E409="USA",E409="US"),IF(J409="Yes",45,75),65)))</f>
        <v/>
      </c>
      <c r="Y409" s="52">
        <f>IF(C409="","",IF(OR(ISNUMBER(SEARCH("Program",C409)),ISNUMBER(SEARCH("Portfolio",C409)),ISNUMBER(SEARCH("Operations",C409)),ISNUMBER(SEARCH("Transformation",C409))),85,IF(ISNUMBER(SEARCH("Product Manager",C409)),55,70)))</f>
        <v/>
      </c>
      <c r="Z409" s="52">
        <f>IF(C409="","",MIN(100,IF(I409&lt;&gt;"",60,10)+IF(AA409&gt;0,MIN(40,AA409*20),0)))</f>
        <v/>
      </c>
      <c r="AA409" s="52">
        <f>IF(T409="","",ROUND(T409*25%+U409*15%+V409*10%+W409*15%+X409*15%+Y409*10%+Z409*10%,0))</f>
        <v/>
      </c>
      <c r="AB409" s="52">
        <f>IF(AA409="","",IF(X409&lt;50,"Selective / Barrier",IF(AA409&gt;=80,"Tier 1 - Pursue",IF(AA409&gt;=70,"Tier 2 - Pursue",IF(AA409&gt;=60,"Tier 3 - Selective","Do Not Pursue")))))</f>
        <v/>
      </c>
      <c r="AC409" s="52">
        <f>IF(C409="","",IF(I409&lt;&gt;"","Named Contact",IF(AA409&gt;0,"Outreach Logged","Cold")))</f>
        <v/>
      </c>
      <c r="AD409" s="52">
        <f>IF(B409="","",COUNTIF('Outreach Log'!$C:$C,B409))</f>
        <v/>
      </c>
      <c r="AE409" s="52">
        <f>IF(A409="","",IF(OR(K409="Rejected",K409="Closed"),IF(L409&lt;&gt;"",L409-A409,TODAY()-A409),TODAY()-A409))</f>
        <v/>
      </c>
      <c r="AF409" s="52">
        <f>IF(C409="","",IF(AND(AA409&gt;=70,AC409="Cold"),"High-fit but cold",IF(AND(AA409&lt;60,K409="Applied"),"Low-fit application",IF(AND(AA409&gt;=70,OR(AC409="Named Contact",AC409="Outreach Logged")),"Targeted pursuit","Review"))))</f>
        <v/>
      </c>
    </row>
    <row r="410" ht="15" customHeight="1" s="44">
      <c r="A410" s="53" t="n">
        <v>46280</v>
      </c>
      <c r="B410" s="48" t="inlineStr">
        <is>
          <t>Dutch</t>
        </is>
      </c>
      <c r="C410" s="48" t="inlineStr">
        <is>
          <t>Senior Project Manager</t>
        </is>
      </c>
      <c r="D410" s="48" t="n"/>
      <c r="E410" s="48" t="n"/>
      <c r="F410" s="48" t="n"/>
      <c r="G410" s="48" t="n"/>
      <c r="H410" s="48" t="n"/>
      <c r="I410" s="48" t="n"/>
      <c r="J410" s="48" t="n"/>
      <c r="K410" s="49" t="inlineStr">
        <is>
          <t>Rejected</t>
        </is>
      </c>
      <c r="L410" s="48" t="n"/>
      <c r="M410" s="48" t="n"/>
      <c r="N410" s="48" t="n"/>
      <c r="O410" s="48" t="n"/>
      <c r="P410" s="51" t="inlineStr">
        <is>
          <t>Rejected (per Greenhouse portal review, Sep 20 2026). Moving forward with other candidates</t>
        </is>
      </c>
      <c r="Q410" s="48" t="n"/>
      <c r="R410" s="48" t="n"/>
      <c r="S410" s="51" t="n"/>
      <c r="T410" s="52">
        <f>IF(G410="","",G410)</f>
        <v/>
      </c>
      <c r="U410" s="52">
        <f>IF(C410="","",IF(OR(ISNUMBER(SEARCH("Director",C410)),ISNUMBER(SEARCH("Lead",C410)),ISNUMBER(SEARCH("Senior",C410)),ISNUMBER(SEARCH("Sr.",C410))),90,IF(OR(ISNUMBER(SEARCH("Manager",C410)),ISNUMBER(SEARCH("Program",C410)),ISNUMBER(SEARCH("Portfolio",C410))),80,60)))</f>
        <v/>
      </c>
      <c r="V410" s="52">
        <f>IF(C410="","",IF(OR(ISNUMBER(SEARCH("AI",C410)),ISNUMBER(SEARCH("Data",C410)),ISNUMBER(SEARCH("Technology",C410)),ISNUMBER(SEARCH("Technical",C410)),ISNUMBER(SEARCH("Engineering",C410)),ISNUMBER(SEARCH("Platform",C410)),ISNUMBER(SEARCH("Portfolio",C410))),85,65))</f>
        <v/>
      </c>
      <c r="W410" s="52">
        <f>IF(C410="","",MIN(100,50+IF(S410&lt;&gt;"",25,0)+IF(R410&lt;&gt;"",15,0)+IF(P410&lt;&gt;"",10,0)))</f>
        <v/>
      </c>
      <c r="X410" s="52">
        <f>IF(E410="","",IF(OR(E410="Canada",E410="CA"),100,IF(OR(E410="United States",E410="USA",E410="US"),IF(J410="Yes",45,75),65)))</f>
        <v/>
      </c>
      <c r="Y410" s="52">
        <f>IF(C410="","",IF(OR(ISNUMBER(SEARCH("Program",C410)),ISNUMBER(SEARCH("Portfolio",C410)),ISNUMBER(SEARCH("Operations",C410)),ISNUMBER(SEARCH("Transformation",C410))),85,IF(ISNUMBER(SEARCH("Product Manager",C410)),55,70)))</f>
        <v/>
      </c>
      <c r="Z410" s="52">
        <f>IF(C410="","",MIN(100,IF(I410&lt;&gt;"",60,10)+IF(AA410&gt;0,MIN(40,AA410*20),0)))</f>
        <v/>
      </c>
      <c r="AA410" s="52">
        <f>IF(T410="","",ROUND(T410*25%+U410*15%+V410*10%+W410*15%+X410*15%+Y410*10%+Z410*10%,0))</f>
        <v/>
      </c>
      <c r="AB410" s="52">
        <f>IF(AA410="","",IF(X410&lt;50,"Selective / Barrier",IF(AA410&gt;=80,"Tier 1 - Pursue",IF(AA410&gt;=70,"Tier 2 - Pursue",IF(AA410&gt;=60,"Tier 3 - Selective","Do Not Pursue")))))</f>
        <v/>
      </c>
      <c r="AC410" s="52">
        <f>IF(C410="","",IF(I410&lt;&gt;"","Named Contact",IF(AA410&gt;0,"Outreach Logged","Cold")))</f>
        <v/>
      </c>
      <c r="AD410" s="52">
        <f>IF(B410="","",COUNTIF('Outreach Log'!$C:$C,B410))</f>
        <v/>
      </c>
      <c r="AE410" s="52">
        <f>IF(A410="","",IF(OR(K410="Rejected",K410="Closed"),IF(L410&lt;&gt;"",L410-A410,TODAY()-A410),TODAY()-A410))</f>
        <v/>
      </c>
      <c r="AF410" s="52">
        <f>IF(C410="","",IF(AND(AA410&gt;=70,AC410="Cold"),"High-fit but cold",IF(AND(AA410&lt;60,K410="Applied"),"Low-fit application",IF(AND(AA410&gt;=70,OR(AC410="Named Contact",AC410="Outreach Logged")),"Targeted pursuit","Review"))))</f>
        <v/>
      </c>
    </row>
    <row r="411" ht="15" customHeight="1" s="44">
      <c r="A411" s="53" t="n">
        <v>46280</v>
      </c>
      <c r="B411" s="48" t="inlineStr">
        <is>
          <t>Coupang</t>
        </is>
      </c>
      <c r="C411" s="48" t="inlineStr">
        <is>
          <t>Senior Staff TPM</t>
        </is>
      </c>
      <c r="D411" s="48" t="n"/>
      <c r="E411" s="48" t="n"/>
      <c r="F411" s="48" t="n"/>
      <c r="G411" s="48" t="n"/>
      <c r="H411" s="48" t="n"/>
      <c r="I411" s="48" t="n"/>
      <c r="J411" s="48" t="n"/>
      <c r="K411" s="55" t="inlineStr">
        <is>
          <t>Applied</t>
        </is>
      </c>
      <c r="L411" s="48" t="n"/>
      <c r="M411" s="48" t="n"/>
      <c r="N411" s="48" t="n"/>
      <c r="O411" s="48" t="n"/>
      <c r="P411" s="51" t="inlineStr">
        <is>
          <t>From Greenhouse portal review, Sep 20 2026.</t>
        </is>
      </c>
      <c r="Q411" s="48" t="n"/>
      <c r="R411" s="48" t="n"/>
      <c r="S411" s="51" t="n"/>
      <c r="T411" s="52">
        <f>IF(G411="","",G411)</f>
        <v/>
      </c>
      <c r="U411" s="52">
        <f>IF(C411="","",IF(OR(ISNUMBER(SEARCH("Director",C411)),ISNUMBER(SEARCH("Lead",C411)),ISNUMBER(SEARCH("Senior",C411)),ISNUMBER(SEARCH("Sr.",C411))),90,IF(OR(ISNUMBER(SEARCH("Manager",C411)),ISNUMBER(SEARCH("Program",C411)),ISNUMBER(SEARCH("Portfolio",C411))),80,60)))</f>
        <v/>
      </c>
      <c r="V411" s="52">
        <f>IF(C411="","",IF(OR(ISNUMBER(SEARCH("AI",C411)),ISNUMBER(SEARCH("Data",C411)),ISNUMBER(SEARCH("Technology",C411)),ISNUMBER(SEARCH("Technical",C411)),ISNUMBER(SEARCH("Engineering",C411)),ISNUMBER(SEARCH("Platform",C411)),ISNUMBER(SEARCH("Portfolio",C411))),85,65))</f>
        <v/>
      </c>
      <c r="W411" s="52">
        <f>IF(C411="","",MIN(100,50+IF(S411&lt;&gt;"",25,0)+IF(R411&lt;&gt;"",15,0)+IF(P411&lt;&gt;"",10,0)))</f>
        <v/>
      </c>
      <c r="X411" s="52">
        <f>IF(E411="","",IF(OR(E411="Canada",E411="CA"),100,IF(OR(E411="United States",E411="USA",E411="US"),IF(J411="Yes",45,75),65)))</f>
        <v/>
      </c>
      <c r="Y411" s="52">
        <f>IF(C411="","",IF(OR(ISNUMBER(SEARCH("Program",C411)),ISNUMBER(SEARCH("Portfolio",C411)),ISNUMBER(SEARCH("Operations",C411)),ISNUMBER(SEARCH("Transformation",C411))),85,IF(ISNUMBER(SEARCH("Product Manager",C411)),55,70)))</f>
        <v/>
      </c>
      <c r="Z411" s="52">
        <f>IF(C411="","",MIN(100,IF(I411&lt;&gt;"",60,10)+IF(AA411&gt;0,MIN(40,AA411*20),0)))</f>
        <v/>
      </c>
      <c r="AA411" s="52">
        <f>IF(T411="","",ROUND(T411*25%+U411*15%+V411*10%+W411*15%+X411*15%+Y411*10%+Z411*10%,0))</f>
        <v/>
      </c>
      <c r="AB411" s="52">
        <f>IF(AA411="","",IF(X411&lt;50,"Selective / Barrier",IF(AA411&gt;=80,"Tier 1 - Pursue",IF(AA411&gt;=70,"Tier 2 - Pursue",IF(AA411&gt;=60,"Tier 3 - Selective","Do Not Pursue")))))</f>
        <v/>
      </c>
      <c r="AC411" s="52">
        <f>IF(C411="","",IF(I411&lt;&gt;"","Named Contact",IF(AA411&gt;0,"Outreach Logged","Cold")))</f>
        <v/>
      </c>
      <c r="AD411" s="52">
        <f>IF(B411="","",COUNTIF('Outreach Log'!$C:$C,B411))</f>
        <v/>
      </c>
      <c r="AE411" s="52">
        <f>IF(A411="","",IF(OR(K411="Rejected",K411="Closed"),IF(L411&lt;&gt;"",L411-A411,TODAY()-A411),TODAY()-A411))</f>
        <v/>
      </c>
      <c r="AF411" s="52">
        <f>IF(C411="","",IF(AND(AA411&gt;=70,AC411="Cold"),"High-fit but cold",IF(AND(AA411&lt;60,K411="Applied"),"Low-fit application",IF(AND(AA411&gt;=70,OR(AC411="Named Contact",AC411="Outreach Logged")),"Targeted pursuit","Review"))))</f>
        <v/>
      </c>
    </row>
    <row r="412" ht="15" customHeight="1" s="44">
      <c r="A412" s="53" t="n">
        <v>46281</v>
      </c>
      <c r="B412" s="48" t="inlineStr">
        <is>
          <t>Apple</t>
        </is>
      </c>
      <c r="C412" s="48" t="inlineStr">
        <is>
          <t>Engineering Program Manager, Decision Intelligence (Role 200668202-0836)</t>
        </is>
      </c>
      <c r="D412" s="48" t="inlineStr">
        <is>
          <t>Manager</t>
        </is>
      </c>
      <c r="E412" s="48" t="inlineStr">
        <is>
          <t>US</t>
        </is>
      </c>
      <c r="F412" s="48" t="inlineStr">
        <is>
          <t>Cupertino, CA</t>
        </is>
      </c>
      <c r="G412" s="48" t="n">
        <v>80</v>
      </c>
      <c r="H412" s="48" t="inlineStr">
        <is>
          <t>Cold Portal</t>
        </is>
      </c>
      <c r="I412" s="48" t="n"/>
      <c r="J412" s="48" t="inlineStr">
        <is>
          <t>Yes</t>
        </is>
      </c>
      <c r="K412" s="55" t="inlineStr">
        <is>
          <t>Applied</t>
        </is>
      </c>
      <c r="L412" s="48" t="n"/>
      <c r="M412" s="48">
        <f>IF(OR(L255="",A255=""),"",L255-A255)</f>
        <v/>
      </c>
      <c r="N412" s="48" t="n"/>
      <c r="O412" s="48" t="n"/>
      <c r="P412" s="51" t="inlineStr">
        <is>
          <t>Applied 2026-09-16 (confirmation via appleworldwiderecruiting@email.apple.com). Apple Sales org, US Decision Intelligence (DI) team — AI-enabled insights generation and data operations. Tailored resume built (STAR format, matching Elena_Nordstrom_TPM_STAR.docx structure), leading with Amazon Data-Quality Governance &amp; Benchmarks bullet as the closest match. Est. fit score: 80 — data pipeline validation, AI-enabled insights, and execution-plan ownership map directly to her Amazon/Bell experience; gap is "hands-on shipped pipelines/models" IC-level requirement vs. her program-governance-level involvement. | Location confirmed by Elena 2026-09-16: Cupertino, CA.</t>
        </is>
      </c>
      <c r="Q412" s="48" t="n"/>
      <c r="R412" s="48" t="n"/>
      <c r="S412" s="51" t="n"/>
      <c r="T412" s="52">
        <f>IF(G412="","",G412)</f>
        <v/>
      </c>
      <c r="U412" s="52">
        <f>IF(C412="","",IF(OR(ISNUMBER(SEARCH("Director",C412)),ISNUMBER(SEARCH("Lead",C412)),ISNUMBER(SEARCH("Senior",C412)),ISNUMBER(SEARCH("Sr.",C412))),90,IF(OR(ISNUMBER(SEARCH("Manager",C412)),ISNUMBER(SEARCH("Program",C412)),ISNUMBER(SEARCH("Portfolio",C412))),80,60)))</f>
        <v/>
      </c>
      <c r="V412" s="52">
        <f>IF(C412="","",IF(OR(ISNUMBER(SEARCH("AI",C412)),ISNUMBER(SEARCH("Data",C412)),ISNUMBER(SEARCH("Technology",C412)),ISNUMBER(SEARCH("Technical",C412)),ISNUMBER(SEARCH("Engineering",C412)),ISNUMBER(SEARCH("Platform",C412)),ISNUMBER(SEARCH("Portfolio",C412))),85,65))</f>
        <v/>
      </c>
      <c r="W412" s="52">
        <f>IF(C412="","",MIN(100,50+IF(S412&lt;&gt;"",25,0)+IF(R412&lt;&gt;"",15,0)+IF(P412&lt;&gt;"",10,0)))</f>
        <v/>
      </c>
      <c r="X412" s="52">
        <f>IF(E412="","",IF(OR(E412="Canada",E412="CA"),100,IF(OR(E412="United States",E412="USA",E412="US"),IF(J412="Yes",45,75),65)))</f>
        <v/>
      </c>
      <c r="Y412" s="52">
        <f>IF(C412="","",IF(OR(ISNUMBER(SEARCH("Program",C412)),ISNUMBER(SEARCH("Portfolio",C412)),ISNUMBER(SEARCH("Operations",C412)),ISNUMBER(SEARCH("Transformation",C412))),85,IF(ISNUMBER(SEARCH("Product Manager",C412)),55,70)))</f>
        <v/>
      </c>
      <c r="Z412" s="52">
        <f>IF(C412="","",MIN(100,IF(I412&lt;&gt;"",60,10)+IF(AA412&gt;0,MIN(40,AA412*20),0)))</f>
        <v/>
      </c>
      <c r="AA412" s="52">
        <f>IF(T412="","",ROUND(T412*25%+U412*15%+V412*10%+W412*15%+X412*15%+Y412*10%+Z412*10%,0))</f>
        <v/>
      </c>
      <c r="AB412" s="52">
        <f>IF(AA412="","",IF(X412&lt;50,"Selective / Barrier",IF(AA412&gt;=80,"Tier 1 - Pursue",IF(AA412&gt;=70,"Tier 2 - Pursue",IF(AA412&gt;=60,"Tier 3 - Selective","Do Not Pursue")))))</f>
        <v/>
      </c>
      <c r="AC412" s="52">
        <f>IF(C412="","",IF(I412&lt;&gt;"","Named Contact",IF(AA412&gt;0,"Outreach Logged","Cold")))</f>
        <v/>
      </c>
      <c r="AD412" s="52">
        <f>IF(B412="","",COUNTIF('Outreach Log'!$C:$C,B412))</f>
        <v/>
      </c>
      <c r="AE412" s="52">
        <f>IF(A412="","",IF(OR(K412="Rejected",K412="Closed"),IF(L412&lt;&gt;"",L412-A412,TODAY()-A412),TODAY()-A412))</f>
        <v/>
      </c>
      <c r="AF412" s="52">
        <f>IF(C412="","",IF(AND(AA412&gt;=70,AC412="Cold"),"High-fit but cold",IF(AND(AA412&lt;60,K412="Applied"),"Low-fit application",IF(AND(AA412&gt;=70,OR(AC412="Named Contact",AC412="Outreach Logged")),"Targeted pursuit","Review"))))</f>
        <v/>
      </c>
    </row>
    <row r="413" ht="15" customHeight="1" s="44">
      <c r="A413" s="53" t="n">
        <v>46281</v>
      </c>
      <c r="B413" s="48" t="inlineStr">
        <is>
          <t>Apple</t>
        </is>
      </c>
      <c r="C413" s="48" t="inlineStr">
        <is>
          <t>Engineering Program Manager, Ad Platforms (Role 200680222)</t>
        </is>
      </c>
      <c r="D413" s="48" t="inlineStr">
        <is>
          <t>Manager</t>
        </is>
      </c>
      <c r="E413" s="48" t="inlineStr">
        <is>
          <t>US</t>
        </is>
      </c>
      <c r="F413" s="48" t="inlineStr">
        <is>
          <t>Cupertino, CA</t>
        </is>
      </c>
      <c r="G413" s="48" t="n">
        <v>68</v>
      </c>
      <c r="H413" s="48" t="inlineStr">
        <is>
          <t>Cold Portal</t>
        </is>
      </c>
      <c r="I413" s="48" t="n"/>
      <c r="J413" s="48" t="inlineStr">
        <is>
          <t>Yes</t>
        </is>
      </c>
      <c r="K413" s="55" t="inlineStr">
        <is>
          <t>Applied</t>
        </is>
      </c>
      <c r="L413" s="48" t="n"/>
      <c r="M413" s="48">
        <f>IF(OR(L256="",A256=""),"",L256-A256)</f>
        <v/>
      </c>
      <c r="N413" s="48" t="n"/>
      <c r="O413" s="48" t="n"/>
      <c r="P413" s="51" t="inlineStr">
        <is>
          <t>Applied 2026-09-16 (confirmation via appleworldwiderecruiting@email.apple.com). 2nd Apple application same day — distinct from row 238 (Engineering Program Manager, Decision Intelligence, Role 200668202). Est. fit score: 68 — Engineering Program Manager title matches her core lane, but Ad Platforms domain has no direct precedent (vs. the strong data-quality/AI-insights parallel on the DI role). | Location confirmed by Elena 2026-09-16: Cupertino, CA.</t>
        </is>
      </c>
      <c r="Q413" s="48" t="n"/>
      <c r="R413" s="48" t="n"/>
      <c r="S413" s="51" t="n"/>
      <c r="T413" s="52">
        <f>IF(G413="","",G413)</f>
        <v/>
      </c>
      <c r="U413" s="52">
        <f>IF(C413="","",IF(OR(ISNUMBER(SEARCH("Director",C413)),ISNUMBER(SEARCH("Lead",C413)),ISNUMBER(SEARCH("Senior",C413)),ISNUMBER(SEARCH("Sr.",C413))),90,IF(OR(ISNUMBER(SEARCH("Manager",C413)),ISNUMBER(SEARCH("Program",C413)),ISNUMBER(SEARCH("Portfolio",C413))),80,60)))</f>
        <v/>
      </c>
      <c r="V413" s="52">
        <f>IF(C413="","",IF(OR(ISNUMBER(SEARCH("AI",C413)),ISNUMBER(SEARCH("Data",C413)),ISNUMBER(SEARCH("Technology",C413)),ISNUMBER(SEARCH("Technical",C413)),ISNUMBER(SEARCH("Engineering",C413)),ISNUMBER(SEARCH("Platform",C413)),ISNUMBER(SEARCH("Portfolio",C413))),85,65))</f>
        <v/>
      </c>
      <c r="W413" s="52">
        <f>IF(C413="","",MIN(100,50+IF(S413&lt;&gt;"",25,0)+IF(R413&lt;&gt;"",15,0)+IF(P413&lt;&gt;"",10,0)))</f>
        <v/>
      </c>
      <c r="X413" s="52">
        <f>IF(E413="","",IF(OR(E413="Canada",E413="CA"),100,IF(OR(E413="United States",E413="USA",E413="US"),IF(J413="Yes",45,75),65)))</f>
        <v/>
      </c>
      <c r="Y413" s="52">
        <f>IF(C413="","",IF(OR(ISNUMBER(SEARCH("Program",C413)),ISNUMBER(SEARCH("Portfolio",C413)),ISNUMBER(SEARCH("Operations",C413)),ISNUMBER(SEARCH("Transformation",C413))),85,IF(ISNUMBER(SEARCH("Product Manager",C413)),55,70)))</f>
        <v/>
      </c>
      <c r="Z413" s="52">
        <f>IF(C413="","",MIN(100,IF(I413&lt;&gt;"",60,10)+IF(AA413&gt;0,MIN(40,AA413*20),0)))</f>
        <v/>
      </c>
      <c r="AA413" s="52">
        <f>IF(T413="","",ROUND(T413*25%+U413*15%+V413*10%+W413*15%+X413*15%+Y413*10%+Z413*10%,0))</f>
        <v/>
      </c>
      <c r="AB413" s="52">
        <f>IF(AA413="","",IF(X413&lt;50,"Selective / Barrier",IF(AA413&gt;=80,"Tier 1 - Pursue",IF(AA413&gt;=70,"Tier 2 - Pursue",IF(AA413&gt;=60,"Tier 3 - Selective","Do Not Pursue")))))</f>
        <v/>
      </c>
      <c r="AC413" s="52">
        <f>IF(C413="","",IF(I413&lt;&gt;"","Named Contact",IF(AA413&gt;0,"Outreach Logged","Cold")))</f>
        <v/>
      </c>
      <c r="AD413" s="52">
        <f>IF(B413="","",COUNTIF('Outreach Log'!$C:$C,B413))</f>
        <v/>
      </c>
      <c r="AE413" s="52">
        <f>IF(A413="","",IF(OR(K413="Rejected",K413="Closed"),IF(L413&lt;&gt;"",L413-A413,TODAY()-A413),TODAY()-A413))</f>
        <v/>
      </c>
      <c r="AF413" s="52">
        <f>IF(C413="","",IF(AND(AA413&gt;=70,AC413="Cold"),"High-fit but cold",IF(AND(AA413&lt;60,K413="Applied"),"Low-fit application",IF(AND(AA413&gt;=70,OR(AC413="Named Contact",AC413="Outreach Logged")),"Targeted pursuit","Review"))))</f>
        <v/>
      </c>
    </row>
    <row r="414" ht="15" customHeight="1" s="44">
      <c r="A414" s="53" t="n">
        <v>46281</v>
      </c>
      <c r="B414" s="48" t="inlineStr">
        <is>
          <t>Uber</t>
        </is>
      </c>
      <c r="C414" s="48" t="inlineStr">
        <is>
          <t>Sr Technical Program Manager - Program Management (Tech) (Req 302487)</t>
        </is>
      </c>
      <c r="D414" s="48" t="inlineStr">
        <is>
          <t>Senior</t>
        </is>
      </c>
      <c r="E414" s="48" t="inlineStr">
        <is>
          <t>US</t>
        </is>
      </c>
      <c r="F414" s="48" t="inlineStr">
        <is>
          <t>San Francisco, CA</t>
        </is>
      </c>
      <c r="G414" s="48" t="n">
        <v>80</v>
      </c>
      <c r="H414" s="48" t="inlineStr">
        <is>
          <t>Cold Portal</t>
        </is>
      </c>
      <c r="I414" s="48" t="n"/>
      <c r="J414" s="48" t="inlineStr">
        <is>
          <t>Yes</t>
        </is>
      </c>
      <c r="K414" s="49" t="inlineStr">
        <is>
          <t>Rejected</t>
        </is>
      </c>
      <c r="L414" s="50" t="n">
        <v>46284</v>
      </c>
      <c r="M414" s="48">
        <f>IF(OR(L257="",A257=""),"",L257-A257)</f>
        <v/>
      </c>
      <c r="N414" s="48" t="n"/>
      <c r="O414" s="48" t="n"/>
      <c r="P414" s="51" t="inlineStr">
        <is>
          <t>Applied 2026-09-16. Tailored resume built matching Elena_Shchetinina_Resume-3.docx structure (table-based Core Capabilities, bolded-phrase bullets), reframed around distributed systems/data infrastructure/execution velocity language from the JD. Est. fit score: 80 — one of her strongest matches: technical program lifecycle ownership, cross-team dependency management, Product/Engineering/Data Science span, and real-time platform scale all map directly to her Amazon and Bell experience. | REJECTED 2026-09-19: Uber (Talent@uber.com) — "not a match for this role."</t>
        </is>
      </c>
      <c r="Q414" s="48" t="n"/>
      <c r="R414" s="48" t="n"/>
      <c r="S414" s="51" t="n"/>
      <c r="T414" s="52">
        <f>IF(G414="","",G414)</f>
        <v/>
      </c>
      <c r="U414" s="52">
        <f>IF(C414="","",IF(OR(ISNUMBER(SEARCH("Director",C414)),ISNUMBER(SEARCH("Lead",C414)),ISNUMBER(SEARCH("Senior",C414)),ISNUMBER(SEARCH("Sr.",C414))),90,IF(OR(ISNUMBER(SEARCH("Manager",C414)),ISNUMBER(SEARCH("Program",C414)),ISNUMBER(SEARCH("Portfolio",C414))),80,60)))</f>
        <v/>
      </c>
      <c r="V414" s="52">
        <f>IF(C414="","",IF(OR(ISNUMBER(SEARCH("AI",C414)),ISNUMBER(SEARCH("Data",C414)),ISNUMBER(SEARCH("Technology",C414)),ISNUMBER(SEARCH("Technical",C414)),ISNUMBER(SEARCH("Engineering",C414)),ISNUMBER(SEARCH("Platform",C414)),ISNUMBER(SEARCH("Portfolio",C414))),85,65))</f>
        <v/>
      </c>
      <c r="W414" s="52">
        <f>IF(C414="","",MIN(100,50+IF(S414&lt;&gt;"",25,0)+IF(R414&lt;&gt;"",15,0)+IF(P414&lt;&gt;"",10,0)))</f>
        <v/>
      </c>
      <c r="X414" s="52">
        <f>IF(E414="","",IF(OR(E414="Canada",E414="CA"),100,IF(OR(E414="United States",E414="USA",E414="US"),IF(J414="Yes",45,75),65)))</f>
        <v/>
      </c>
      <c r="Y414" s="52">
        <f>IF(C414="","",IF(OR(ISNUMBER(SEARCH("Program",C414)),ISNUMBER(SEARCH("Portfolio",C414)),ISNUMBER(SEARCH("Operations",C414)),ISNUMBER(SEARCH("Transformation",C414))),85,IF(ISNUMBER(SEARCH("Product Manager",C414)),55,70)))</f>
        <v/>
      </c>
      <c r="Z414" s="52">
        <f>IF(C414="","",MIN(100,IF(I414&lt;&gt;"",60,10)+IF(AA414&gt;0,MIN(40,AA414*20),0)))</f>
        <v/>
      </c>
      <c r="AA414" s="52">
        <f>IF(T414="","",ROUND(T414*25%+U414*15%+V414*10%+W414*15%+X414*15%+Y414*10%+Z414*10%,0))</f>
        <v/>
      </c>
      <c r="AB414" s="52">
        <f>IF(AA414="","",IF(X414&lt;50,"Selective / Barrier",IF(AA414&gt;=80,"Tier 1 - Pursue",IF(AA414&gt;=70,"Tier 2 - Pursue",IF(AA414&gt;=60,"Tier 3 - Selective","Do Not Pursue")))))</f>
        <v/>
      </c>
      <c r="AC414" s="52">
        <f>IF(C414="","",IF(I414&lt;&gt;"","Named Contact",IF(AA414&gt;0,"Outreach Logged","Cold")))</f>
        <v/>
      </c>
      <c r="AD414" s="52">
        <f>IF(B414="","",COUNTIF('Outreach Log'!$C:$C,B414))</f>
        <v/>
      </c>
      <c r="AE414" s="52">
        <f>IF(A414="","",IF(OR(K414="Rejected",K414="Closed"),IF(L414&lt;&gt;"",L414-A414,TODAY()-A414),TODAY()-A414))</f>
        <v/>
      </c>
      <c r="AF414" s="52">
        <f>IF(C414="","",IF(AND(AA414&gt;=70,AC414="Cold"),"High-fit but cold",IF(AND(AA414&lt;60,K414="Applied"),"Low-fit application",IF(AND(AA414&gt;=70,OR(AC414="Named Contact",AC414="Outreach Logged")),"Targeted pursuit","Review"))))</f>
        <v/>
      </c>
    </row>
    <row r="415" ht="15" customHeight="1" s="44">
      <c r="A415" s="53" t="n">
        <v>46281</v>
      </c>
      <c r="B415" s="48" t="inlineStr">
        <is>
          <t>Invesco</t>
        </is>
      </c>
      <c r="C415" s="48" t="inlineStr">
        <is>
          <t>Director, Global Digital Platform Technology Lead</t>
        </is>
      </c>
      <c r="D415" s="48" t="inlineStr">
        <is>
          <t>Director</t>
        </is>
      </c>
      <c r="E415" s="48" t="inlineStr">
        <is>
          <t>US</t>
        </is>
      </c>
      <c r="F415" s="48" t="inlineStr">
        <is>
          <t>Unconfirmed</t>
        </is>
      </c>
      <c r="G415" s="48" t="n">
        <v>82</v>
      </c>
      <c r="H415" s="48" t="inlineStr">
        <is>
          <t>Cold Portal</t>
        </is>
      </c>
      <c r="I415" s="48" t="n"/>
      <c r="J415" s="48" t="inlineStr">
        <is>
          <t>Yes</t>
        </is>
      </c>
      <c r="K415" s="55" t="inlineStr">
        <is>
          <t>Applied</t>
        </is>
      </c>
      <c r="L415" s="48" t="n"/>
      <c r="M415" s="48">
        <f>IF(OR(L258="",A258=""),"",L258-A258)</f>
        <v/>
      </c>
      <c r="N415" s="48" t="n"/>
      <c r="O415" s="48" t="n"/>
      <c r="P415" s="51" t="inlineStr">
        <is>
          <t>Applied 2026-09-16 (confirmation via Workday@invesco.com). Found via Dice job-match automation as a "verified" direct-employer role. Est. fit score: 82 — Director-level Global Digital Platform Technology Lead is an excellent title match to her "Digital Platform &amp; Technology Transformation Leader" resume framing (Resume-3), directly matching her Bell Enterprise Architecture and digital-platform modernization work. Location unconfirmed — verify.</t>
        </is>
      </c>
      <c r="Q415" s="48" t="n"/>
      <c r="R415" s="48" t="n"/>
      <c r="S415" s="51" t="n"/>
      <c r="T415" s="52">
        <f>IF(G415="","",G415)</f>
        <v/>
      </c>
      <c r="U415" s="52">
        <f>IF(C415="","",IF(OR(ISNUMBER(SEARCH("Director",C415)),ISNUMBER(SEARCH("Lead",C415)),ISNUMBER(SEARCH("Senior",C415)),ISNUMBER(SEARCH("Sr.",C415))),90,IF(OR(ISNUMBER(SEARCH("Manager",C415)),ISNUMBER(SEARCH("Program",C415)),ISNUMBER(SEARCH("Portfolio",C415))),80,60)))</f>
        <v/>
      </c>
      <c r="V415" s="52">
        <f>IF(C415="","",IF(OR(ISNUMBER(SEARCH("AI",C415)),ISNUMBER(SEARCH("Data",C415)),ISNUMBER(SEARCH("Technology",C415)),ISNUMBER(SEARCH("Technical",C415)),ISNUMBER(SEARCH("Engineering",C415)),ISNUMBER(SEARCH("Platform",C415)),ISNUMBER(SEARCH("Portfolio",C415))),85,65))</f>
        <v/>
      </c>
      <c r="W415" s="52">
        <f>IF(C415="","",MIN(100,50+IF(S415&lt;&gt;"",25,0)+IF(R415&lt;&gt;"",15,0)+IF(P415&lt;&gt;"",10,0)))</f>
        <v/>
      </c>
      <c r="X415" s="52">
        <f>IF(E415="","",IF(OR(E415="Canada",E415="CA"),100,IF(OR(E415="United States",E415="USA",E415="US"),IF(J415="Yes",45,75),65)))</f>
        <v/>
      </c>
      <c r="Y415" s="52">
        <f>IF(C415="","",IF(OR(ISNUMBER(SEARCH("Program",C415)),ISNUMBER(SEARCH("Portfolio",C415)),ISNUMBER(SEARCH("Operations",C415)),ISNUMBER(SEARCH("Transformation",C415))),85,IF(ISNUMBER(SEARCH("Product Manager",C415)),55,70)))</f>
        <v/>
      </c>
      <c r="Z415" s="52">
        <f>IF(C415="","",MIN(100,IF(I415&lt;&gt;"",60,10)+IF(AA415&gt;0,MIN(40,AA415*20),0)))</f>
        <v/>
      </c>
      <c r="AA415" s="52">
        <f>IF(T415="","",ROUND(T415*25%+U415*15%+V415*10%+W415*15%+X415*15%+Y415*10%+Z415*10%,0))</f>
        <v/>
      </c>
      <c r="AB415" s="52">
        <f>IF(AA415="","",IF(X415&lt;50,"Selective / Barrier",IF(AA415&gt;=80,"Tier 1 - Pursue",IF(AA415&gt;=70,"Tier 2 - Pursue",IF(AA415&gt;=60,"Tier 3 - Selective","Do Not Pursue")))))</f>
        <v/>
      </c>
      <c r="AC415" s="52">
        <f>IF(C415="","",IF(I415&lt;&gt;"","Named Contact",IF(AA415&gt;0,"Outreach Logged","Cold")))</f>
        <v/>
      </c>
      <c r="AD415" s="52">
        <f>IF(B415="","",COUNTIF('Outreach Log'!$C:$C,B415))</f>
        <v/>
      </c>
      <c r="AE415" s="52">
        <f>IF(A415="","",IF(OR(K415="Rejected",K415="Closed"),IF(L415&lt;&gt;"",L415-A415,TODAY()-A415),TODAY()-A415))</f>
        <v/>
      </c>
      <c r="AF415" s="52">
        <f>IF(C415="","",IF(AND(AA415&gt;=70,AC415="Cold"),"High-fit but cold",IF(AND(AA415&lt;60,K415="Applied"),"Low-fit application",IF(AND(AA415&gt;=70,OR(AC415="Named Contact",AC415="Outreach Logged")),"Targeted pursuit","Review"))))</f>
        <v/>
      </c>
    </row>
    <row r="416" ht="15" customHeight="1" s="44">
      <c r="A416" s="53" t="n">
        <v>46282</v>
      </c>
      <c r="B416" s="48" t="inlineStr">
        <is>
          <t>Datadog</t>
        </is>
      </c>
      <c r="C416" s="48" t="inlineStr">
        <is>
          <t>Technical Program Manager II</t>
        </is>
      </c>
      <c r="D416" s="48" t="inlineStr">
        <is>
          <t>Manager</t>
        </is>
      </c>
      <c r="E416" s="48" t="inlineStr">
        <is>
          <t>US</t>
        </is>
      </c>
      <c r="F416" s="48" t="inlineStr">
        <is>
          <t>Unconfirmed</t>
        </is>
      </c>
      <c r="G416" s="48" t="n">
        <v>78</v>
      </c>
      <c r="H416" s="48" t="inlineStr">
        <is>
          <t>Cold Portal</t>
        </is>
      </c>
      <c r="I416" s="48" t="n"/>
      <c r="J416" s="48" t="inlineStr">
        <is>
          <t>Yes</t>
        </is>
      </c>
      <c r="K416" s="55" t="inlineStr">
        <is>
          <t>Applied</t>
        </is>
      </c>
      <c r="L416" s="48" t="n"/>
      <c r="M416" s="48">
        <f>IF(OR(L259="",A259=""),"",L259-A259)</f>
        <v/>
      </c>
      <c r="N416" s="48" t="n"/>
      <c r="O416" s="48" t="n"/>
      <c r="P416" s="51" t="inlineStr">
        <is>
          <t>Applied 2026-09-17 (confirmation via no-reply@datadoghq.com). Est. fit score: 78 — TPM at a monitoring/observability data platform company aligns well with her data-platform governance track record (Amazon, Bell Data &amp; AI). Location unconfirmed — verify.</t>
        </is>
      </c>
      <c r="Q416" s="48" t="n"/>
      <c r="R416" s="48" t="n"/>
      <c r="S416" s="51" t="n"/>
      <c r="T416" s="52">
        <f>IF(G416="","",G416)</f>
        <v/>
      </c>
      <c r="U416" s="52">
        <f>IF(C416="","",IF(OR(ISNUMBER(SEARCH("Director",C416)),ISNUMBER(SEARCH("Lead",C416)),ISNUMBER(SEARCH("Senior",C416)),ISNUMBER(SEARCH("Sr.",C416))),90,IF(OR(ISNUMBER(SEARCH("Manager",C416)),ISNUMBER(SEARCH("Program",C416)),ISNUMBER(SEARCH("Portfolio",C416))),80,60)))</f>
        <v/>
      </c>
      <c r="V416" s="52">
        <f>IF(C416="","",IF(OR(ISNUMBER(SEARCH("AI",C416)),ISNUMBER(SEARCH("Data",C416)),ISNUMBER(SEARCH("Technology",C416)),ISNUMBER(SEARCH("Technical",C416)),ISNUMBER(SEARCH("Engineering",C416)),ISNUMBER(SEARCH("Platform",C416)),ISNUMBER(SEARCH("Portfolio",C416))),85,65))</f>
        <v/>
      </c>
      <c r="W416" s="52">
        <f>IF(C416="","",MIN(100,50+IF(S416&lt;&gt;"",25,0)+IF(R416&lt;&gt;"",15,0)+IF(P416&lt;&gt;"",10,0)))</f>
        <v/>
      </c>
      <c r="X416" s="52">
        <f>IF(E416="","",IF(OR(E416="Canada",E416="CA"),100,IF(OR(E416="United States",E416="USA",E416="US"),IF(J416="Yes",45,75),65)))</f>
        <v/>
      </c>
      <c r="Y416" s="52">
        <f>IF(C416="","",IF(OR(ISNUMBER(SEARCH("Program",C416)),ISNUMBER(SEARCH("Portfolio",C416)),ISNUMBER(SEARCH("Operations",C416)),ISNUMBER(SEARCH("Transformation",C416))),85,IF(ISNUMBER(SEARCH("Product Manager",C416)),55,70)))</f>
        <v/>
      </c>
      <c r="Z416" s="52">
        <f>IF(C416="","",MIN(100,IF(I416&lt;&gt;"",60,10)+IF(AA416&gt;0,MIN(40,AA416*20),0)))</f>
        <v/>
      </c>
      <c r="AA416" s="52">
        <f>IF(T416="","",ROUND(T416*25%+U416*15%+V416*10%+W416*15%+X416*15%+Y416*10%+Z416*10%,0))</f>
        <v/>
      </c>
      <c r="AB416" s="52">
        <f>IF(AA416="","",IF(X416&lt;50,"Selective / Barrier",IF(AA416&gt;=80,"Tier 1 - Pursue",IF(AA416&gt;=70,"Tier 2 - Pursue",IF(AA416&gt;=60,"Tier 3 - Selective","Do Not Pursue")))))</f>
        <v/>
      </c>
      <c r="AC416" s="52">
        <f>IF(C416="","",IF(I416&lt;&gt;"","Named Contact",IF(AA416&gt;0,"Outreach Logged","Cold")))</f>
        <v/>
      </c>
      <c r="AD416" s="52">
        <f>IF(B416="","",COUNTIF('Outreach Log'!$C:$C,B416))</f>
        <v/>
      </c>
      <c r="AE416" s="52">
        <f>IF(A416="","",IF(OR(K416="Rejected",K416="Closed"),IF(L416&lt;&gt;"",L416-A416,TODAY()-A416),TODAY()-A416))</f>
        <v/>
      </c>
      <c r="AF416" s="52">
        <f>IF(C416="","",IF(AND(AA416&gt;=70,AC416="Cold"),"High-fit but cold",IF(AND(AA416&lt;60,K416="Applied"),"Low-fit application",IF(AND(AA416&gt;=70,OR(AC416="Named Contact",AC416="Outreach Logged")),"Targeted pursuit","Review"))))</f>
        <v/>
      </c>
    </row>
    <row r="417" ht="15" customHeight="1" s="44">
      <c r="A417" s="53" t="n">
        <v>46282</v>
      </c>
      <c r="B417" s="48" t="inlineStr">
        <is>
          <t>Clearwater Analytics</t>
        </is>
      </c>
      <c r="C417" s="48" t="inlineStr">
        <is>
          <t>Senior Program Manager</t>
        </is>
      </c>
      <c r="D417" s="48" t="inlineStr">
        <is>
          <t>Senior</t>
        </is>
      </c>
      <c r="E417" s="48" t="inlineStr">
        <is>
          <t>US</t>
        </is>
      </c>
      <c r="F417" s="48" t="inlineStr">
        <is>
          <t>New York, NY (On-site)</t>
        </is>
      </c>
      <c r="G417" s="48" t="n">
        <v>72</v>
      </c>
      <c r="H417" s="48" t="inlineStr">
        <is>
          <t>LinkedIn</t>
        </is>
      </c>
      <c r="I417" s="48" t="n"/>
      <c r="J417" s="48" t="inlineStr">
        <is>
          <t>Yes</t>
        </is>
      </c>
      <c r="K417" s="55" t="inlineStr">
        <is>
          <t>Applied</t>
        </is>
      </c>
      <c r="L417" s="48" t="n"/>
      <c r="M417" s="48">
        <f>IF(OR(L260="",A260=""),"",L260-A260)</f>
        <v/>
      </c>
      <c r="N417" s="48" t="n"/>
      <c r="O417" s="48" t="n"/>
      <c r="P417" s="51" t="inlineStr">
        <is>
          <t>Applied 2026-09-17 (via LinkedIn, "Application submitted" status confirmed by screenshot). Clearwater Analytics is an investment portfolio accounting/analytics platform company — Senior Program Manager title matches her core lane; investment/asset-management vertical is new but data/portfolio governance work (Bell TCO, Amazon catalog data) is directly relevant. On-site NY role, 80 applicants, actively reviewing.</t>
        </is>
      </c>
      <c r="Q417" s="48" t="n"/>
      <c r="R417" s="48" t="n"/>
      <c r="S417" s="51" t="n"/>
      <c r="T417" s="52">
        <f>IF(G417="","",G417)</f>
        <v/>
      </c>
      <c r="U417" s="52">
        <f>IF(C417="","",IF(OR(ISNUMBER(SEARCH("Director",C417)),ISNUMBER(SEARCH("Lead",C417)),ISNUMBER(SEARCH("Senior",C417)),ISNUMBER(SEARCH("Sr.",C417))),90,IF(OR(ISNUMBER(SEARCH("Manager",C417)),ISNUMBER(SEARCH("Program",C417)),ISNUMBER(SEARCH("Portfolio",C417))),80,60)))</f>
        <v/>
      </c>
      <c r="V417" s="52">
        <f>IF(C417="","",IF(OR(ISNUMBER(SEARCH("AI",C417)),ISNUMBER(SEARCH("Data",C417)),ISNUMBER(SEARCH("Technology",C417)),ISNUMBER(SEARCH("Technical",C417)),ISNUMBER(SEARCH("Engineering",C417)),ISNUMBER(SEARCH("Platform",C417)),ISNUMBER(SEARCH("Portfolio",C417))),85,65))</f>
        <v/>
      </c>
      <c r="W417" s="52">
        <f>IF(C417="","",MIN(100,50+IF(S417&lt;&gt;"",25,0)+IF(R417&lt;&gt;"",15,0)+IF(P417&lt;&gt;"",10,0)))</f>
        <v/>
      </c>
      <c r="X417" s="52">
        <f>IF(E417="","",IF(OR(E417="Canada",E417="CA"),100,IF(OR(E417="United States",E417="USA",E417="US"),IF(J417="Yes",45,75),65)))</f>
        <v/>
      </c>
      <c r="Y417" s="52">
        <f>IF(C417="","",IF(OR(ISNUMBER(SEARCH("Program",C417)),ISNUMBER(SEARCH("Portfolio",C417)),ISNUMBER(SEARCH("Operations",C417)),ISNUMBER(SEARCH("Transformation",C417))),85,IF(ISNUMBER(SEARCH("Product Manager",C417)),55,70)))</f>
        <v/>
      </c>
      <c r="Z417" s="52">
        <f>IF(C417="","",MIN(100,IF(I417&lt;&gt;"",60,10)+IF(AA417&gt;0,MIN(40,AA417*20),0)))</f>
        <v/>
      </c>
      <c r="AA417" s="52">
        <f>IF(T417="","",ROUND(T417*25%+U417*15%+V417*10%+W417*15%+X417*15%+Y417*10%+Z417*10%,0))</f>
        <v/>
      </c>
      <c r="AB417" s="52">
        <f>IF(AA417="","",IF(X417&lt;50,"Selective / Barrier",IF(AA417&gt;=80,"Tier 1 - Pursue",IF(AA417&gt;=70,"Tier 2 - Pursue",IF(AA417&gt;=60,"Tier 3 - Selective","Do Not Pursue")))))</f>
        <v/>
      </c>
      <c r="AC417" s="52">
        <f>IF(C417="","",IF(I417&lt;&gt;"","Named Contact",IF(AA417&gt;0,"Outreach Logged","Cold")))</f>
        <v/>
      </c>
      <c r="AD417" s="52">
        <f>IF(B417="","",COUNTIF('Outreach Log'!$C:$C,B417))</f>
        <v/>
      </c>
      <c r="AE417" s="52">
        <f>IF(A417="","",IF(OR(K417="Rejected",K417="Closed"),IF(L417&lt;&gt;"",L417-A417,TODAY()-A417),TODAY()-A417))</f>
        <v/>
      </c>
      <c r="AF417" s="52">
        <f>IF(C417="","",IF(AND(AA417&gt;=70,AC417="Cold"),"High-fit but cold",IF(AND(AA417&lt;60,K417="Applied"),"Low-fit application",IF(AND(AA417&gt;=70,OR(AC417="Named Contact",AC417="Outreach Logged")),"Targeted pursuit","Review"))))</f>
        <v/>
      </c>
    </row>
    <row r="418" ht="15" customHeight="1" s="44">
      <c r="A418" s="53" t="n">
        <v>46282</v>
      </c>
      <c r="B418" s="48" t="inlineStr">
        <is>
          <t>Nordstrom</t>
        </is>
      </c>
      <c r="C418" s="48" t="inlineStr">
        <is>
          <t>Senior 2 TPM, AI Native Operating Model (Seattle)</t>
        </is>
      </c>
      <c r="D418" s="48" t="n"/>
      <c r="E418" s="48" t="n"/>
      <c r="F418" s="48" t="n"/>
      <c r="G418" s="48" t="n"/>
      <c r="H418" s="48" t="n"/>
      <c r="I418" s="48" t="n"/>
      <c r="J418" s="48" t="n"/>
      <c r="K418" s="49" t="inlineStr">
        <is>
          <t>Rejected</t>
        </is>
      </c>
      <c r="L418" s="48" t="n"/>
      <c r="M418" s="48" t="n"/>
      <c r="N418" s="48" t="n"/>
      <c r="O418" s="48" t="n"/>
      <c r="P418" s="51" t="inlineStr">
        <is>
          <t xml:space="preserve">Rejected (per Greenhouse portal review, Sep 20 2026). </t>
        </is>
      </c>
      <c r="Q418" s="48" t="n"/>
      <c r="R418" s="48" t="n"/>
      <c r="S418" s="51" t="n"/>
      <c r="T418" s="52">
        <f>IF(G418="","",G418)</f>
        <v/>
      </c>
      <c r="U418" s="52">
        <f>IF(C418="","",IF(OR(ISNUMBER(SEARCH("Director",C418)),ISNUMBER(SEARCH("Lead",C418)),ISNUMBER(SEARCH("Senior",C418)),ISNUMBER(SEARCH("Sr.",C418))),90,IF(OR(ISNUMBER(SEARCH("Manager",C418)),ISNUMBER(SEARCH("Program",C418)),ISNUMBER(SEARCH("Portfolio",C418))),80,60)))</f>
        <v/>
      </c>
      <c r="V418" s="52">
        <f>IF(C418="","",IF(OR(ISNUMBER(SEARCH("AI",C418)),ISNUMBER(SEARCH("Data",C418)),ISNUMBER(SEARCH("Technology",C418)),ISNUMBER(SEARCH("Technical",C418)),ISNUMBER(SEARCH("Engineering",C418)),ISNUMBER(SEARCH("Platform",C418)),ISNUMBER(SEARCH("Portfolio",C418))),85,65))</f>
        <v/>
      </c>
      <c r="W418" s="52">
        <f>IF(C418="","",MIN(100,50+IF(S418&lt;&gt;"",25,0)+IF(R418&lt;&gt;"",15,0)+IF(P418&lt;&gt;"",10,0)))</f>
        <v/>
      </c>
      <c r="X418" s="52">
        <f>IF(E418="","",IF(OR(E418="Canada",E418="CA"),100,IF(OR(E418="United States",E418="USA",E418="US"),IF(J418="Yes",45,75),65)))</f>
        <v/>
      </c>
      <c r="Y418" s="52">
        <f>IF(C418="","",IF(OR(ISNUMBER(SEARCH("Program",C418)),ISNUMBER(SEARCH("Portfolio",C418)),ISNUMBER(SEARCH("Operations",C418)),ISNUMBER(SEARCH("Transformation",C418))),85,IF(ISNUMBER(SEARCH("Product Manager",C418)),55,70)))</f>
        <v/>
      </c>
      <c r="Z418" s="52">
        <f>IF(C418="","",MIN(100,IF(I418&lt;&gt;"",60,10)+IF(AA418&gt;0,MIN(40,AA418*20),0)))</f>
        <v/>
      </c>
      <c r="AA418" s="52">
        <f>IF(T418="","",ROUND(T418*25%+U418*15%+V418*10%+W418*15%+X418*15%+Y418*10%+Z418*10%,0))</f>
        <v/>
      </c>
      <c r="AB418" s="52">
        <f>IF(AA418="","",IF(X418&lt;50,"Selective / Barrier",IF(AA418&gt;=80,"Tier 1 - Pursue",IF(AA418&gt;=70,"Tier 2 - Pursue",IF(AA418&gt;=60,"Tier 3 - Selective","Do Not Pursue")))))</f>
        <v/>
      </c>
      <c r="AC418" s="52">
        <f>IF(C418="","",IF(I418&lt;&gt;"","Named Contact",IF(AA418&gt;0,"Outreach Logged","Cold")))</f>
        <v/>
      </c>
      <c r="AD418" s="52">
        <f>IF(B418="","",COUNTIF('Outreach Log'!$C:$C,B418))</f>
        <v/>
      </c>
      <c r="AE418" s="52">
        <f>IF(A418="","",IF(OR(K418="Rejected",K418="Closed"),IF(L418&lt;&gt;"",L418-A418,TODAY()-A418),TODAY()-A418))</f>
        <v/>
      </c>
      <c r="AF418" s="52">
        <f>IF(C418="","",IF(AND(AA418&gt;=70,AC418="Cold"),"High-fit but cold",IF(AND(AA418&lt;60,K418="Applied"),"Low-fit application",IF(AND(AA418&gt;=70,OR(AC418="Named Contact",AC418="Outreach Logged")),"Targeted pursuit","Review"))))</f>
        <v/>
      </c>
    </row>
    <row r="419" ht="15" customHeight="1" s="44">
      <c r="A419" s="53" t="n">
        <v>46282</v>
      </c>
      <c r="B419" s="48" t="inlineStr">
        <is>
          <t>Anthropic</t>
        </is>
      </c>
      <c r="C419" s="48" t="inlineStr">
        <is>
          <t>Technical Program Manager, Apps Platform (duplicate application)</t>
        </is>
      </c>
      <c r="D419" s="48" t="n"/>
      <c r="E419" s="48" t="n"/>
      <c r="F419" s="48" t="n"/>
      <c r="G419" s="48" t="n"/>
      <c r="H419" s="48" t="n"/>
      <c r="I419" s="48" t="n"/>
      <c r="J419" s="48" t="n"/>
      <c r="K419" s="55" t="inlineStr">
        <is>
          <t>Applied</t>
        </is>
      </c>
      <c r="L419" s="48" t="n"/>
      <c r="M419" s="48" t="n"/>
      <c r="N419" s="48" t="n"/>
      <c r="O419" s="48" t="n"/>
      <c r="P419" s="51" t="inlineStr">
        <is>
          <t>Duplicate application to same posting as existing Sep 17 Anthropic TPM Apps Platform entry; user confirmed submitted twice, Sep 20 2026.</t>
        </is>
      </c>
      <c r="Q419" s="48" t="n"/>
      <c r="R419" s="48" t="n"/>
      <c r="S419" s="51" t="n"/>
      <c r="T419" s="52">
        <f>IF(G419="","",G419)</f>
        <v/>
      </c>
      <c r="U419" s="52">
        <f>IF(C419="","",IF(OR(ISNUMBER(SEARCH("Director",C419)),ISNUMBER(SEARCH("Lead",C419)),ISNUMBER(SEARCH("Senior",C419)),ISNUMBER(SEARCH("Sr.",C419))),90,IF(OR(ISNUMBER(SEARCH("Manager",C419)),ISNUMBER(SEARCH("Program",C419)),ISNUMBER(SEARCH("Portfolio",C419))),80,60)))</f>
        <v/>
      </c>
      <c r="V419" s="52">
        <f>IF(C419="","",IF(OR(ISNUMBER(SEARCH("AI",C419)),ISNUMBER(SEARCH("Data",C419)),ISNUMBER(SEARCH("Technology",C419)),ISNUMBER(SEARCH("Technical",C419)),ISNUMBER(SEARCH("Engineering",C419)),ISNUMBER(SEARCH("Platform",C419)),ISNUMBER(SEARCH("Portfolio",C419))),85,65))</f>
        <v/>
      </c>
      <c r="W419" s="52">
        <f>IF(C419="","",MIN(100,50+IF(S419&lt;&gt;"",25,0)+IF(R419&lt;&gt;"",15,0)+IF(P419&lt;&gt;"",10,0)))</f>
        <v/>
      </c>
      <c r="X419" s="52">
        <f>IF(E419="","",IF(OR(E419="Canada",E419="CA"),100,IF(OR(E419="United States",E419="USA",E419="US"),IF(J419="Yes",45,75),65)))</f>
        <v/>
      </c>
      <c r="Y419" s="52">
        <f>IF(C419="","",IF(OR(ISNUMBER(SEARCH("Program",C419)),ISNUMBER(SEARCH("Portfolio",C419)),ISNUMBER(SEARCH("Operations",C419)),ISNUMBER(SEARCH("Transformation",C419))),85,IF(ISNUMBER(SEARCH("Product Manager",C419)),55,70)))</f>
        <v/>
      </c>
      <c r="Z419" s="52">
        <f>IF(C419="","",MIN(100,IF(I419&lt;&gt;"",60,10)+IF(AA419&gt;0,MIN(40,AA419*20),0)))</f>
        <v/>
      </c>
      <c r="AA419" s="52">
        <f>IF(T419="","",ROUND(T419*25%+U419*15%+V419*10%+W419*15%+X419*15%+Y419*10%+Z419*10%,0))</f>
        <v/>
      </c>
      <c r="AB419" s="52">
        <f>IF(AA419="","",IF(X419&lt;50,"Selective / Barrier",IF(AA419&gt;=80,"Tier 1 - Pursue",IF(AA419&gt;=70,"Tier 2 - Pursue",IF(AA419&gt;=60,"Tier 3 - Selective","Do Not Pursue")))))</f>
        <v/>
      </c>
      <c r="AC419" s="52">
        <f>IF(C419="","",IF(I419&lt;&gt;"","Named Contact",IF(AA419&gt;0,"Outreach Logged","Cold")))</f>
        <v/>
      </c>
      <c r="AD419" s="52">
        <f>IF(B419="","",COUNTIF('Outreach Log'!$C:$C,B419))</f>
        <v/>
      </c>
      <c r="AE419" s="52">
        <f>IF(A419="","",IF(OR(K419="Rejected",K419="Closed"),IF(L419&lt;&gt;"",L419-A419,TODAY()-A419),TODAY()-A419))</f>
        <v/>
      </c>
      <c r="AF419" s="52">
        <f>IF(C419="","",IF(AND(AA419&gt;=70,AC419="Cold"),"High-fit but cold",IF(AND(AA419&lt;60,K419="Applied"),"Low-fit application",IF(AND(AA419&gt;=70,OR(AC419="Named Contact",AC419="Outreach Logged")),"Targeted pursuit","Review"))))</f>
        <v/>
      </c>
    </row>
    <row r="420" ht="15" customHeight="1" s="44">
      <c r="A420" s="53" t="n">
        <v>46283</v>
      </c>
      <c r="B420" s="48" t="inlineStr">
        <is>
          <t>Zip</t>
        </is>
      </c>
      <c r="C420" s="48" t="inlineStr">
        <is>
          <t>Senior Project Manager</t>
        </is>
      </c>
      <c r="D420" s="48" t="inlineStr">
        <is>
          <t>Senior</t>
        </is>
      </c>
      <c r="E420" s="48" t="inlineStr">
        <is>
          <t>Canada</t>
        </is>
      </c>
      <c r="F420" s="48" t="inlineStr">
        <is>
          <t>Toronto</t>
        </is>
      </c>
      <c r="G420" s="48" t="n">
        <v>60</v>
      </c>
      <c r="H420" s="48" t="inlineStr">
        <is>
          <t>Cold Portal (Ashby)</t>
        </is>
      </c>
      <c r="I420" s="48" t="n"/>
      <c r="J420" s="48" t="inlineStr">
        <is>
          <t>No</t>
        </is>
      </c>
      <c r="K420" s="55" t="inlineStr">
        <is>
          <t>Applied</t>
        </is>
      </c>
      <c r="L420" s="48" t="n"/>
      <c r="M420" s="48">
        <f>IF(OR(L261="",A261=""),"",L261-A261)</f>
        <v/>
      </c>
      <c r="N420" s="48" t="n"/>
      <c r="O420" s="48" t="n"/>
      <c r="P420" s="51" t="inlineStr">
        <is>
          <t>Applied 2026-09-18 (confirmation via Ashby). Distinct from row 13 (Zip, Manager Business Development, Closed) — separate role, same company. Est. fit score: 60 — Senior Project Manager title reasonably matches her core lane; company/role scope unconfirmed. | Confirmed by Elena 2026-09-18: role is Canada-based (Toronto).</t>
        </is>
      </c>
      <c r="Q420" s="48" t="n"/>
      <c r="R420" s="48" t="n"/>
      <c r="S420" s="51" t="n"/>
      <c r="T420" s="52">
        <f>IF(G420="","",G420)</f>
        <v/>
      </c>
      <c r="U420" s="52">
        <f>IF(C420="","",IF(OR(ISNUMBER(SEARCH("Director",C420)),ISNUMBER(SEARCH("Lead",C420)),ISNUMBER(SEARCH("Senior",C420)),ISNUMBER(SEARCH("Sr.",C420))),90,IF(OR(ISNUMBER(SEARCH("Manager",C420)),ISNUMBER(SEARCH("Program",C420)),ISNUMBER(SEARCH("Portfolio",C420))),80,60)))</f>
        <v/>
      </c>
      <c r="V420" s="52">
        <f>IF(C420="","",IF(OR(ISNUMBER(SEARCH("AI",C420)),ISNUMBER(SEARCH("Data",C420)),ISNUMBER(SEARCH("Technology",C420)),ISNUMBER(SEARCH("Technical",C420)),ISNUMBER(SEARCH("Engineering",C420)),ISNUMBER(SEARCH("Platform",C420)),ISNUMBER(SEARCH("Portfolio",C420))),85,65))</f>
        <v/>
      </c>
      <c r="W420" s="52">
        <f>IF(C420="","",MIN(100,50+IF(S420&lt;&gt;"",25,0)+IF(R420&lt;&gt;"",15,0)+IF(P420&lt;&gt;"",10,0)))</f>
        <v/>
      </c>
      <c r="X420" s="52">
        <f>IF(E420="","",IF(OR(E420="Canada",E420="CA"),100,IF(OR(E420="United States",E420="USA",E420="US"),IF(J420="Yes",45,75),65)))</f>
        <v/>
      </c>
      <c r="Y420" s="52">
        <f>IF(C420="","",IF(OR(ISNUMBER(SEARCH("Program",C420)),ISNUMBER(SEARCH("Portfolio",C420)),ISNUMBER(SEARCH("Operations",C420)),ISNUMBER(SEARCH("Transformation",C420))),85,IF(ISNUMBER(SEARCH("Product Manager",C420)),55,70)))</f>
        <v/>
      </c>
      <c r="Z420" s="52">
        <f>IF(C420="","",MIN(100,IF(I420&lt;&gt;"",60,10)+IF(AA420&gt;0,MIN(40,AA420*20),0)))</f>
        <v/>
      </c>
      <c r="AA420" s="52">
        <f>IF(T420="","",ROUND(T420*25%+U420*15%+V420*10%+W420*15%+X420*15%+Y420*10%+Z420*10%,0))</f>
        <v/>
      </c>
      <c r="AB420" s="52">
        <f>IF(AA420="","",IF(X420&lt;50,"Selective / Barrier",IF(AA420&gt;=80,"Tier 1 - Pursue",IF(AA420&gt;=70,"Tier 2 - Pursue",IF(AA420&gt;=60,"Tier 3 - Selective","Do Not Pursue")))))</f>
        <v/>
      </c>
      <c r="AC420" s="52">
        <f>IF(C420="","",IF(I420&lt;&gt;"","Named Contact",IF(AA420&gt;0,"Outreach Logged","Cold")))</f>
        <v/>
      </c>
      <c r="AD420" s="52">
        <f>IF(B420="","",COUNTIF('Outreach Log'!$C:$C,B420))</f>
        <v/>
      </c>
      <c r="AE420" s="52">
        <f>IF(A420="","",IF(OR(K420="Rejected",K420="Closed"),IF(L420&lt;&gt;"",L420-A420,TODAY()-A420),TODAY()-A420))</f>
        <v/>
      </c>
      <c r="AF420" s="52">
        <f>IF(C420="","",IF(AND(AA420&gt;=70,AC420="Cold"),"High-fit but cold",IF(AND(AA420&lt;60,K420="Applied"),"Low-fit application",IF(AND(AA420&gt;=70,OR(AC420="Named Contact",AC420="Outreach Logged")),"Targeted pursuit","Review"))))</f>
        <v/>
      </c>
    </row>
    <row r="421" ht="15" customHeight="1" s="44">
      <c r="A421" s="53" t="n">
        <v>46283</v>
      </c>
      <c r="B421" s="48" t="inlineStr">
        <is>
          <t>Miller Thomson LLP</t>
        </is>
      </c>
      <c r="C421" s="48" t="inlineStr">
        <is>
          <t>Senior Project Manager, Markets</t>
        </is>
      </c>
      <c r="D421" s="48" t="inlineStr">
        <is>
          <t>Senior</t>
        </is>
      </c>
      <c r="E421" s="48" t="inlineStr">
        <is>
          <t>Canada</t>
        </is>
      </c>
      <c r="F421" s="48" t="inlineStr">
        <is>
          <t>Toronto, ON (Hybrid)</t>
        </is>
      </c>
      <c r="G421" s="48" t="n">
        <v>68</v>
      </c>
      <c r="H421" s="48" t="inlineStr">
        <is>
          <t>LinkedIn</t>
        </is>
      </c>
      <c r="I421" s="48" t="n"/>
      <c r="J421" s="48" t="inlineStr">
        <is>
          <t>No</t>
        </is>
      </c>
      <c r="K421" s="55" t="inlineStr">
        <is>
          <t>Applied</t>
        </is>
      </c>
      <c r="L421" s="48" t="n"/>
      <c r="M421" s="48">
        <f>IF(OR(L262="",A262=""),"",L262-A262)</f>
        <v/>
      </c>
      <c r="N421" s="48" t="n"/>
      <c r="O421" s="48" t="n"/>
      <c r="P421" s="51" t="inlineStr">
        <is>
          <t>Applied 2026-09-18 (via LinkedIn, confirmed by screenshot). Miller Thomson is a Canadian law firm — Senior Project Manager, Markets likely covers business development/client-facing initiatives. Est. fit score: 68 — Senior PM title matches her core lane; law firm/professional-services vertical has some precedent via her IBM government/enterprise consulting background.</t>
        </is>
      </c>
      <c r="Q421" s="48" t="n"/>
      <c r="R421" s="48" t="n"/>
      <c r="S421" s="51" t="n"/>
      <c r="T421" s="52">
        <f>IF(G421="","",G421)</f>
        <v/>
      </c>
      <c r="U421" s="52">
        <f>IF(C421="","",IF(OR(ISNUMBER(SEARCH("Director",C421)),ISNUMBER(SEARCH("Lead",C421)),ISNUMBER(SEARCH("Senior",C421)),ISNUMBER(SEARCH("Sr.",C421))),90,IF(OR(ISNUMBER(SEARCH("Manager",C421)),ISNUMBER(SEARCH("Program",C421)),ISNUMBER(SEARCH("Portfolio",C421))),80,60)))</f>
        <v/>
      </c>
      <c r="V421" s="52">
        <f>IF(C421="","",IF(OR(ISNUMBER(SEARCH("AI",C421)),ISNUMBER(SEARCH("Data",C421)),ISNUMBER(SEARCH("Technology",C421)),ISNUMBER(SEARCH("Technical",C421)),ISNUMBER(SEARCH("Engineering",C421)),ISNUMBER(SEARCH("Platform",C421)),ISNUMBER(SEARCH("Portfolio",C421))),85,65))</f>
        <v/>
      </c>
      <c r="W421" s="52">
        <f>IF(C421="","",MIN(100,50+IF(S421&lt;&gt;"",25,0)+IF(R421&lt;&gt;"",15,0)+IF(P421&lt;&gt;"",10,0)))</f>
        <v/>
      </c>
      <c r="X421" s="52">
        <f>IF(E421="","",IF(OR(E421="Canada",E421="CA"),100,IF(OR(E421="United States",E421="USA",E421="US"),IF(J421="Yes",45,75),65)))</f>
        <v/>
      </c>
      <c r="Y421" s="52">
        <f>IF(C421="","",IF(OR(ISNUMBER(SEARCH("Program",C421)),ISNUMBER(SEARCH("Portfolio",C421)),ISNUMBER(SEARCH("Operations",C421)),ISNUMBER(SEARCH("Transformation",C421))),85,IF(ISNUMBER(SEARCH("Product Manager",C421)),55,70)))</f>
        <v/>
      </c>
      <c r="Z421" s="52">
        <f>IF(C421="","",MIN(100,IF(I421&lt;&gt;"",60,10)+IF(AA421&gt;0,MIN(40,AA421*20),0)))</f>
        <v/>
      </c>
      <c r="AA421" s="52">
        <f>IF(T421="","",ROUND(T421*25%+U421*15%+V421*10%+W421*15%+X421*15%+Y421*10%+Z421*10%,0))</f>
        <v/>
      </c>
      <c r="AB421" s="52">
        <f>IF(AA421="","",IF(X421&lt;50,"Selective / Barrier",IF(AA421&gt;=80,"Tier 1 - Pursue",IF(AA421&gt;=70,"Tier 2 - Pursue",IF(AA421&gt;=60,"Tier 3 - Selective","Do Not Pursue")))))</f>
        <v/>
      </c>
      <c r="AC421" s="52">
        <f>IF(C421="","",IF(I421&lt;&gt;"","Named Contact",IF(AA421&gt;0,"Outreach Logged","Cold")))</f>
        <v/>
      </c>
      <c r="AD421" s="52">
        <f>IF(B421="","",COUNTIF('Outreach Log'!$C:$C,B421))</f>
        <v/>
      </c>
      <c r="AE421" s="52">
        <f>IF(A421="","",IF(OR(K421="Rejected",K421="Closed"),IF(L421&lt;&gt;"",L421-A421,TODAY()-A421),TODAY()-A421))</f>
        <v/>
      </c>
      <c r="AF421" s="52">
        <f>IF(C421="","",IF(AND(AA421&gt;=70,AC421="Cold"),"High-fit but cold",IF(AND(AA421&lt;60,K421="Applied"),"Low-fit application",IF(AND(AA421&gt;=70,OR(AC421="Named Contact",AC421="Outreach Logged")),"Targeted pursuit","Review"))))</f>
        <v/>
      </c>
    </row>
    <row r="422" ht="15" customHeight="1" s="44">
      <c r="A422" s="53" t="n">
        <v>46283</v>
      </c>
      <c r="B422" s="48" t="inlineStr">
        <is>
          <t>Intellias</t>
        </is>
      </c>
      <c r="C422" s="48" t="inlineStr">
        <is>
          <t>Technical Program Manager (CMS)</t>
        </is>
      </c>
      <c r="D422" s="48" t="inlineStr">
        <is>
          <t>Manager</t>
        </is>
      </c>
      <c r="E422" s="48" t="inlineStr">
        <is>
          <t>Canada</t>
        </is>
      </c>
      <c r="F422" s="48" t="inlineStr">
        <is>
          <t>Toronto, ON (Hybrid)</t>
        </is>
      </c>
      <c r="G422" s="48" t="n">
        <v>70</v>
      </c>
      <c r="H422" s="48" t="inlineStr">
        <is>
          <t>LinkedIn</t>
        </is>
      </c>
      <c r="I422" s="48" t="n"/>
      <c r="J422" s="48" t="inlineStr">
        <is>
          <t>No</t>
        </is>
      </c>
      <c r="K422" s="55" t="inlineStr">
        <is>
          <t>Applied</t>
        </is>
      </c>
      <c r="L422" s="48" t="n"/>
      <c r="M422" s="48">
        <f>IF(OR(L263="",A263=""),"",L263-A263)</f>
        <v/>
      </c>
      <c r="N422" s="48" t="n"/>
      <c r="O422" s="48" t="n"/>
      <c r="P422" s="51" t="inlineStr">
        <is>
          <t>Applied 2026-09-18 (via LinkedIn, confirmed by screenshot). Intellias is a software engineering/IT services company. Est. fit score: 70 — Technical Program Manager for CMS (content management systems) matches her core lane; IT services/consulting vertical has precedent via her IBM GBS consulting background.</t>
        </is>
      </c>
      <c r="Q422" s="48" t="n"/>
      <c r="R422" s="48" t="n"/>
      <c r="S422" s="51" t="n"/>
      <c r="T422" s="52">
        <f>IF(G422="","",G422)</f>
        <v/>
      </c>
      <c r="U422" s="52">
        <f>IF(C422="","",IF(OR(ISNUMBER(SEARCH("Director",C422)),ISNUMBER(SEARCH("Lead",C422)),ISNUMBER(SEARCH("Senior",C422)),ISNUMBER(SEARCH("Sr.",C422))),90,IF(OR(ISNUMBER(SEARCH("Manager",C422)),ISNUMBER(SEARCH("Program",C422)),ISNUMBER(SEARCH("Portfolio",C422))),80,60)))</f>
        <v/>
      </c>
      <c r="V422" s="52">
        <f>IF(C422="","",IF(OR(ISNUMBER(SEARCH("AI",C422)),ISNUMBER(SEARCH("Data",C422)),ISNUMBER(SEARCH("Technology",C422)),ISNUMBER(SEARCH("Technical",C422)),ISNUMBER(SEARCH("Engineering",C422)),ISNUMBER(SEARCH("Platform",C422)),ISNUMBER(SEARCH("Portfolio",C422))),85,65))</f>
        <v/>
      </c>
      <c r="W422" s="52">
        <f>IF(C422="","",MIN(100,50+IF(S422&lt;&gt;"",25,0)+IF(R422&lt;&gt;"",15,0)+IF(P422&lt;&gt;"",10,0)))</f>
        <v/>
      </c>
      <c r="X422" s="52">
        <f>IF(E422="","",IF(OR(E422="Canada",E422="CA"),100,IF(OR(E422="United States",E422="USA",E422="US"),IF(J422="Yes",45,75),65)))</f>
        <v/>
      </c>
      <c r="Y422" s="52">
        <f>IF(C422="","",IF(OR(ISNUMBER(SEARCH("Program",C422)),ISNUMBER(SEARCH("Portfolio",C422)),ISNUMBER(SEARCH("Operations",C422)),ISNUMBER(SEARCH("Transformation",C422))),85,IF(ISNUMBER(SEARCH("Product Manager",C422)),55,70)))</f>
        <v/>
      </c>
      <c r="Z422" s="52">
        <f>IF(C422="","",MIN(100,IF(I422&lt;&gt;"",60,10)+IF(AA422&gt;0,MIN(40,AA422*20),0)))</f>
        <v/>
      </c>
      <c r="AA422" s="52">
        <f>IF(T422="","",ROUND(T422*25%+U422*15%+V422*10%+W422*15%+X422*15%+Y422*10%+Z422*10%,0))</f>
        <v/>
      </c>
      <c r="AB422" s="52">
        <f>IF(AA422="","",IF(X422&lt;50,"Selective / Barrier",IF(AA422&gt;=80,"Tier 1 - Pursue",IF(AA422&gt;=70,"Tier 2 - Pursue",IF(AA422&gt;=60,"Tier 3 - Selective","Do Not Pursue")))))</f>
        <v/>
      </c>
      <c r="AC422" s="52">
        <f>IF(C422="","",IF(I422&lt;&gt;"","Named Contact",IF(AA422&gt;0,"Outreach Logged","Cold")))</f>
        <v/>
      </c>
      <c r="AD422" s="52">
        <f>IF(B422="","",COUNTIF('Outreach Log'!$C:$C,B422))</f>
        <v/>
      </c>
      <c r="AE422" s="52">
        <f>IF(A422="","",IF(OR(K422="Rejected",K422="Closed"),IF(L422&lt;&gt;"",L422-A422,TODAY()-A422),TODAY()-A422))</f>
        <v/>
      </c>
      <c r="AF422" s="52">
        <f>IF(C422="","",IF(AND(AA422&gt;=70,AC422="Cold"),"High-fit but cold",IF(AND(AA422&lt;60,K422="Applied"),"Low-fit application",IF(AND(AA422&gt;=70,OR(AC422="Named Contact",AC422="Outreach Logged")),"Targeted pursuit","Review"))))</f>
        <v/>
      </c>
    </row>
    <row r="423" ht="15" customHeight="1" s="44">
      <c r="A423" s="53" t="n">
        <v>46283</v>
      </c>
      <c r="B423" s="48" t="inlineStr">
        <is>
          <t>TELUS Health</t>
        </is>
      </c>
      <c r="C423" s="48" t="inlineStr">
        <is>
          <t>Senior Technical Program Manager</t>
        </is>
      </c>
      <c r="D423" s="48" t="inlineStr">
        <is>
          <t>Senior</t>
        </is>
      </c>
      <c r="E423" s="48" t="inlineStr">
        <is>
          <t>Canada</t>
        </is>
      </c>
      <c r="F423" s="48" t="inlineStr">
        <is>
          <t>Toronto</t>
        </is>
      </c>
      <c r="G423" s="48" t="n">
        <v>75</v>
      </c>
      <c r="H423" s="48" t="inlineStr">
        <is>
          <t>Cold Portal</t>
        </is>
      </c>
      <c r="I423" s="48" t="n"/>
      <c r="J423" s="48" t="inlineStr">
        <is>
          <t>No</t>
        </is>
      </c>
      <c r="K423" s="55" t="inlineStr">
        <is>
          <t>Applied</t>
        </is>
      </c>
      <c r="L423" s="48" t="n"/>
      <c r="M423" s="48">
        <f>IF(OR(L264="",A264=""),"",L264-A264)</f>
        <v/>
      </c>
      <c r="N423" s="48" t="n"/>
      <c r="O423" s="48" t="n"/>
      <c r="P423" s="51" t="inlineStr">
        <is>
          <t>Applied 2026-09-18, confirmed by Elena directly (no confirmation email found yet in Gmail — only a "verify your candidate account" email from workday.telushealth.com on 9/17). Tailored resume built for this role. Est. fit score: 75 — Senior TPM matches her core lane; TELUS Health is a distinct entity from general TELUS Communications, with a healthcare-tech focus.</t>
        </is>
      </c>
      <c r="Q423" s="48" t="n"/>
      <c r="R423" s="48" t="n"/>
      <c r="S423" s="51" t="n"/>
      <c r="T423" s="52">
        <f>IF(G423="","",G423)</f>
        <v/>
      </c>
      <c r="U423" s="52">
        <f>IF(C423="","",IF(OR(ISNUMBER(SEARCH("Director",C423)),ISNUMBER(SEARCH("Lead",C423)),ISNUMBER(SEARCH("Senior",C423)),ISNUMBER(SEARCH("Sr.",C423))),90,IF(OR(ISNUMBER(SEARCH("Manager",C423)),ISNUMBER(SEARCH("Program",C423)),ISNUMBER(SEARCH("Portfolio",C423))),80,60)))</f>
        <v/>
      </c>
      <c r="V423" s="52">
        <f>IF(C423="","",IF(OR(ISNUMBER(SEARCH("AI",C423)),ISNUMBER(SEARCH("Data",C423)),ISNUMBER(SEARCH("Technology",C423)),ISNUMBER(SEARCH("Technical",C423)),ISNUMBER(SEARCH("Engineering",C423)),ISNUMBER(SEARCH("Platform",C423)),ISNUMBER(SEARCH("Portfolio",C423))),85,65))</f>
        <v/>
      </c>
      <c r="W423" s="52">
        <f>IF(C423="","",MIN(100,50+IF(S423&lt;&gt;"",25,0)+IF(R423&lt;&gt;"",15,0)+IF(P423&lt;&gt;"",10,0)))</f>
        <v/>
      </c>
      <c r="X423" s="52">
        <f>IF(E423="","",IF(OR(E423="Canada",E423="CA"),100,IF(OR(E423="United States",E423="USA",E423="US"),IF(J423="Yes",45,75),65)))</f>
        <v/>
      </c>
      <c r="Y423" s="52">
        <f>IF(C423="","",IF(OR(ISNUMBER(SEARCH("Program",C423)),ISNUMBER(SEARCH("Portfolio",C423)),ISNUMBER(SEARCH("Operations",C423)),ISNUMBER(SEARCH("Transformation",C423))),85,IF(ISNUMBER(SEARCH("Product Manager",C423)),55,70)))</f>
        <v/>
      </c>
      <c r="Z423" s="52">
        <f>IF(C423="","",MIN(100,IF(I423&lt;&gt;"",60,10)+IF(AA423&gt;0,MIN(40,AA423*20),0)))</f>
        <v/>
      </c>
      <c r="AA423" s="52">
        <f>IF(T423="","",ROUND(T423*25%+U423*15%+V423*10%+W423*15%+X423*15%+Y423*10%+Z423*10%,0))</f>
        <v/>
      </c>
      <c r="AB423" s="52">
        <f>IF(AA423="","",IF(X423&lt;50,"Selective / Barrier",IF(AA423&gt;=80,"Tier 1 - Pursue",IF(AA423&gt;=70,"Tier 2 - Pursue",IF(AA423&gt;=60,"Tier 3 - Selective","Do Not Pursue")))))</f>
        <v/>
      </c>
      <c r="AC423" s="52">
        <f>IF(C423="","",IF(I423&lt;&gt;"","Named Contact",IF(AA423&gt;0,"Outreach Logged","Cold")))</f>
        <v/>
      </c>
      <c r="AD423" s="52">
        <f>IF(B423="","",COUNTIF('Outreach Log'!$C:$C,B423))</f>
        <v/>
      </c>
      <c r="AE423" s="52">
        <f>IF(A423="","",IF(OR(K423="Rejected",K423="Closed"),IF(L423&lt;&gt;"",L423-A423,TODAY()-A423),TODAY()-A423))</f>
        <v/>
      </c>
      <c r="AF423" s="52">
        <f>IF(C423="","",IF(AND(AA423&gt;=70,AC423="Cold"),"High-fit but cold",IF(AND(AA423&lt;60,K423="Applied"),"Low-fit application",IF(AND(AA423&gt;=70,OR(AC423="Named Contact",AC423="Outreach Logged")),"Targeted pursuit","Review"))))</f>
        <v/>
      </c>
    </row>
    <row r="424" ht="15" customHeight="1" s="44">
      <c r="A424" s="53" t="n">
        <v>46283</v>
      </c>
      <c r="B424" s="48" t="inlineStr">
        <is>
          <t>Rogers Communications</t>
        </is>
      </c>
      <c r="C424" s="48" t="inlineStr">
        <is>
          <t>Technical Delivery Manager (Req 341403)</t>
        </is>
      </c>
      <c r="D424" s="48" t="inlineStr">
        <is>
          <t>Manager</t>
        </is>
      </c>
      <c r="E424" s="48" t="inlineStr">
        <is>
          <t>Canada</t>
        </is>
      </c>
      <c r="F424" s="48" t="inlineStr">
        <is>
          <t>Toronto</t>
        </is>
      </c>
      <c r="G424" s="48" t="n">
        <v>70</v>
      </c>
      <c r="H424" s="48" t="inlineStr">
        <is>
          <t>Cold Portal</t>
        </is>
      </c>
      <c r="I424" s="48" t="n"/>
      <c r="J424" s="48" t="inlineStr">
        <is>
          <t>No</t>
        </is>
      </c>
      <c r="K424" s="55" t="inlineStr">
        <is>
          <t>Applied</t>
        </is>
      </c>
      <c r="L424" s="48" t="n"/>
      <c r="M424" s="48">
        <f>IF(OR(L289="",A289=""),"",L289-A289)</f>
        <v/>
      </c>
      <c r="N424" s="48" t="n"/>
      <c r="O424" s="48" t="n"/>
      <c r="P424" s="51" t="inlineStr">
        <is>
          <t>Applied 2026-09-18 (confirmed by screenshot). Est. fit score: 70 — Technical Delivery Manager matches her core delivery-execution lane; telecom is a familiar vertical (Bell). Note: an earlier Rogers search only surfaced RFP/customer-experience roles as weaker fits — this Technical Delivery Manager role is a better match than those.</t>
        </is>
      </c>
      <c r="Q424" s="48" t="n"/>
      <c r="R424" s="48" t="n"/>
      <c r="S424" s="51" t="n"/>
      <c r="T424" s="52">
        <f>IF(G424="","",G424)</f>
        <v/>
      </c>
      <c r="U424" s="52">
        <f>IF(C424="","",IF(OR(ISNUMBER(SEARCH("Director",C424)),ISNUMBER(SEARCH("Lead",C424)),ISNUMBER(SEARCH("Senior",C424)),ISNUMBER(SEARCH("Sr.",C424))),90,IF(OR(ISNUMBER(SEARCH("Manager",C424)),ISNUMBER(SEARCH("Program",C424)),ISNUMBER(SEARCH("Portfolio",C424))),80,60)))</f>
        <v/>
      </c>
      <c r="V424" s="52">
        <f>IF(C424="","",IF(OR(ISNUMBER(SEARCH("AI",C424)),ISNUMBER(SEARCH("Data",C424)),ISNUMBER(SEARCH("Technology",C424)),ISNUMBER(SEARCH("Technical",C424)),ISNUMBER(SEARCH("Engineering",C424)),ISNUMBER(SEARCH("Platform",C424)),ISNUMBER(SEARCH("Portfolio",C424))),85,65))</f>
        <v/>
      </c>
      <c r="W424" s="52">
        <f>IF(C424="","",MIN(100,50+IF(S424&lt;&gt;"",25,0)+IF(R424&lt;&gt;"",15,0)+IF(P424&lt;&gt;"",10,0)))</f>
        <v/>
      </c>
      <c r="X424" s="52">
        <f>IF(E424="","",IF(OR(E424="Canada",E424="CA"),100,IF(OR(E424="United States",E424="USA",E424="US"),IF(J424="Yes",45,75),65)))</f>
        <v/>
      </c>
      <c r="Y424" s="52">
        <f>IF(C424="","",IF(OR(ISNUMBER(SEARCH("Program",C424)),ISNUMBER(SEARCH("Portfolio",C424)),ISNUMBER(SEARCH("Operations",C424)),ISNUMBER(SEARCH("Transformation",C424))),85,IF(ISNUMBER(SEARCH("Product Manager",C424)),55,70)))</f>
        <v/>
      </c>
      <c r="Z424" s="52">
        <f>IF(C424="","",MIN(100,IF(I424&lt;&gt;"",60,10)+IF(AA424&gt;0,MIN(40,AA424*20),0)))</f>
        <v/>
      </c>
      <c r="AA424" s="52">
        <f>IF(T424="","",ROUND(T424*25%+U424*15%+V424*10%+W424*15%+X424*15%+Y424*10%+Z424*10%,0))</f>
        <v/>
      </c>
      <c r="AB424" s="52">
        <f>IF(AA424="","",IF(X424&lt;50,"Selective / Barrier",IF(AA424&gt;=80,"Tier 1 - Pursue",IF(AA424&gt;=70,"Tier 2 - Pursue",IF(AA424&gt;=60,"Tier 3 - Selective","Do Not Pursue")))))</f>
        <v/>
      </c>
      <c r="AC424" s="52">
        <f>IF(C424="","",IF(I424&lt;&gt;"","Named Contact",IF(AA424&gt;0,"Outreach Logged","Cold")))</f>
        <v/>
      </c>
      <c r="AD424" s="52">
        <f>IF(B424="","",COUNTIF('Outreach Log'!$C:$C,B424))</f>
        <v/>
      </c>
      <c r="AE424" s="52">
        <f>IF(A424="","",IF(OR(K424="Rejected",K424="Closed"),IF(L424&lt;&gt;"",L424-A424,TODAY()-A424),TODAY()-A424))</f>
        <v/>
      </c>
      <c r="AF424" s="52">
        <f>IF(C424="","",IF(AND(AA424&gt;=70,AC424="Cold"),"High-fit but cold",IF(AND(AA424&lt;60,K424="Applied"),"Low-fit application",IF(AND(AA424&gt;=70,OR(AC424="Named Contact",AC424="Outreach Logged")),"Targeted pursuit","Review"))))</f>
        <v/>
      </c>
    </row>
    <row r="425" ht="15" customHeight="1" s="44">
      <c r="A425" s="53" t="n">
        <v>46283</v>
      </c>
      <c r="B425" s="48" t="inlineStr">
        <is>
          <t>Lantern</t>
        </is>
      </c>
      <c r="C425" s="48" t="inlineStr">
        <is>
          <t>Delivery Manager</t>
        </is>
      </c>
      <c r="D425" s="48" t="inlineStr">
        <is>
          <t>Manager</t>
        </is>
      </c>
      <c r="E425" s="48" t="inlineStr">
        <is>
          <t>Canada</t>
        </is>
      </c>
      <c r="F425" s="48" t="inlineStr">
        <is>
          <t>Toronto, ON (Remote)</t>
        </is>
      </c>
      <c r="G425" s="48" t="n">
        <v>72</v>
      </c>
      <c r="H425" s="48" t="inlineStr">
        <is>
          <t>LinkedIn</t>
        </is>
      </c>
      <c r="I425" s="48" t="n"/>
      <c r="J425" s="48" t="inlineStr">
        <is>
          <t>No</t>
        </is>
      </c>
      <c r="K425" s="55" t="inlineStr">
        <is>
          <t>Applied</t>
        </is>
      </c>
      <c r="L425" s="48" t="n"/>
      <c r="M425" s="48">
        <f>IF(OR(L290="",A290=""),"",L290-A290)</f>
        <v/>
      </c>
      <c r="N425" s="48" t="n"/>
      <c r="O425" s="48" t="n"/>
      <c r="P425" s="51" t="inlineStr">
        <is>
          <t>Applied 2026-09-18 (confirmed by LinkedIn screenshot, "Application submitted"). Est. fit score: 72 — Delivery Manager matches her core delivery-execution lane. 34 applicants at time of application.</t>
        </is>
      </c>
      <c r="Q425" s="48" t="n"/>
      <c r="R425" s="48" t="n"/>
      <c r="S425" s="51" t="n"/>
      <c r="T425" s="52">
        <f>IF(G425="","",G425)</f>
        <v/>
      </c>
      <c r="U425" s="52">
        <f>IF(C425="","",IF(OR(ISNUMBER(SEARCH("Director",C425)),ISNUMBER(SEARCH("Lead",C425)),ISNUMBER(SEARCH("Senior",C425)),ISNUMBER(SEARCH("Sr.",C425))),90,IF(OR(ISNUMBER(SEARCH("Manager",C425)),ISNUMBER(SEARCH("Program",C425)),ISNUMBER(SEARCH("Portfolio",C425))),80,60)))</f>
        <v/>
      </c>
      <c r="V425" s="52">
        <f>IF(C425="","",IF(OR(ISNUMBER(SEARCH("AI",C425)),ISNUMBER(SEARCH("Data",C425)),ISNUMBER(SEARCH("Technology",C425)),ISNUMBER(SEARCH("Technical",C425)),ISNUMBER(SEARCH("Engineering",C425)),ISNUMBER(SEARCH("Platform",C425)),ISNUMBER(SEARCH("Portfolio",C425))),85,65))</f>
        <v/>
      </c>
      <c r="W425" s="52">
        <f>IF(C425="","",MIN(100,50+IF(S425&lt;&gt;"",25,0)+IF(R425&lt;&gt;"",15,0)+IF(P425&lt;&gt;"",10,0)))</f>
        <v/>
      </c>
      <c r="X425" s="52">
        <f>IF(E425="","",IF(OR(E425="Canada",E425="CA"),100,IF(OR(E425="United States",E425="USA",E425="US"),IF(J425="Yes",45,75),65)))</f>
        <v/>
      </c>
      <c r="Y425" s="52">
        <f>IF(C425="","",IF(OR(ISNUMBER(SEARCH("Program",C425)),ISNUMBER(SEARCH("Portfolio",C425)),ISNUMBER(SEARCH("Operations",C425)),ISNUMBER(SEARCH("Transformation",C425))),85,IF(ISNUMBER(SEARCH("Product Manager",C425)),55,70)))</f>
        <v/>
      </c>
      <c r="Z425" s="52">
        <f>IF(C425="","",MIN(100,IF(I425&lt;&gt;"",60,10)+IF(AA425&gt;0,MIN(40,AA425*20),0)))</f>
        <v/>
      </c>
      <c r="AA425" s="52">
        <f>IF(T425="","",ROUND(T425*25%+U425*15%+V425*10%+W425*15%+X425*15%+Y425*10%+Z425*10%,0))</f>
        <v/>
      </c>
      <c r="AB425" s="52">
        <f>IF(AA425="","",IF(X425&lt;50,"Selective / Barrier",IF(AA425&gt;=80,"Tier 1 - Pursue",IF(AA425&gt;=70,"Tier 2 - Pursue",IF(AA425&gt;=60,"Tier 3 - Selective","Do Not Pursue")))))</f>
        <v/>
      </c>
      <c r="AC425" s="52">
        <f>IF(C425="","",IF(I425&lt;&gt;"","Named Contact",IF(AA425&gt;0,"Outreach Logged","Cold")))</f>
        <v/>
      </c>
      <c r="AD425" s="52">
        <f>IF(B425="","",COUNTIF('Outreach Log'!$C:$C,B425))</f>
        <v/>
      </c>
      <c r="AE425" s="52">
        <f>IF(A425="","",IF(OR(K425="Rejected",K425="Closed"),IF(L425&lt;&gt;"",L425-A425,TODAY()-A425),TODAY()-A425))</f>
        <v/>
      </c>
      <c r="AF425" s="52">
        <f>IF(C425="","",IF(AND(AA425&gt;=70,AC425="Cold"),"High-fit but cold",IF(AND(AA425&lt;60,K425="Applied"),"Low-fit application",IF(AND(AA425&gt;=70,OR(AC425="Named Contact",AC425="Outreach Logged")),"Targeted pursuit","Review"))))</f>
        <v/>
      </c>
    </row>
    <row r="426" ht="15" customHeight="1" s="44">
      <c r="A426" s="53" t="n">
        <v>46283</v>
      </c>
      <c r="B426" s="48" t="inlineStr">
        <is>
          <t>Mitacs</t>
        </is>
      </c>
      <c r="C426" s="48" t="inlineStr">
        <is>
          <t>Program Manager, Enterprise Transformations (Transformation Management Office)</t>
        </is>
      </c>
      <c r="D426" s="48" t="inlineStr">
        <is>
          <t>Manager</t>
        </is>
      </c>
      <c r="E426" s="48" t="inlineStr">
        <is>
          <t>Canada</t>
        </is>
      </c>
      <c r="F426" s="48" t="inlineStr">
        <is>
          <t>Greater Toronto Area (Remote)</t>
        </is>
      </c>
      <c r="G426" s="48" t="n">
        <v>78</v>
      </c>
      <c r="H426" s="48" t="inlineStr">
        <is>
          <t>LinkedIn</t>
        </is>
      </c>
      <c r="I426" s="48" t="n"/>
      <c r="J426" s="48" t="inlineStr">
        <is>
          <t>No</t>
        </is>
      </c>
      <c r="K426" s="55" t="inlineStr">
        <is>
          <t>Applied</t>
        </is>
      </c>
      <c r="L426" s="48" t="n"/>
      <c r="M426" s="48">
        <f>IF(OR(L291="",A291=""),"",L291-A291)</f>
        <v/>
      </c>
      <c r="N426" s="48" t="n"/>
      <c r="O426" s="48" t="n"/>
      <c r="P426" s="51" t="inlineStr">
        <is>
          <t>Applied 2026-09-18 (BambooHR confirmation). Est. fit score: 78 — Enterprise Transformations/Transformation Management Office is a strong title match to her core portfolio/transformation lane (Bell Enterprise Architecture). Mitacs is a Canadian research/innovation funding nonprofit — new sector, but the role scope aligns well.</t>
        </is>
      </c>
      <c r="Q426" s="48" t="n"/>
      <c r="R426" s="48" t="n"/>
      <c r="S426" s="51" t="n"/>
      <c r="T426" s="52">
        <f>IF(G426="","",G426)</f>
        <v/>
      </c>
      <c r="U426" s="52">
        <f>IF(C426="","",IF(OR(ISNUMBER(SEARCH("Director",C426)),ISNUMBER(SEARCH("Lead",C426)),ISNUMBER(SEARCH("Senior",C426)),ISNUMBER(SEARCH("Sr.",C426))),90,IF(OR(ISNUMBER(SEARCH("Manager",C426)),ISNUMBER(SEARCH("Program",C426)),ISNUMBER(SEARCH("Portfolio",C426))),80,60)))</f>
        <v/>
      </c>
      <c r="V426" s="52">
        <f>IF(C426="","",IF(OR(ISNUMBER(SEARCH("AI",C426)),ISNUMBER(SEARCH("Data",C426)),ISNUMBER(SEARCH("Technology",C426)),ISNUMBER(SEARCH("Technical",C426)),ISNUMBER(SEARCH("Engineering",C426)),ISNUMBER(SEARCH("Platform",C426)),ISNUMBER(SEARCH("Portfolio",C426))),85,65))</f>
        <v/>
      </c>
      <c r="W426" s="52">
        <f>IF(C426="","",MIN(100,50+IF(S426&lt;&gt;"",25,0)+IF(R426&lt;&gt;"",15,0)+IF(P426&lt;&gt;"",10,0)))</f>
        <v/>
      </c>
      <c r="X426" s="52">
        <f>IF(E426="","",IF(OR(E426="Canada",E426="CA"),100,IF(OR(E426="United States",E426="USA",E426="US"),IF(J426="Yes",45,75),65)))</f>
        <v/>
      </c>
      <c r="Y426" s="52">
        <f>IF(C426="","",IF(OR(ISNUMBER(SEARCH("Program",C426)),ISNUMBER(SEARCH("Portfolio",C426)),ISNUMBER(SEARCH("Operations",C426)),ISNUMBER(SEARCH("Transformation",C426))),85,IF(ISNUMBER(SEARCH("Product Manager",C426)),55,70)))</f>
        <v/>
      </c>
      <c r="Z426" s="52">
        <f>IF(C426="","",MIN(100,IF(I426&lt;&gt;"",60,10)+IF(AA426&gt;0,MIN(40,AA426*20),0)))</f>
        <v/>
      </c>
      <c r="AA426" s="52">
        <f>IF(T426="","",ROUND(T426*25%+U426*15%+V426*10%+W426*15%+X426*15%+Y426*10%+Z426*10%,0))</f>
        <v/>
      </c>
      <c r="AB426" s="52">
        <f>IF(AA426="","",IF(X426&lt;50,"Selective / Barrier",IF(AA426&gt;=80,"Tier 1 - Pursue",IF(AA426&gt;=70,"Tier 2 - Pursue",IF(AA426&gt;=60,"Tier 3 - Selective","Do Not Pursue")))))</f>
        <v/>
      </c>
      <c r="AC426" s="52">
        <f>IF(C426="","",IF(I426&lt;&gt;"","Named Contact",IF(AA426&gt;0,"Outreach Logged","Cold")))</f>
        <v/>
      </c>
      <c r="AD426" s="52">
        <f>IF(B426="","",COUNTIF('Outreach Log'!$C:$C,B426))</f>
        <v/>
      </c>
      <c r="AE426" s="52">
        <f>IF(A426="","",IF(OR(K426="Rejected",K426="Closed"),IF(L426&lt;&gt;"",L426-A426,TODAY()-A426),TODAY()-A426))</f>
        <v/>
      </c>
      <c r="AF426" s="52">
        <f>IF(C426="","",IF(AND(AA426&gt;=70,AC426="Cold"),"High-fit but cold",IF(AND(AA426&lt;60,K426="Applied"),"Low-fit application",IF(AND(AA426&gt;=70,OR(AC426="Named Contact",AC426="Outreach Logged")),"Targeted pursuit","Review"))))</f>
        <v/>
      </c>
    </row>
    <row r="427" ht="15" customHeight="1" s="44">
      <c r="A427" s="53" t="n">
        <v>46283</v>
      </c>
      <c r="B427" s="48" t="inlineStr">
        <is>
          <t>Moody's</t>
        </is>
      </c>
      <c r="C427" s="48" t="inlineStr">
        <is>
          <t>Sr. Program Manager</t>
        </is>
      </c>
      <c r="D427" s="48" t="inlineStr">
        <is>
          <t>Sr Manager</t>
        </is>
      </c>
      <c r="E427" s="48" t="inlineStr">
        <is>
          <t>Canada</t>
        </is>
      </c>
      <c r="F427" s="48" t="inlineStr">
        <is>
          <t>Toronto, ON</t>
        </is>
      </c>
      <c r="G427" s="48" t="n">
        <v>72</v>
      </c>
      <c r="H427" s="48" t="inlineStr">
        <is>
          <t>Cold Portal (SuccessFactors)</t>
        </is>
      </c>
      <c r="I427" s="48" t="n"/>
      <c r="J427" s="48" t="inlineStr">
        <is>
          <t>No</t>
        </is>
      </c>
      <c r="K427" s="55" t="inlineStr">
        <is>
          <t>Applied</t>
        </is>
      </c>
      <c r="L427" s="48" t="n"/>
      <c r="M427" s="48">
        <f>IF(OR(L292="",A292=""),"",L292-A292)</f>
        <v/>
      </c>
      <c r="N427" s="48" t="n"/>
      <c r="O427" s="48" t="n"/>
      <c r="P427" s="51" t="inlineStr">
        <is>
          <t>Applied 2026-09-18 (SuccessFactors confirmation). Distinct from row 199 (Associate Director, Product Manager - Model Context Protocol, US-based, applied 8/26) — separate role, same company, this one Canada-based. Est. fit score: 72 — Sr. Program Manager matches her core lane; financial data/ratings vertical is new but data-governance-adjacent.</t>
        </is>
      </c>
      <c r="Q427" s="48" t="n"/>
      <c r="R427" s="48" t="n"/>
      <c r="S427" s="51" t="n"/>
      <c r="T427" s="52">
        <f>IF(G427="","",G427)</f>
        <v/>
      </c>
      <c r="U427" s="52">
        <f>IF(C427="","",IF(OR(ISNUMBER(SEARCH("Director",C427)),ISNUMBER(SEARCH("Lead",C427)),ISNUMBER(SEARCH("Senior",C427)),ISNUMBER(SEARCH("Sr.",C427))),90,IF(OR(ISNUMBER(SEARCH("Manager",C427)),ISNUMBER(SEARCH("Program",C427)),ISNUMBER(SEARCH("Portfolio",C427))),80,60)))</f>
        <v/>
      </c>
      <c r="V427" s="52">
        <f>IF(C427="","",IF(OR(ISNUMBER(SEARCH("AI",C427)),ISNUMBER(SEARCH("Data",C427)),ISNUMBER(SEARCH("Technology",C427)),ISNUMBER(SEARCH("Technical",C427)),ISNUMBER(SEARCH("Engineering",C427)),ISNUMBER(SEARCH("Platform",C427)),ISNUMBER(SEARCH("Portfolio",C427))),85,65))</f>
        <v/>
      </c>
      <c r="W427" s="52">
        <f>IF(C427="","",MIN(100,50+IF(S427&lt;&gt;"",25,0)+IF(R427&lt;&gt;"",15,0)+IF(P427&lt;&gt;"",10,0)))</f>
        <v/>
      </c>
      <c r="X427" s="52">
        <f>IF(E427="","",IF(OR(E427="Canada",E427="CA"),100,IF(OR(E427="United States",E427="USA",E427="US"),IF(J427="Yes",45,75),65)))</f>
        <v/>
      </c>
      <c r="Y427" s="52">
        <f>IF(C427="","",IF(OR(ISNUMBER(SEARCH("Program",C427)),ISNUMBER(SEARCH("Portfolio",C427)),ISNUMBER(SEARCH("Operations",C427)),ISNUMBER(SEARCH("Transformation",C427))),85,IF(ISNUMBER(SEARCH("Product Manager",C427)),55,70)))</f>
        <v/>
      </c>
      <c r="Z427" s="52">
        <f>IF(C427="","",MIN(100,IF(I427&lt;&gt;"",60,10)+IF(AA427&gt;0,MIN(40,AA427*20),0)))</f>
        <v/>
      </c>
      <c r="AA427" s="52">
        <f>IF(T427="","",ROUND(T427*25%+U427*15%+V427*10%+W427*15%+X427*15%+Y427*10%+Z427*10%,0))</f>
        <v/>
      </c>
      <c r="AB427" s="52">
        <f>IF(AA427="","",IF(X427&lt;50,"Selective / Barrier",IF(AA427&gt;=80,"Tier 1 - Pursue",IF(AA427&gt;=70,"Tier 2 - Pursue",IF(AA427&gt;=60,"Tier 3 - Selective","Do Not Pursue")))))</f>
        <v/>
      </c>
      <c r="AC427" s="52">
        <f>IF(C427="","",IF(I427&lt;&gt;"","Named Contact",IF(AA427&gt;0,"Outreach Logged","Cold")))</f>
        <v/>
      </c>
      <c r="AD427" s="52">
        <f>IF(B427="","",COUNTIF('Outreach Log'!$C:$C,B427))</f>
        <v/>
      </c>
      <c r="AE427" s="52">
        <f>IF(A427="","",IF(OR(K427="Rejected",K427="Closed"),IF(L427&lt;&gt;"",L427-A427,TODAY()-A427),TODAY()-A427))</f>
        <v/>
      </c>
      <c r="AF427" s="52">
        <f>IF(C427="","",IF(AND(AA427&gt;=70,AC427="Cold"),"High-fit but cold",IF(AND(AA427&lt;60,K427="Applied"),"Low-fit application",IF(AND(AA427&gt;=70,OR(AC427="Named Contact",AC427="Outreach Logged")),"Targeted pursuit","Review"))))</f>
        <v/>
      </c>
    </row>
    <row r="428" ht="15" customHeight="1" s="44">
      <c r="A428" s="53" t="n">
        <v>46283</v>
      </c>
      <c r="B428" s="48" t="inlineStr">
        <is>
          <t>McKesson</t>
        </is>
      </c>
      <c r="C428" s="48" t="inlineStr">
        <is>
          <t>Senior Manager, AI Products &amp; Copilot Solutions (JR0148633)</t>
        </is>
      </c>
      <c r="D428" s="48" t="inlineStr">
        <is>
          <t>Sr Manager</t>
        </is>
      </c>
      <c r="E428" s="48" t="inlineStr">
        <is>
          <t>Canada</t>
        </is>
      </c>
      <c r="F428" s="48" t="inlineStr">
        <is>
          <t>Toronto</t>
        </is>
      </c>
      <c r="G428" s="48" t="n">
        <v>78</v>
      </c>
      <c r="H428" s="48" t="inlineStr">
        <is>
          <t>Cold Portal</t>
        </is>
      </c>
      <c r="I428" s="48" t="n"/>
      <c r="J428" s="48" t="inlineStr">
        <is>
          <t>No</t>
        </is>
      </c>
      <c r="K428" s="55" t="inlineStr">
        <is>
          <t>Applied</t>
        </is>
      </c>
      <c r="L428" s="48" t="n"/>
      <c r="M428" s="48">
        <f>IF(OR(L293="",A293=""),"",L293-A293)</f>
        <v/>
      </c>
      <c r="N428" s="48" t="n"/>
      <c r="O428" s="48" t="n"/>
      <c r="P428" s="51" t="inlineStr">
        <is>
          <t>Applied 2026-09-18 (confirmed via McKesson Workday portal, "Application Received"). 6th McKesson application — distinct from rows for AI/ML Initiatives TPM (Rejected), Lead Technical Project Manager (Rejected), Principal Program Manager (Rejected), Sr. Manager Program Management (Applied 9/14), and Principal Technology Portfolio Management Leader (Applied 8/10, 88% fit). Est. fit score: 78 — AI Products &amp; Copilot Solutions matches her AI delivery/enablement work directly.</t>
        </is>
      </c>
      <c r="Q428" s="48" t="n"/>
      <c r="R428" s="48" t="n"/>
      <c r="S428" s="51" t="n"/>
      <c r="T428" s="52">
        <f>IF(G428="","",G428)</f>
        <v/>
      </c>
      <c r="U428" s="52">
        <f>IF(C428="","",IF(OR(ISNUMBER(SEARCH("Director",C428)),ISNUMBER(SEARCH("Lead",C428)),ISNUMBER(SEARCH("Senior",C428)),ISNUMBER(SEARCH("Sr.",C428))),90,IF(OR(ISNUMBER(SEARCH("Manager",C428)),ISNUMBER(SEARCH("Program",C428)),ISNUMBER(SEARCH("Portfolio",C428))),80,60)))</f>
        <v/>
      </c>
      <c r="V428" s="52">
        <f>IF(C428="","",IF(OR(ISNUMBER(SEARCH("AI",C428)),ISNUMBER(SEARCH("Data",C428)),ISNUMBER(SEARCH("Technology",C428)),ISNUMBER(SEARCH("Technical",C428)),ISNUMBER(SEARCH("Engineering",C428)),ISNUMBER(SEARCH("Platform",C428)),ISNUMBER(SEARCH("Portfolio",C428))),85,65))</f>
        <v/>
      </c>
      <c r="W428" s="52">
        <f>IF(C428="","",MIN(100,50+IF(S428&lt;&gt;"",25,0)+IF(R428&lt;&gt;"",15,0)+IF(P428&lt;&gt;"",10,0)))</f>
        <v/>
      </c>
      <c r="X428" s="52">
        <f>IF(E428="","",IF(OR(E428="Canada",E428="CA"),100,IF(OR(E428="United States",E428="USA",E428="US"),IF(J428="Yes",45,75),65)))</f>
        <v/>
      </c>
      <c r="Y428" s="52">
        <f>IF(C428="","",IF(OR(ISNUMBER(SEARCH("Program",C428)),ISNUMBER(SEARCH("Portfolio",C428)),ISNUMBER(SEARCH("Operations",C428)),ISNUMBER(SEARCH("Transformation",C428))),85,IF(ISNUMBER(SEARCH("Product Manager",C428)),55,70)))</f>
        <v/>
      </c>
      <c r="Z428" s="52">
        <f>IF(C428="","",MIN(100,IF(I428&lt;&gt;"",60,10)+IF(AA428&gt;0,MIN(40,AA428*20),0)))</f>
        <v/>
      </c>
      <c r="AA428" s="52">
        <f>IF(T428="","",ROUND(T428*25%+U428*15%+V428*10%+W428*15%+X428*15%+Y428*10%+Z428*10%,0))</f>
        <v/>
      </c>
      <c r="AB428" s="52">
        <f>IF(AA428="","",IF(X428&lt;50,"Selective / Barrier",IF(AA428&gt;=80,"Tier 1 - Pursue",IF(AA428&gt;=70,"Tier 2 - Pursue",IF(AA428&gt;=60,"Tier 3 - Selective","Do Not Pursue")))))</f>
        <v/>
      </c>
      <c r="AC428" s="52">
        <f>IF(C428="","",IF(I428&lt;&gt;"","Named Contact",IF(AA428&gt;0,"Outreach Logged","Cold")))</f>
        <v/>
      </c>
      <c r="AD428" s="52">
        <f>IF(B428="","",COUNTIF('Outreach Log'!$C:$C,B428))</f>
        <v/>
      </c>
      <c r="AE428" s="52">
        <f>IF(A428="","",IF(OR(K428="Rejected",K428="Closed"),IF(L428&lt;&gt;"",L428-A428,TODAY()-A428),TODAY()-A428))</f>
        <v/>
      </c>
      <c r="AF428" s="52">
        <f>IF(C428="","",IF(AND(AA428&gt;=70,AC428="Cold"),"High-fit but cold",IF(AND(AA428&lt;60,K428="Applied"),"Low-fit application",IF(AND(AA428&gt;=70,OR(AC428="Named Contact",AC428="Outreach Logged")),"Targeted pursuit","Review"))))</f>
        <v/>
      </c>
    </row>
    <row r="429" ht="15" customHeight="1" s="44">
      <c r="A429" s="53" t="n">
        <v>46283</v>
      </c>
      <c r="B429" s="48" t="inlineStr">
        <is>
          <t>Mitacs</t>
        </is>
      </c>
      <c r="C429" s="48" t="inlineStr">
        <is>
          <t>Program Manager, Enterprise Transformations</t>
        </is>
      </c>
      <c r="D429" s="48" t="n"/>
      <c r="E429" s="48" t="n"/>
      <c r="F429" s="48" t="n"/>
      <c r="G429" s="48" t="n"/>
      <c r="H429" s="48" t="n"/>
      <c r="I429" s="48" t="n"/>
      <c r="J429" s="48" t="n"/>
      <c r="K429" s="55" t="inlineStr">
        <is>
          <t>Applied</t>
        </is>
      </c>
      <c r="L429" s="48" t="n"/>
      <c r="M429" s="48" t="n"/>
      <c r="N429" s="48" t="n"/>
      <c r="O429" s="48" t="n"/>
      <c r="P429" s="51" t="n"/>
      <c r="Q429" s="48" t="n"/>
      <c r="R429" s="48" t="n"/>
      <c r="S429" s="51" t="n"/>
      <c r="T429" s="52">
        <f>IF(G429="","",G429)</f>
        <v/>
      </c>
      <c r="U429" s="52">
        <f>IF(C429="","",IF(OR(ISNUMBER(SEARCH("Director",C429)),ISNUMBER(SEARCH("Lead",C429)),ISNUMBER(SEARCH("Senior",C429)),ISNUMBER(SEARCH("Sr.",C429))),90,IF(OR(ISNUMBER(SEARCH("Manager",C429)),ISNUMBER(SEARCH("Program",C429)),ISNUMBER(SEARCH("Portfolio",C429))),80,60)))</f>
        <v/>
      </c>
      <c r="V429" s="52">
        <f>IF(C429="","",IF(OR(ISNUMBER(SEARCH("AI",C429)),ISNUMBER(SEARCH("Data",C429)),ISNUMBER(SEARCH("Technology",C429)),ISNUMBER(SEARCH("Technical",C429)),ISNUMBER(SEARCH("Engineering",C429)),ISNUMBER(SEARCH("Platform",C429)),ISNUMBER(SEARCH("Portfolio",C429))),85,65))</f>
        <v/>
      </c>
      <c r="W429" s="52">
        <f>IF(C429="","",MIN(100,50+IF(S429&lt;&gt;"",25,0)+IF(R429&lt;&gt;"",15,0)+IF(P429&lt;&gt;"",10,0)))</f>
        <v/>
      </c>
      <c r="X429" s="52">
        <f>IF(E429="","",IF(OR(E429="Canada",E429="CA"),100,IF(OR(E429="United States",E429="USA",E429="US"),IF(J429="Yes",45,75),65)))</f>
        <v/>
      </c>
      <c r="Y429" s="52">
        <f>IF(C429="","",IF(OR(ISNUMBER(SEARCH("Program",C429)),ISNUMBER(SEARCH("Portfolio",C429)),ISNUMBER(SEARCH("Operations",C429)),ISNUMBER(SEARCH("Transformation",C429))),85,IF(ISNUMBER(SEARCH("Product Manager",C429)),55,70)))</f>
        <v/>
      </c>
      <c r="Z429" s="52">
        <f>IF(C429="","",MIN(100,IF(I429&lt;&gt;"",60,10)+IF(AA429&gt;0,MIN(40,AA429*20),0)))</f>
        <v/>
      </c>
      <c r="AA429" s="52">
        <f>IF(T429="","",ROUND(T429*25%+U429*15%+V429*10%+W429*15%+X429*15%+Y429*10%+Z429*10%,0))</f>
        <v/>
      </c>
      <c r="AB429" s="52">
        <f>IF(AA429="","",IF(X429&lt;50,"Selective / Barrier",IF(AA429&gt;=80,"Tier 1 - Pursue",IF(AA429&gt;=70,"Tier 2 - Pursue",IF(AA429&gt;=60,"Tier 3 - Selective","Do Not Pursue")))))</f>
        <v/>
      </c>
      <c r="AC429" s="52">
        <f>IF(C429="","",IF(I429&lt;&gt;"","Named Contact",IF(AA429&gt;0,"Outreach Logged","Cold")))</f>
        <v/>
      </c>
      <c r="AD429" s="52">
        <f>IF(B429="","",COUNTIF('Outreach Log'!$C:$C,B429))</f>
        <v/>
      </c>
      <c r="AE429" s="52">
        <f>IF(A429="","",IF(OR(K429="Rejected",K429="Closed"),IF(L429&lt;&gt;"",L429-A429,TODAY()-A429),TODAY()-A429))</f>
        <v/>
      </c>
      <c r="AF429" s="52">
        <f>IF(C429="","",IF(AND(AA429&gt;=70,AC429="Cold"),"High-fit but cold",IF(AND(AA429&lt;60,K429="Applied"),"Low-fit application",IF(AND(AA429&gt;=70,OR(AC429="Named Contact",AC429="Outreach Logged")),"Targeted pursuit","Review"))))</f>
        <v/>
      </c>
    </row>
    <row r="430" ht="15" customHeight="1" s="44">
      <c r="A430" s="53" t="n">
        <v>46283</v>
      </c>
      <c r="B430" s="48" t="inlineStr">
        <is>
          <t>SI Systems (contract)</t>
        </is>
      </c>
      <c r="C430" s="48" t="inlineStr">
        <is>
          <t>Project Manager (Azure DevOps, Capital/Private Markets)</t>
        </is>
      </c>
      <c r="D430" s="48" t="n"/>
      <c r="E430" s="48" t="n"/>
      <c r="F430" s="48" t="n"/>
      <c r="G430" s="48" t="n"/>
      <c r="H430" s="48" t="n"/>
      <c r="I430" s="48" t="n"/>
      <c r="J430" s="48" t="n"/>
      <c r="K430" s="49" t="inlineStr">
        <is>
          <t>Rejected</t>
        </is>
      </c>
      <c r="L430" s="48" t="n"/>
      <c r="M430" s="48" t="n"/>
      <c r="N430" s="48" t="n"/>
      <c r="O430" s="48" t="n"/>
      <c r="P430" s="51" t="inlineStr">
        <is>
          <t>Rejected (per Greenhouse portal review, Sep 20 2026). Another candidate selected</t>
        </is>
      </c>
      <c r="Q430" s="48" t="n"/>
      <c r="R430" s="48" t="n"/>
      <c r="S430" s="51" t="n"/>
      <c r="T430" s="52">
        <f>IF(G430="","",G430)</f>
        <v/>
      </c>
      <c r="U430" s="52">
        <f>IF(C430="","",IF(OR(ISNUMBER(SEARCH("Director",C430)),ISNUMBER(SEARCH("Lead",C430)),ISNUMBER(SEARCH("Senior",C430)),ISNUMBER(SEARCH("Sr.",C430))),90,IF(OR(ISNUMBER(SEARCH("Manager",C430)),ISNUMBER(SEARCH("Program",C430)),ISNUMBER(SEARCH("Portfolio",C430))),80,60)))</f>
        <v/>
      </c>
      <c r="V430" s="52">
        <f>IF(C430="","",IF(OR(ISNUMBER(SEARCH("AI",C430)),ISNUMBER(SEARCH("Data",C430)),ISNUMBER(SEARCH("Technology",C430)),ISNUMBER(SEARCH("Technical",C430)),ISNUMBER(SEARCH("Engineering",C430)),ISNUMBER(SEARCH("Platform",C430)),ISNUMBER(SEARCH("Portfolio",C430))),85,65))</f>
        <v/>
      </c>
      <c r="W430" s="52">
        <f>IF(C430="","",MIN(100,50+IF(S430&lt;&gt;"",25,0)+IF(R430&lt;&gt;"",15,0)+IF(P430&lt;&gt;"",10,0)))</f>
        <v/>
      </c>
      <c r="X430" s="52">
        <f>IF(E430="","",IF(OR(E430="Canada",E430="CA"),100,IF(OR(E430="United States",E430="USA",E430="US"),IF(J430="Yes",45,75),65)))</f>
        <v/>
      </c>
      <c r="Y430" s="52">
        <f>IF(C430="","",IF(OR(ISNUMBER(SEARCH("Program",C430)),ISNUMBER(SEARCH("Portfolio",C430)),ISNUMBER(SEARCH("Operations",C430)),ISNUMBER(SEARCH("Transformation",C430))),85,IF(ISNUMBER(SEARCH("Product Manager",C430)),55,70)))</f>
        <v/>
      </c>
      <c r="Z430" s="52">
        <f>IF(C430="","",MIN(100,IF(I430&lt;&gt;"",60,10)+IF(AA430&gt;0,MIN(40,AA430*20),0)))</f>
        <v/>
      </c>
      <c r="AA430" s="52">
        <f>IF(T430="","",ROUND(T430*25%+U430*15%+V430*10%+W430*15%+X430*15%+Y430*10%+Z430*10%,0))</f>
        <v/>
      </c>
      <c r="AB430" s="52">
        <f>IF(AA430="","",IF(X430&lt;50,"Selective / Barrier",IF(AA430&gt;=80,"Tier 1 - Pursue",IF(AA430&gt;=70,"Tier 2 - Pursue",IF(AA430&gt;=60,"Tier 3 - Selective","Do Not Pursue")))))</f>
        <v/>
      </c>
      <c r="AC430" s="52">
        <f>IF(C430="","",IF(I430&lt;&gt;"","Named Contact",IF(AA430&gt;0,"Outreach Logged","Cold")))</f>
        <v/>
      </c>
      <c r="AD430" s="52">
        <f>IF(B430="","",COUNTIF('Outreach Log'!$C:$C,B430))</f>
        <v/>
      </c>
      <c r="AE430" s="52">
        <f>IF(A430="","",IF(OR(K430="Rejected",K430="Closed"),IF(L430&lt;&gt;"",L430-A430,TODAY()-A430),TODAY()-A430))</f>
        <v/>
      </c>
      <c r="AF430" s="52">
        <f>IF(C430="","",IF(AND(AA430&gt;=70,AC430="Cold"),"High-fit but cold",IF(AND(AA430&lt;60,K430="Applied"),"Low-fit application",IF(AND(AA430&gt;=70,OR(AC430="Named Contact",AC430="Outreach Logged")),"Targeted pursuit","Review"))))</f>
        <v/>
      </c>
    </row>
    <row r="431" ht="15" customHeight="1" s="44">
      <c r="A431" s="53" t="n">
        <v>46284</v>
      </c>
      <c r="B431" s="48" t="inlineStr">
        <is>
          <t>Cella</t>
        </is>
      </c>
      <c r="C431" s="48" t="inlineStr">
        <is>
          <t>Senior Program Manager, Social Media Enablement</t>
        </is>
      </c>
      <c r="D431" s="48" t="inlineStr">
        <is>
          <t>Senior</t>
        </is>
      </c>
      <c r="E431" s="48" t="inlineStr">
        <is>
          <t>Canada</t>
        </is>
      </c>
      <c r="F431" s="48" t="inlineStr">
        <is>
          <t>Greater Toronto Area (Hybrid)</t>
        </is>
      </c>
      <c r="G431" s="48" t="n">
        <v>60</v>
      </c>
      <c r="H431" s="48" t="inlineStr">
        <is>
          <t>LinkedIn</t>
        </is>
      </c>
      <c r="I431" s="48" t="n"/>
      <c r="J431" s="48" t="inlineStr">
        <is>
          <t>No</t>
        </is>
      </c>
      <c r="K431" s="55" t="inlineStr">
        <is>
          <t>Applied</t>
        </is>
      </c>
      <c r="L431" s="48" t="n"/>
      <c r="M431" s="48">
        <f>IF(OR(L294="",A294=""),"",L294-A294)</f>
        <v/>
      </c>
      <c r="N431" s="48" t="n"/>
      <c r="O431" s="48" t="n"/>
      <c r="P431" s="51" t="inlineStr">
        <is>
          <t>Applied 2026-09-19 (confirmed by LinkedIn screenshot, "Application submitted"). Cella is a creative/marketing staffing agency; contract role, $75-79 CAD/hr. Est. fit score: 60 — Senior Program Manager title matches her core lane, but social media enablement/marketing domain is a stretch from her enterprise data/delivery background. 21 applicants at time of application.</t>
        </is>
      </c>
      <c r="Q431" s="48" t="n"/>
      <c r="R431" s="48" t="n"/>
      <c r="S431" s="51" t="n"/>
      <c r="T431" s="52">
        <f>IF(G431="","",G431)</f>
        <v/>
      </c>
      <c r="U431" s="52">
        <f>IF(C431="","",IF(OR(ISNUMBER(SEARCH("Director",C431)),ISNUMBER(SEARCH("Lead",C431)),ISNUMBER(SEARCH("Senior",C431)),ISNUMBER(SEARCH("Sr.",C431))),90,IF(OR(ISNUMBER(SEARCH("Manager",C431)),ISNUMBER(SEARCH("Program",C431)),ISNUMBER(SEARCH("Portfolio",C431))),80,60)))</f>
        <v/>
      </c>
      <c r="V431" s="52">
        <f>IF(C431="","",IF(OR(ISNUMBER(SEARCH("AI",C431)),ISNUMBER(SEARCH("Data",C431)),ISNUMBER(SEARCH("Technology",C431)),ISNUMBER(SEARCH("Technical",C431)),ISNUMBER(SEARCH("Engineering",C431)),ISNUMBER(SEARCH("Platform",C431)),ISNUMBER(SEARCH("Portfolio",C431))),85,65))</f>
        <v/>
      </c>
      <c r="W431" s="52">
        <f>IF(C431="","",MIN(100,50+IF(S431&lt;&gt;"",25,0)+IF(R431&lt;&gt;"",15,0)+IF(P431&lt;&gt;"",10,0)))</f>
        <v/>
      </c>
      <c r="X431" s="52">
        <f>IF(E431="","",IF(OR(E431="Canada",E431="CA"),100,IF(OR(E431="United States",E431="USA",E431="US"),IF(J431="Yes",45,75),65)))</f>
        <v/>
      </c>
      <c r="Y431" s="52">
        <f>IF(C431="","",IF(OR(ISNUMBER(SEARCH("Program",C431)),ISNUMBER(SEARCH("Portfolio",C431)),ISNUMBER(SEARCH("Operations",C431)),ISNUMBER(SEARCH("Transformation",C431))),85,IF(ISNUMBER(SEARCH("Product Manager",C431)),55,70)))</f>
        <v/>
      </c>
      <c r="Z431" s="52">
        <f>IF(C431="","",MIN(100,IF(I431&lt;&gt;"",60,10)+IF(AA431&gt;0,MIN(40,AA431*20),0)))</f>
        <v/>
      </c>
      <c r="AA431" s="52">
        <f>IF(T431="","",ROUND(T431*25%+U431*15%+V431*10%+W431*15%+X431*15%+Y431*10%+Z431*10%,0))</f>
        <v/>
      </c>
      <c r="AB431" s="52">
        <f>IF(AA431="","",IF(X431&lt;50,"Selective / Barrier",IF(AA431&gt;=80,"Tier 1 - Pursue",IF(AA431&gt;=70,"Tier 2 - Pursue",IF(AA431&gt;=60,"Tier 3 - Selective","Do Not Pursue")))))</f>
        <v/>
      </c>
      <c r="AC431" s="52">
        <f>IF(C431="","",IF(I431&lt;&gt;"","Named Contact",IF(AA431&gt;0,"Outreach Logged","Cold")))</f>
        <v/>
      </c>
      <c r="AD431" s="52">
        <f>IF(B431="","",COUNTIF('Outreach Log'!$C:$C,B431))</f>
        <v/>
      </c>
      <c r="AE431" s="52">
        <f>IF(A431="","",IF(OR(K431="Rejected",K431="Closed"),IF(L431&lt;&gt;"",L431-A431,TODAY()-A431),TODAY()-A431))</f>
        <v/>
      </c>
      <c r="AF431" s="52">
        <f>IF(C431="","",IF(AND(AA431&gt;=70,AC431="Cold"),"High-fit but cold",IF(AND(AA431&lt;60,K431="Applied"),"Low-fit application",IF(AND(AA431&gt;=70,OR(AC431="Named Contact",AC431="Outreach Logged")),"Targeted pursuit","Review"))))</f>
        <v/>
      </c>
    </row>
    <row r="432" ht="15" customHeight="1" s="44">
      <c r="A432" s="53" t="n">
        <v>46284</v>
      </c>
      <c r="B432" s="48" t="inlineStr">
        <is>
          <t>Decagon</t>
        </is>
      </c>
      <c r="C432" s="48" t="inlineStr">
        <is>
          <t>(role title not stated in confirmation email)</t>
        </is>
      </c>
      <c r="D432" s="48" t="n"/>
      <c r="E432" s="48" t="inlineStr">
        <is>
          <t>US</t>
        </is>
      </c>
      <c r="F432" s="48" t="inlineStr">
        <is>
          <t>Unconfirmed</t>
        </is>
      </c>
      <c r="G432" s="48" t="n"/>
      <c r="H432" s="48" t="inlineStr">
        <is>
          <t>Cold Portal (Ashby)</t>
        </is>
      </c>
      <c r="I432" s="48" t="n"/>
      <c r="J432" s="48" t="n"/>
      <c r="K432" s="55" t="inlineStr">
        <is>
          <t>Applied</t>
        </is>
      </c>
      <c r="L432" s="48" t="n"/>
      <c r="M432" s="48">
        <f>IF(OR(L295="",A295=""),"",L295-A295)</f>
        <v/>
      </c>
      <c r="N432" s="48" t="n"/>
      <c r="O432" s="48" t="n"/>
      <c r="P432" s="51" t="inlineStr">
        <is>
          <t>Applied 2026-09-19 (confirmation via Ashby). Confirmation generic — role title, location, level, and sponsorship not specified. Decagon is an AI customer-support/agent company. Elena to confirm role details and fit.</t>
        </is>
      </c>
      <c r="Q432" s="48" t="n"/>
      <c r="R432" s="48" t="n"/>
      <c r="S432" s="51" t="n"/>
      <c r="T432" s="52">
        <f>IF(G432="","",G432)</f>
        <v/>
      </c>
      <c r="U432" s="52">
        <f>IF(C432="","",IF(OR(ISNUMBER(SEARCH("Director",C432)),ISNUMBER(SEARCH("Lead",C432)),ISNUMBER(SEARCH("Senior",C432)),ISNUMBER(SEARCH("Sr.",C432))),90,IF(OR(ISNUMBER(SEARCH("Manager",C432)),ISNUMBER(SEARCH("Program",C432)),ISNUMBER(SEARCH("Portfolio",C432))),80,60)))</f>
        <v/>
      </c>
      <c r="V432" s="52">
        <f>IF(C432="","",IF(OR(ISNUMBER(SEARCH("AI",C432)),ISNUMBER(SEARCH("Data",C432)),ISNUMBER(SEARCH("Technology",C432)),ISNUMBER(SEARCH("Technical",C432)),ISNUMBER(SEARCH("Engineering",C432)),ISNUMBER(SEARCH("Platform",C432)),ISNUMBER(SEARCH("Portfolio",C432))),85,65))</f>
        <v/>
      </c>
      <c r="W432" s="52">
        <f>IF(C432="","",MIN(100,50+IF(S432&lt;&gt;"",25,0)+IF(R432&lt;&gt;"",15,0)+IF(P432&lt;&gt;"",10,0)))</f>
        <v/>
      </c>
      <c r="X432" s="52">
        <f>IF(E432="","",IF(OR(E432="Canada",E432="CA"),100,IF(OR(E432="United States",E432="USA",E432="US"),IF(J432="Yes",45,75),65)))</f>
        <v/>
      </c>
      <c r="Y432" s="52">
        <f>IF(C432="","",IF(OR(ISNUMBER(SEARCH("Program",C432)),ISNUMBER(SEARCH("Portfolio",C432)),ISNUMBER(SEARCH("Operations",C432)),ISNUMBER(SEARCH("Transformation",C432))),85,IF(ISNUMBER(SEARCH("Product Manager",C432)),55,70)))</f>
        <v/>
      </c>
      <c r="Z432" s="52">
        <f>IF(C432="","",MIN(100,IF(I432&lt;&gt;"",60,10)+IF(AA432&gt;0,MIN(40,AA432*20),0)))</f>
        <v/>
      </c>
      <c r="AA432" s="52">
        <f>IF(T432="","",ROUND(T432*25%+U432*15%+V432*10%+W432*15%+X432*15%+Y432*10%+Z432*10%,0))</f>
        <v/>
      </c>
      <c r="AB432" s="52">
        <f>IF(AA432="","",IF(X432&lt;50,"Selective / Barrier",IF(AA432&gt;=80,"Tier 1 - Pursue",IF(AA432&gt;=70,"Tier 2 - Pursue",IF(AA432&gt;=60,"Tier 3 - Selective","Do Not Pursue")))))</f>
        <v/>
      </c>
      <c r="AC432" s="52">
        <f>IF(C432="","",IF(I432&lt;&gt;"","Named Contact",IF(AA432&gt;0,"Outreach Logged","Cold")))</f>
        <v/>
      </c>
      <c r="AD432" s="52">
        <f>IF(B432="","",COUNTIF('Outreach Log'!$C:$C,B432))</f>
        <v/>
      </c>
      <c r="AE432" s="52">
        <f>IF(A432="","",IF(OR(K432="Rejected",K432="Closed"),IF(L432&lt;&gt;"",L432-A432,TODAY()-A432),TODAY()-A432))</f>
        <v/>
      </c>
      <c r="AF432" s="52">
        <f>IF(C432="","",IF(AND(AA432&gt;=70,AC432="Cold"),"High-fit but cold",IF(AND(AA432&lt;60,K432="Applied"),"Low-fit application",IF(AND(AA432&gt;=70,OR(AC432="Named Contact",AC432="Outreach Logged")),"Targeted pursuit","Review"))))</f>
        <v/>
      </c>
    </row>
    <row r="433" ht="15" customHeight="1" s="44">
      <c r="A433" s="53" t="n">
        <v>46284</v>
      </c>
      <c r="B433" s="48" t="inlineStr">
        <is>
          <t>Bombardier</t>
        </is>
      </c>
      <c r="C433" s="48" t="inlineStr">
        <is>
          <t>IT Program/Portfolio Manager</t>
        </is>
      </c>
      <c r="D433" s="48" t="inlineStr">
        <is>
          <t>Senior</t>
        </is>
      </c>
      <c r="E433" s="48" t="inlineStr">
        <is>
          <t>Canada</t>
        </is>
      </c>
      <c r="F433" s="48" t="inlineStr">
        <is>
          <t>Not specified</t>
        </is>
      </c>
      <c r="G433" s="48" t="n">
        <v>78</v>
      </c>
      <c r="H433" s="48" t="inlineStr">
        <is>
          <t>Cold Portal</t>
        </is>
      </c>
      <c r="I433" s="48" t="n"/>
      <c r="J433" s="48" t="inlineStr">
        <is>
          <t>No</t>
        </is>
      </c>
      <c r="K433" s="55" t="inlineStr">
        <is>
          <t>Applied</t>
        </is>
      </c>
      <c r="L433" s="48" t="n"/>
      <c r="M433" s="48" t="n"/>
      <c r="N433" s="48" t="n"/>
      <c r="O433" s="48" t="n"/>
      <c r="P433" s="51" t="inlineStr">
        <is>
          <t>Applied via resume review this session; no confirmation email yet | 10+ years leading complex IT projects/programs/portfolios; SAP/Cloud/BI/DevOps experience; French/English bilingual required (uncertain fit); PMP/PgMP/SAFe certs preferred. Strong fit on program/portfolio governance and enterprise transformation scale, gap on French language requirement and no SAP-specific experience.</t>
        </is>
      </c>
      <c r="Q433" s="48" t="n"/>
      <c r="R433" s="48" t="inlineStr">
        <is>
          <t>Language requirement gap (French bilingual) + certification gap (PMP/PgMP)</t>
        </is>
      </c>
      <c r="S433" s="51" t="inlineStr">
        <is>
          <t>10+ yrs IT program/portfolio leadership. Governance, executive reporting, RAID logs. SAP/Cloud/BI/DevOps/MS Project Online. Bilingual English/French required. PMP/PgMP/SAFe/MoP certs preferred.</t>
        </is>
      </c>
      <c r="T433" s="52">
        <f>IF(G433="","",G433)</f>
        <v/>
      </c>
      <c r="U433" s="52">
        <f>IF(C433="","",IF(OR(ISNUMBER(SEARCH("Director",C433)),ISNUMBER(SEARCH("Lead",C433)),ISNUMBER(SEARCH("Senior",C433)),ISNUMBER(SEARCH("Sr.",C433))),90,IF(OR(ISNUMBER(SEARCH("Manager",C433)),ISNUMBER(SEARCH("Program",C433)),ISNUMBER(SEARCH("Portfolio",C433))),80,60)))</f>
        <v/>
      </c>
      <c r="V433" s="52">
        <f>IF(C433="","",IF(OR(ISNUMBER(SEARCH("AI",C433)),ISNUMBER(SEARCH("Data",C433)),ISNUMBER(SEARCH("Technology",C433)),ISNUMBER(SEARCH("Technical",C433)),ISNUMBER(SEARCH("Engineering",C433)),ISNUMBER(SEARCH("Platform",C433)),ISNUMBER(SEARCH("Portfolio",C433))),85,65))</f>
        <v/>
      </c>
      <c r="W433" s="52">
        <f>IF(C433="","",MIN(100,50+IF(S433&lt;&gt;"",25,0)+IF(R433&lt;&gt;"",15,0)+IF(P433&lt;&gt;"",10,0)))</f>
        <v/>
      </c>
      <c r="X433" s="52">
        <f>IF(E433="","",IF(OR(E433="Canada",E433="CA"),100,IF(OR(E433="United States",E433="USA",E433="US"),IF(J433="Yes",45,75),65)))</f>
        <v/>
      </c>
      <c r="Y433" s="52">
        <f>IF(C433="","",IF(OR(ISNUMBER(SEARCH("Program",C433)),ISNUMBER(SEARCH("Portfolio",C433)),ISNUMBER(SEARCH("Operations",C433)),ISNUMBER(SEARCH("Transformation",C433))),85,IF(ISNUMBER(SEARCH("Product Manager",C433)),55,70)))</f>
        <v/>
      </c>
      <c r="Z433" s="52">
        <f>IF(C433="","",MIN(100,IF(I433&lt;&gt;"",60,10)+IF(AA433&gt;0,MIN(40,AA433*20),0)))</f>
        <v/>
      </c>
      <c r="AA433" s="52">
        <f>IF(T433="","",ROUND(T433*25%+U433*15%+V433*10%+W433*15%+X433*15%+Y433*10%+Z433*10%,0))</f>
        <v/>
      </c>
      <c r="AB433" s="52">
        <f>IF(AA433="","",IF(X433&lt;50,"Selective / Barrier",IF(AA433&gt;=80,"Tier 1 - Pursue",IF(AA433&gt;=70,"Tier 2 - Pursue",IF(AA433&gt;=60,"Tier 3 - Selective","Do Not Pursue")))))</f>
        <v/>
      </c>
      <c r="AC433" s="52">
        <f>IF(C433="","",IF(I433&lt;&gt;"","Named Contact",IF(AA433&gt;0,"Outreach Logged","Cold")))</f>
        <v/>
      </c>
      <c r="AD433" s="52">
        <f>IF(B433="","",COUNTIF('Outreach Log'!$C:$C,B433))</f>
        <v/>
      </c>
      <c r="AE433" s="52">
        <f>IF(A433="","",IF(OR(K433="Rejected",K433="Closed"),IF(L433&lt;&gt;"",L433-A433,TODAY()-A433),TODAY()-A433))</f>
        <v/>
      </c>
      <c r="AF433" s="52">
        <f>IF(C433="","",IF(AND(AA433&gt;=70,AC433="Cold"),"High-fit but cold",IF(AND(AA433&lt;60,K433="Applied"),"Low-fit application",IF(AND(AA433&gt;=70,OR(AC433="Named Contact",AC433="Outreach Logged")),"Targeted pursuit","Review"))))</f>
        <v/>
      </c>
    </row>
    <row r="434" ht="15" customHeight="1" s="44">
      <c r="A434" s="53" t="n">
        <v>46284</v>
      </c>
      <c r="B434" s="48" t="inlineStr">
        <is>
          <t>Uber</t>
        </is>
      </c>
      <c r="C434" s="48" t="inlineStr">
        <is>
          <t>Sr TPM, Program Management (Tech)</t>
        </is>
      </c>
      <c r="D434" s="48" t="n"/>
      <c r="E434" s="48" t="n"/>
      <c r="F434" s="48" t="n"/>
      <c r="G434" s="48" t="n"/>
      <c r="H434" s="48" t="n"/>
      <c r="I434" s="48" t="n"/>
      <c r="J434" s="48" t="n"/>
      <c r="K434" s="49" t="inlineStr">
        <is>
          <t>Rejected</t>
        </is>
      </c>
      <c r="L434" s="48" t="n"/>
      <c r="M434" s="48" t="n"/>
      <c r="N434" s="48" t="n"/>
      <c r="O434" s="48" t="n"/>
      <c r="P434" s="51" t="inlineStr">
        <is>
          <t>Rejected (per Greenhouse portal review, Sep 20 2026). Not a match</t>
        </is>
      </c>
      <c r="Q434" s="48" t="n"/>
      <c r="R434" s="48" t="n"/>
      <c r="S434" s="51" t="n"/>
      <c r="T434" s="52">
        <f>IF(G434="","",G434)</f>
        <v/>
      </c>
      <c r="U434" s="52">
        <f>IF(C434="","",IF(OR(ISNUMBER(SEARCH("Director",C434)),ISNUMBER(SEARCH("Lead",C434)),ISNUMBER(SEARCH("Senior",C434)),ISNUMBER(SEARCH("Sr.",C434))),90,IF(OR(ISNUMBER(SEARCH("Manager",C434)),ISNUMBER(SEARCH("Program",C434)),ISNUMBER(SEARCH("Portfolio",C434))),80,60)))</f>
        <v/>
      </c>
      <c r="V434" s="52">
        <f>IF(C434="","",IF(OR(ISNUMBER(SEARCH("AI",C434)),ISNUMBER(SEARCH("Data",C434)),ISNUMBER(SEARCH("Technology",C434)),ISNUMBER(SEARCH("Technical",C434)),ISNUMBER(SEARCH("Engineering",C434)),ISNUMBER(SEARCH("Platform",C434)),ISNUMBER(SEARCH("Portfolio",C434))),85,65))</f>
        <v/>
      </c>
      <c r="W434" s="52">
        <f>IF(C434="","",MIN(100,50+IF(S434&lt;&gt;"",25,0)+IF(R434&lt;&gt;"",15,0)+IF(P434&lt;&gt;"",10,0)))</f>
        <v/>
      </c>
      <c r="X434" s="52">
        <f>IF(E434="","",IF(OR(E434="Canada",E434="CA"),100,IF(OR(E434="United States",E434="USA",E434="US"),IF(J434="Yes",45,75),65)))</f>
        <v/>
      </c>
      <c r="Y434" s="52">
        <f>IF(C434="","",IF(OR(ISNUMBER(SEARCH("Program",C434)),ISNUMBER(SEARCH("Portfolio",C434)),ISNUMBER(SEARCH("Operations",C434)),ISNUMBER(SEARCH("Transformation",C434))),85,IF(ISNUMBER(SEARCH("Product Manager",C434)),55,70)))</f>
        <v/>
      </c>
      <c r="Z434" s="52">
        <f>IF(C434="","",MIN(100,IF(I434&lt;&gt;"",60,10)+IF(AA434&gt;0,MIN(40,AA434*20),0)))</f>
        <v/>
      </c>
      <c r="AA434" s="52">
        <f>IF(T434="","",ROUND(T434*25%+U434*15%+V434*10%+W434*15%+X434*15%+Y434*10%+Z434*10%,0))</f>
        <v/>
      </c>
      <c r="AB434" s="52">
        <f>IF(AA434="","",IF(X434&lt;50,"Selective / Barrier",IF(AA434&gt;=80,"Tier 1 - Pursue",IF(AA434&gt;=70,"Tier 2 - Pursue",IF(AA434&gt;=60,"Tier 3 - Selective","Do Not Pursue")))))</f>
        <v/>
      </c>
      <c r="AC434" s="52">
        <f>IF(C434="","",IF(I434&lt;&gt;"","Named Contact",IF(AA434&gt;0,"Outreach Logged","Cold")))</f>
        <v/>
      </c>
      <c r="AD434" s="52">
        <f>IF(B434="","",COUNTIF('Outreach Log'!$C:$C,B434))</f>
        <v/>
      </c>
      <c r="AE434" s="52">
        <f>IF(A434="","",IF(OR(K434="Rejected",K434="Closed"),IF(L434&lt;&gt;"",L434-A434,TODAY()-A434),TODAY()-A434))</f>
        <v/>
      </c>
      <c r="AF434" s="52">
        <f>IF(C434="","",IF(AND(AA434&gt;=70,AC434="Cold"),"High-fit but cold",IF(AND(AA434&lt;60,K434="Applied"),"Low-fit application",IF(AND(AA434&gt;=70,OR(AC434="Named Contact",AC434="Outreach Logged")),"Targeted pursuit","Review"))))</f>
        <v/>
      </c>
    </row>
    <row r="435" ht="68.25" customHeight="1" s="44">
      <c r="A435" s="53" t="n">
        <v>46284</v>
      </c>
      <c r="B435" s="48" t="inlineStr">
        <is>
          <t>Walmart</t>
        </is>
      </c>
      <c r="C435" s="48" t="inlineStr">
        <is>
          <t>Director, Data Delivery (CAN)</t>
        </is>
      </c>
      <c r="D435" s="48" t="n"/>
      <c r="E435" s="48" t="n"/>
      <c r="F435" s="48" t="n"/>
      <c r="G435" s="48" t="n"/>
      <c r="H435" s="48" t="n"/>
      <c r="I435" s="48" t="n"/>
      <c r="J435" s="48" t="n"/>
      <c r="K435" s="49" t="inlineStr">
        <is>
          <t>Rejected</t>
        </is>
      </c>
      <c r="L435" s="48" t="n"/>
      <c r="M435" s="48" t="n"/>
      <c r="N435" s="48" t="n"/>
      <c r="O435" s="48" t="n"/>
      <c r="P435" s="51" t="inlineStr">
        <is>
          <t xml:space="preserve">Rejected (per Greenhouse portal review, Sep 20 2026). </t>
        </is>
      </c>
      <c r="Q435" s="48" t="n"/>
      <c r="R435" s="48" t="n"/>
      <c r="S435" s="51" t="n"/>
      <c r="T435" s="52">
        <f>IF(G435="","",G435)</f>
        <v/>
      </c>
      <c r="U435" s="52">
        <f>IF(C435="","",IF(OR(ISNUMBER(SEARCH("Director",C435)),ISNUMBER(SEARCH("Lead",C435)),ISNUMBER(SEARCH("Senior",C435)),ISNUMBER(SEARCH("Sr.",C435))),90,IF(OR(ISNUMBER(SEARCH("Manager",C435)),ISNUMBER(SEARCH("Program",C435)),ISNUMBER(SEARCH("Portfolio",C435))),80,60)))</f>
        <v/>
      </c>
      <c r="V435" s="52">
        <f>IF(C435="","",IF(OR(ISNUMBER(SEARCH("AI",C435)),ISNUMBER(SEARCH("Data",C435)),ISNUMBER(SEARCH("Technology",C435)),ISNUMBER(SEARCH("Technical",C435)),ISNUMBER(SEARCH("Engineering",C435)),ISNUMBER(SEARCH("Platform",C435)),ISNUMBER(SEARCH("Portfolio",C435))),85,65))</f>
        <v/>
      </c>
      <c r="W435" s="52">
        <f>IF(C435="","",MIN(100,50+IF(S435&lt;&gt;"",25,0)+IF(R435&lt;&gt;"",15,0)+IF(P435&lt;&gt;"",10,0)))</f>
        <v/>
      </c>
      <c r="X435" s="52">
        <f>IF(E435="","",IF(OR(E435="Canada",E435="CA"),100,IF(OR(E435="United States",E435="USA",E435="US"),IF(J435="Yes",45,75),65)))</f>
        <v/>
      </c>
      <c r="Y435" s="52">
        <f>IF(C435="","",IF(OR(ISNUMBER(SEARCH("Program",C435)),ISNUMBER(SEARCH("Portfolio",C435)),ISNUMBER(SEARCH("Operations",C435)),ISNUMBER(SEARCH("Transformation",C435))),85,IF(ISNUMBER(SEARCH("Product Manager",C435)),55,70)))</f>
        <v/>
      </c>
      <c r="Z435" s="52">
        <f>IF(C435="","",MIN(100,IF(I435&lt;&gt;"",60,10)+IF(AA435&gt;0,MIN(40,AA435*20),0)))</f>
        <v/>
      </c>
      <c r="AA435" s="52">
        <f>IF(T435="","",ROUND(T435*25%+U435*15%+V435*10%+W435*15%+X435*15%+Y435*10%+Z435*10%,0))</f>
        <v/>
      </c>
      <c r="AB435" s="52">
        <f>IF(AA435="","",IF(X435&lt;50,"Selective / Barrier",IF(AA435&gt;=80,"Tier 1 - Pursue",IF(AA435&gt;=70,"Tier 2 - Pursue",IF(AA435&gt;=60,"Tier 3 - Selective","Do Not Pursue")))))</f>
        <v/>
      </c>
      <c r="AC435" s="52">
        <f>IF(C435="","",IF(I435&lt;&gt;"","Named Contact",IF(AA435&gt;0,"Outreach Logged","Cold")))</f>
        <v/>
      </c>
      <c r="AD435" s="52">
        <f>IF(B435="","",COUNTIF('Outreach Log'!$C:$C,B435))</f>
        <v/>
      </c>
      <c r="AE435" s="52">
        <f>IF(A435="","",IF(OR(K435="Rejected",K435="Closed"),IF(L435&lt;&gt;"",L435-A435,TODAY()-A435),TODAY()-A435))</f>
        <v/>
      </c>
      <c r="AF435" s="52">
        <f>IF(C435="","",IF(AND(AA435&gt;=70,AC435="Cold"),"High-fit but cold",IF(AND(AA435&lt;60,K435="Applied"),"Low-fit application",IF(AND(AA435&gt;=70,OR(AC435="Named Contact",AC435="Outreach Logged")),"Targeted pursuit","Review"))))</f>
        <v/>
      </c>
    </row>
    <row r="436" ht="23.25" customHeight="1" s="44">
      <c r="A436" s="53" t="n">
        <v>46285</v>
      </c>
      <c r="B436" s="48" t="inlineStr">
        <is>
          <t>Decagon</t>
        </is>
      </c>
      <c r="C436" s="48" t="inlineStr">
        <is>
          <t>(role unspecified)</t>
        </is>
      </c>
      <c r="D436" s="48" t="n"/>
      <c r="E436" s="48" t="n"/>
      <c r="F436" s="48" t="n"/>
      <c r="G436" s="48" t="n"/>
      <c r="H436" s="48" t="n"/>
      <c r="I436" s="48" t="n"/>
      <c r="J436" s="48" t="n"/>
      <c r="K436" s="55" t="inlineStr">
        <is>
          <t>Applied</t>
        </is>
      </c>
      <c r="L436" s="48" t="n"/>
      <c r="M436" s="48" t="n"/>
      <c r="N436" s="48" t="n"/>
      <c r="O436" s="48" t="n"/>
      <c r="P436" s="51" t="n"/>
      <c r="Q436" s="48" t="n"/>
      <c r="R436" s="48" t="n"/>
      <c r="S436" s="51" t="n"/>
      <c r="T436" s="52">
        <f>IF(G436="","",G436)</f>
        <v/>
      </c>
      <c r="U436" s="52">
        <f>IF(C436="","",IF(OR(ISNUMBER(SEARCH("Director",C436)),ISNUMBER(SEARCH("Lead",C436)),ISNUMBER(SEARCH("Senior",C436)),ISNUMBER(SEARCH("Sr.",C436))),90,IF(OR(ISNUMBER(SEARCH("Manager",C436)),ISNUMBER(SEARCH("Program",C436)),ISNUMBER(SEARCH("Portfolio",C436))),80,60)))</f>
        <v/>
      </c>
      <c r="V436" s="52">
        <f>IF(C436="","",IF(OR(ISNUMBER(SEARCH("AI",C436)),ISNUMBER(SEARCH("Data",C436)),ISNUMBER(SEARCH("Technology",C436)),ISNUMBER(SEARCH("Technical",C436)),ISNUMBER(SEARCH("Engineering",C436)),ISNUMBER(SEARCH("Platform",C436)),ISNUMBER(SEARCH("Portfolio",C436))),85,65))</f>
        <v/>
      </c>
      <c r="W436" s="52">
        <f>IF(C436="","",MIN(100,50+IF(S436&lt;&gt;"",25,0)+IF(R436&lt;&gt;"",15,0)+IF(P436&lt;&gt;"",10,0)))</f>
        <v/>
      </c>
      <c r="X436" s="52">
        <f>IF(E436="","",IF(OR(E436="Canada",E436="CA"),100,IF(OR(E436="United States",E436="USA",E436="US"),IF(J436="Yes",45,75),65)))</f>
        <v/>
      </c>
      <c r="Y436" s="52">
        <f>IF(C436="","",IF(OR(ISNUMBER(SEARCH("Program",C436)),ISNUMBER(SEARCH("Portfolio",C436)),ISNUMBER(SEARCH("Operations",C436)),ISNUMBER(SEARCH("Transformation",C436))),85,IF(ISNUMBER(SEARCH("Product Manager",C436)),55,70)))</f>
        <v/>
      </c>
      <c r="Z436" s="52">
        <f>IF(C436="","",MIN(100,IF(I436&lt;&gt;"",60,10)+IF(AA436&gt;0,MIN(40,AA436*20),0)))</f>
        <v/>
      </c>
      <c r="AA436" s="52">
        <f>IF(T436="","",ROUND(T436*25%+U436*15%+V436*10%+W436*15%+X436*15%+Y436*10%+Z436*10%,0))</f>
        <v/>
      </c>
      <c r="AB436" s="52">
        <f>IF(AA436="","",IF(X436&lt;50,"Selective / Barrier",IF(AA436&gt;=80,"Tier 1 - Pursue",IF(AA436&gt;=70,"Tier 2 - Pursue",IF(AA436&gt;=60,"Tier 3 - Selective","Do Not Pursue")))))</f>
        <v/>
      </c>
      <c r="AC436" s="52">
        <f>IF(C436="","",IF(I436&lt;&gt;"","Named Contact",IF(AA436&gt;0,"Outreach Logged","Cold")))</f>
        <v/>
      </c>
      <c r="AD436" s="52">
        <f>IF(B436="","",COUNTIF('Outreach Log'!$C:$C,B436))</f>
        <v/>
      </c>
      <c r="AE436" s="52">
        <f>IF(A436="","",IF(OR(K436="Rejected",K436="Closed"),IF(L436&lt;&gt;"",L436-A436,TODAY()-A436),TODAY()-A436))</f>
        <v/>
      </c>
      <c r="AF436" s="52">
        <f>IF(C436="","",IF(AND(AA436&gt;=70,AC436="Cold"),"High-fit but cold",IF(AND(AA436&lt;60,K436="Applied"),"Low-fit application",IF(AND(AA436&gt;=70,OR(AC436="Named Contact",AC436="Outreach Logged")),"Targeted pursuit","Review"))))</f>
        <v/>
      </c>
    </row>
    <row r="437" ht="45.75" customHeight="1" s="44">
      <c r="A437" s="43" t="inlineStr">
        <is>
          <t>2026-09-29</t>
        </is>
      </c>
      <c r="B437" s="43" t="inlineStr">
        <is>
          <t>Charles River Associates</t>
        </is>
      </c>
      <c r="C437" s="43" t="inlineStr">
        <is>
          <t>Product Manager/Agile Master, AI and Digital Products</t>
        </is>
      </c>
      <c r="E437" s="43" t="inlineStr">
        <is>
          <t>US</t>
        </is>
      </c>
      <c r="F437" s="43" t="inlineStr">
        <is>
          <t>Dallas</t>
        </is>
      </c>
      <c r="G437" s="43" t="n">
        <v>54.7</v>
      </c>
      <c r="K437" s="43" t="inlineStr">
        <is>
          <t>Applied</t>
        </is>
      </c>
      <c r="N437" s="43" t="inlineStr">
        <is>
          <t>Resolve barriers before pursuing: Role may require hands-on technical skills outside candidate profile: 'data scientist'</t>
        </is>
      </c>
      <c r="T437" s="43" t="n">
        <v>55</v>
      </c>
      <c r="U437" s="43" t="n">
        <v>75</v>
      </c>
      <c r="V437" s="43" t="n">
        <v>100</v>
      </c>
      <c r="W437" s="43" t="n">
        <v>100</v>
      </c>
      <c r="X437" s="43" t="n">
        <v>45</v>
      </c>
      <c r="Y437" s="43" t="n">
        <v>75</v>
      </c>
      <c r="Z437" s="43" t="n">
        <v>50</v>
      </c>
      <c r="AA437" s="43" t="n">
        <v>69.2</v>
      </c>
      <c r="AB437" s="43" t="inlineStr">
        <is>
          <t>Barrier</t>
        </is>
      </c>
    </row>
    <row r="438" ht="45.75" customHeight="1" s="44">
      <c r="A438" s="43" t="inlineStr">
        <is>
          <t>2026-09-29</t>
        </is>
      </c>
      <c r="B438" s="43" t="inlineStr">
        <is>
          <t>APPLY</t>
        </is>
      </c>
      <c r="C438" s="43" t="inlineStr">
        <is>
          <t xml:space="preserve">Senior Project Manager </t>
        </is>
      </c>
      <c r="E438" s="43" t="inlineStr">
        <is>
          <t>CA</t>
        </is>
      </c>
      <c r="F438" s="43" t="inlineStr">
        <is>
          <t>Remote</t>
        </is>
      </c>
      <c r="G438" s="43" t="n">
        <v>55.9</v>
      </c>
      <c r="K438" s="43" t="inlineStr">
        <is>
          <t>Applied</t>
        </is>
      </c>
      <c r="N438" s="43" t="inlineStr">
        <is>
          <t>Apply if bandwidth permits; minimal outreach</t>
        </is>
      </c>
      <c r="T438" s="43" t="n">
        <v>30</v>
      </c>
      <c r="U438" s="43" t="n">
        <v>75</v>
      </c>
      <c r="V438" s="43" t="n">
        <v>96</v>
      </c>
      <c r="W438" s="43" t="n">
        <v>100</v>
      </c>
      <c r="X438" s="43" t="n">
        <v>45</v>
      </c>
      <c r="Y438" s="43" t="n">
        <v>75</v>
      </c>
      <c r="Z438" s="43" t="n">
        <v>50</v>
      </c>
      <c r="AA438" s="43" t="n">
        <v>62.6</v>
      </c>
      <c r="AB438" s="43" t="inlineStr">
        <is>
          <t>Tier 3</t>
        </is>
      </c>
    </row>
    <row r="439">
      <c r="A439" s="43" t="inlineStr">
        <is>
          <t>2026-09-29</t>
        </is>
      </c>
      <c r="B439" s="43" t="inlineStr">
        <is>
          <t xml:space="preserve"> RWE</t>
        </is>
      </c>
      <c r="C439" s="43" t="inlineStr">
        <is>
          <t>Sr AI Transformation Manager</t>
        </is>
      </c>
      <c r="E439" s="43" t="inlineStr">
        <is>
          <t>US</t>
        </is>
      </c>
      <c r="F439" s="43" t="inlineStr">
        <is>
          <t>Chicago, IL</t>
        </is>
      </c>
      <c r="G439" s="43" t="n">
        <v>75.8</v>
      </c>
      <c r="K439" s="43" t="inlineStr">
        <is>
          <t>Applied</t>
        </is>
      </c>
      <c r="N439" s="43" t="inlineStr">
        <is>
          <t>Apply if bandwidth permits; minimal outreach</t>
        </is>
      </c>
      <c r="T439" s="43" t="n">
        <v>30</v>
      </c>
      <c r="U439" s="43" t="n">
        <v>75</v>
      </c>
      <c r="V439" s="43" t="n">
        <v>80</v>
      </c>
      <c r="W439" s="43" t="n">
        <v>80</v>
      </c>
      <c r="X439" s="43" t="n">
        <v>70</v>
      </c>
      <c r="Y439" s="43" t="n">
        <v>75</v>
      </c>
      <c r="Z439" s="43" t="n">
        <v>50</v>
      </c>
      <c r="AA439" s="43" t="n">
        <v>61.8</v>
      </c>
      <c r="AB439" s="43" t="inlineStr">
        <is>
          <t>Tier 3</t>
        </is>
      </c>
    </row>
    <row r="440">
      <c r="A440" s="43" t="inlineStr">
        <is>
          <t>2026-09-29</t>
        </is>
      </c>
      <c r="B440" s="43" t="inlineStr">
        <is>
          <t xml:space="preserve"> Lightspeed Commerce</t>
        </is>
      </c>
      <c r="C440" s="43" t="inlineStr">
        <is>
          <t xml:space="preserve">Staff Technical Program Manager - PDLC </t>
        </is>
      </c>
      <c r="E440" s="43" t="inlineStr">
        <is>
          <t>CA</t>
        </is>
      </c>
      <c r="F440" s="43" t="inlineStr">
        <is>
          <t>Toronto, Canada</t>
        </is>
      </c>
      <c r="G440" s="43" t="n">
        <v>66.7</v>
      </c>
      <c r="K440" s="43" t="inlineStr">
        <is>
          <t>Applied</t>
        </is>
      </c>
      <c r="N440" s="43" t="inlineStr">
        <is>
          <t>Apply if bandwidth permits; minimal outreach</t>
        </is>
      </c>
      <c r="T440" s="43" t="n">
        <v>30</v>
      </c>
      <c r="U440" s="43" t="n">
        <v>75</v>
      </c>
      <c r="V440" s="43" t="n">
        <v>56</v>
      </c>
      <c r="W440" s="43" t="n">
        <v>60</v>
      </c>
      <c r="X440" s="43" t="n">
        <v>95</v>
      </c>
      <c r="Y440" s="43" t="n">
        <v>75</v>
      </c>
      <c r="Z440" s="43" t="n">
        <v>50</v>
      </c>
      <c r="AA440" s="43" t="n">
        <v>60.1</v>
      </c>
      <c r="AB440" s="43" t="inlineStr">
        <is>
          <t>Tier 3</t>
        </is>
      </c>
    </row>
    <row r="441">
      <c r="A441" s="43" t="inlineStr">
        <is>
          <t>2026-09-30</t>
        </is>
      </c>
      <c r="B441" s="43" t="inlineStr">
        <is>
          <t>Fidelity Investments</t>
        </is>
      </c>
      <c r="C441" s="43" t="inlineStr">
        <is>
          <t>VP AI Programs</t>
        </is>
      </c>
      <c r="E441" s="43" t="inlineStr"/>
      <c r="F441" s="43" t="inlineStr"/>
      <c r="G441" s="43" t="n">
        <v>100</v>
      </c>
      <c r="K441" s="43" t="inlineStr">
        <is>
          <t>Applied</t>
        </is>
      </c>
      <c r="N441" s="43" t="inlineStr">
        <is>
          <t>Archive — does not meet minimum fit threshold</t>
        </is>
      </c>
      <c r="T441" s="43" t="n">
        <v>55</v>
      </c>
      <c r="U441" s="43" t="n">
        <v>88</v>
      </c>
      <c r="V441" s="43" t="n">
        <v>40</v>
      </c>
      <c r="W441" s="43" t="n">
        <v>30</v>
      </c>
      <c r="X441" s="43" t="n">
        <v>70</v>
      </c>
      <c r="Y441" s="43" t="n">
        <v>75</v>
      </c>
      <c r="Z441" s="43" t="n">
        <v>50</v>
      </c>
      <c r="AA441" s="43" t="n">
        <v>58.5</v>
      </c>
      <c r="AB441" s="43" t="inlineStr">
        <is>
          <t>Do Not Pursue</t>
        </is>
      </c>
    </row>
    <row r="442">
      <c r="A442" s="43" t="inlineStr">
        <is>
          <t>2026-09-30</t>
        </is>
      </c>
      <c r="B442" s="43" t="inlineStr">
        <is>
          <t>BMO</t>
        </is>
      </c>
      <c r="C442" s="43" t="inlineStr">
        <is>
          <t>Senior Manager, AI Enablement and Scalability</t>
        </is>
      </c>
      <c r="E442" s="43" t="inlineStr">
        <is>
          <t>Canada</t>
        </is>
      </c>
      <c r="F442" s="43" t="inlineStr">
        <is>
          <t>Toronto, Ontario</t>
        </is>
      </c>
      <c r="G442" s="43" t="n">
        <v>84.3</v>
      </c>
      <c r="K442" s="43" t="inlineStr">
        <is>
          <t>Applied</t>
        </is>
      </c>
      <c r="N442" s="43" t="inlineStr">
        <is>
          <t>Apply if bandwidth permits; minimal outreach</t>
        </is>
      </c>
      <c r="T442" s="43" t="n">
        <v>30</v>
      </c>
      <c r="U442" s="43" t="n">
        <v>75</v>
      </c>
      <c r="V442" s="43" t="n">
        <v>64</v>
      </c>
      <c r="W442" s="43" t="n">
        <v>60</v>
      </c>
      <c r="X442" s="43" t="n">
        <v>95</v>
      </c>
      <c r="Y442" s="43" t="n">
        <v>75</v>
      </c>
      <c r="Z442" s="43" t="n">
        <v>50</v>
      </c>
      <c r="AA442" s="43" t="n">
        <v>60.9</v>
      </c>
      <c r="AB442" s="43" t="inlineStr">
        <is>
          <t>Tier 3</t>
        </is>
      </c>
    </row>
    <row r="443">
      <c r="A443" s="43" t="inlineStr">
        <is>
          <t>2026-09-30</t>
        </is>
      </c>
      <c r="B443" s="43" t="inlineStr">
        <is>
          <t>FireStone Bank</t>
        </is>
      </c>
      <c r="C443" s="43" t="inlineStr">
        <is>
          <t>Senior Manager, AI Engineering Operations</t>
        </is>
      </c>
      <c r="E443" s="43" t="inlineStr">
        <is>
          <t>United States</t>
        </is>
      </c>
      <c r="F443" s="43" t="inlineStr">
        <is>
          <t>Toronto</t>
        </is>
      </c>
      <c r="G443" s="43" t="n">
        <v>78.3</v>
      </c>
      <c r="K443" s="43" t="inlineStr">
        <is>
          <t>Applied</t>
        </is>
      </c>
      <c r="N443" s="43" t="inlineStr">
        <is>
          <t>Archive — does not meet minimum fit threshold</t>
        </is>
      </c>
      <c r="T443" s="43" t="n">
        <v>30</v>
      </c>
      <c r="U443" s="43" t="n">
        <v>75</v>
      </c>
      <c r="V443" s="43" t="n">
        <v>80</v>
      </c>
      <c r="W443" s="43" t="n">
        <v>80</v>
      </c>
      <c r="X443" s="43" t="n">
        <v>45</v>
      </c>
      <c r="Y443" s="43" t="n">
        <v>75</v>
      </c>
      <c r="Z443" s="43" t="n">
        <v>50</v>
      </c>
      <c r="AA443" s="43" t="n">
        <v>58</v>
      </c>
      <c r="AB443" s="43" t="inlineStr">
        <is>
          <t>Do Not Pursue</t>
        </is>
      </c>
    </row>
    <row r="444">
      <c r="A444" s="43" t="inlineStr">
        <is>
          <t>2026-09-30</t>
        </is>
      </c>
      <c r="B444" s="43" t="inlineStr">
        <is>
          <t>Slalom</t>
        </is>
      </c>
      <c r="C444" s="43" t="inlineStr">
        <is>
          <t xml:space="preserve">Principal Portfolio Manager - Product, Program &amp; Project Delivery </t>
        </is>
      </c>
      <c r="E444" s="43" t="inlineStr">
        <is>
          <t>United States</t>
        </is>
      </c>
      <c r="F444" s="43" t="inlineStr">
        <is>
          <t xml:space="preserve">Nashville, TN </t>
        </is>
      </c>
      <c r="G444" s="43" t="n">
        <v>65.09999999999999</v>
      </c>
      <c r="K444" s="43" t="inlineStr">
        <is>
          <t>Applied</t>
        </is>
      </c>
      <c r="N444" s="43" t="inlineStr">
        <is>
          <t>Apply if bandwidth permits; minimal outreach</t>
        </is>
      </c>
      <c r="T444" s="43" t="n">
        <v>30</v>
      </c>
      <c r="U444" s="43" t="n">
        <v>75</v>
      </c>
      <c r="V444" s="43" t="n">
        <v>100</v>
      </c>
      <c r="W444" s="43" t="n">
        <v>90</v>
      </c>
      <c r="X444" s="43" t="n">
        <v>45</v>
      </c>
      <c r="Y444" s="43" t="n">
        <v>75</v>
      </c>
      <c r="Z444" s="43" t="n">
        <v>50</v>
      </c>
      <c r="AA444" s="43" t="n">
        <v>61.5</v>
      </c>
      <c r="AB444" s="43" t="inlineStr">
        <is>
          <t>Tier 3</t>
        </is>
      </c>
    </row>
    <row r="445">
      <c r="A445" s="43" t="inlineStr">
        <is>
          <t>2026-10-01</t>
        </is>
      </c>
      <c r="B445" s="43" t="inlineStr">
        <is>
          <t>Cohere</t>
        </is>
      </c>
      <c r="C445" s="43" t="inlineStr">
        <is>
          <t>Technical Program Manager, AI Delivery</t>
        </is>
      </c>
      <c r="E445" s="43" t="inlineStr"/>
      <c r="F445" s="43" t="inlineStr">
        <is>
          <t>United States; Canada</t>
        </is>
      </c>
      <c r="G445" s="43" t="n">
        <v>65.5</v>
      </c>
      <c r="K445" s="43" t="inlineStr">
        <is>
          <t>Applied</t>
        </is>
      </c>
      <c r="N445" s="43" t="inlineStr">
        <is>
          <t>Apply + review ATS gaps + targeted outreach</t>
        </is>
      </c>
      <c r="T445" s="43" t="n">
        <v>90</v>
      </c>
      <c r="U445" s="43" t="n">
        <v>88</v>
      </c>
      <c r="V445" s="43" t="n">
        <v>56</v>
      </c>
      <c r="W445" s="43" t="n">
        <v>40</v>
      </c>
      <c r="X445" s="43" t="n">
        <v>95</v>
      </c>
      <c r="Y445" s="43" t="n">
        <v>75</v>
      </c>
      <c r="Z445" s="43" t="n">
        <v>50</v>
      </c>
      <c r="AA445" s="43" t="n">
        <v>74</v>
      </c>
      <c r="AB445" s="43" t="inlineStr">
        <is>
          <t>Tier 2</t>
        </is>
      </c>
    </row>
    <row r="446">
      <c r="A446" t="inlineStr">
        <is>
          <t>2026-10-02</t>
        </is>
      </c>
      <c r="B446" t="inlineStr">
        <is>
          <t>Okta</t>
        </is>
      </c>
      <c r="C446" t="inlineStr">
        <is>
          <t>Senior Engineering Technical Program Manager - Jira Administration</t>
        </is>
      </c>
      <c r="E446" t="inlineStr"/>
      <c r="F446" t="inlineStr">
        <is>
          <t>Toronto, Ontario, Canada</t>
        </is>
      </c>
      <c r="G446" t="n">
        <v>59.9</v>
      </c>
      <c r="K446" t="inlineStr">
        <is>
          <t>Applied</t>
        </is>
      </c>
      <c r="N446" t="inlineStr">
        <is>
          <t>Apply + research hiring chain + draft outreach</t>
        </is>
      </c>
      <c r="T446" t="n">
        <v>90</v>
      </c>
      <c r="U446" t="n">
        <v>88</v>
      </c>
      <c r="V446" t="n">
        <v>100</v>
      </c>
      <c r="W446" t="n">
        <v>80</v>
      </c>
      <c r="X446" t="n">
        <v>95</v>
      </c>
      <c r="Y446" t="n">
        <v>75</v>
      </c>
      <c r="Z446" t="n">
        <v>50</v>
      </c>
      <c r="AA446" t="n">
        <v>84.5</v>
      </c>
      <c r="AB446" t="inlineStr">
        <is>
          <t>Tier 1</t>
        </is>
      </c>
    </row>
  </sheetData>
  <autoFilter ref="A1:AF436"/>
  <mergeCells count="1">
    <mergeCell ref="A296:P296"/>
  </mergeCells>
  <conditionalFormatting sqref="T2:T436">
    <cfRule type="colorScale" priority="1">
      <colorScale>
        <cfvo type="num" val="40"/>
        <cfvo type="num" val="70"/>
        <cfvo type="num" val="90"/>
        <color rgb="00F4CCCC"/>
        <color rgb="00FFF2CC"/>
        <color rgb="00E2F0D9"/>
      </colorScale>
    </cfRule>
  </conditionalFormatting>
  <conditionalFormatting sqref="U2:U436">
    <cfRule type="colorScale" priority="2">
      <colorScale>
        <cfvo type="num" val="40"/>
        <cfvo type="num" val="70"/>
        <cfvo type="num" val="90"/>
        <color rgb="00F4CCCC"/>
        <color rgb="00FFF2CC"/>
        <color rgb="00E2F0D9"/>
      </colorScale>
    </cfRule>
  </conditionalFormatting>
  <conditionalFormatting sqref="V2:V436">
    <cfRule type="colorScale" priority="3">
      <colorScale>
        <cfvo type="num" val="40"/>
        <cfvo type="num" val="70"/>
        <cfvo type="num" val="90"/>
        <color rgb="00F4CCCC"/>
        <color rgb="00FFF2CC"/>
        <color rgb="00E2F0D9"/>
      </colorScale>
    </cfRule>
  </conditionalFormatting>
  <conditionalFormatting sqref="W2:W436">
    <cfRule type="colorScale" priority="4">
      <colorScale>
        <cfvo type="num" val="40"/>
        <cfvo type="num" val="70"/>
        <cfvo type="num" val="90"/>
        <color rgb="00F4CCCC"/>
        <color rgb="00FFF2CC"/>
        <color rgb="00E2F0D9"/>
      </colorScale>
    </cfRule>
  </conditionalFormatting>
  <conditionalFormatting sqref="X2:X436">
    <cfRule type="colorScale" priority="5">
      <colorScale>
        <cfvo type="num" val="40"/>
        <cfvo type="num" val="70"/>
        <cfvo type="num" val="90"/>
        <color rgb="00F4CCCC"/>
        <color rgb="00FFF2CC"/>
        <color rgb="00E2F0D9"/>
      </colorScale>
    </cfRule>
  </conditionalFormatting>
  <conditionalFormatting sqref="Y2:Y436">
    <cfRule type="colorScale" priority="6">
      <colorScale>
        <cfvo type="num" val="40"/>
        <cfvo type="num" val="70"/>
        <cfvo type="num" val="90"/>
        <color rgb="00F4CCCC"/>
        <color rgb="00FFF2CC"/>
        <color rgb="00E2F0D9"/>
      </colorScale>
    </cfRule>
  </conditionalFormatting>
  <conditionalFormatting sqref="Z2:Z436">
    <cfRule type="colorScale" priority="7">
      <colorScale>
        <cfvo type="num" val="40"/>
        <cfvo type="num" val="70"/>
        <cfvo type="num" val="90"/>
        <color rgb="00F4CCCC"/>
        <color rgb="00FFF2CC"/>
        <color rgb="00E2F0D9"/>
      </colorScale>
    </cfRule>
  </conditionalFormatting>
  <conditionalFormatting sqref="AA2:AA436">
    <cfRule type="colorScale" priority="8">
      <colorScale>
        <cfvo type="num" val="40"/>
        <cfvo type="num" val="70"/>
        <cfvo type="num" val="90"/>
        <color rgb="00F4CCCC"/>
        <color rgb="00FFF2CC"/>
        <color rgb="00E2F0D9"/>
      </colorScale>
    </cfRule>
  </conditionalFormatting>
  <conditionalFormatting sqref="AF2:AF436">
    <cfRule type="cellIs" priority="9" operator="equal" dxfId="9">
      <formula>"High-fit but cold"</formula>
    </cfRule>
  </conditionalFormatting>
  <dataValidations count="6">
    <dataValidation sqref="E2:E297" showDropDown="0" showInputMessage="0" showErrorMessage="0" allowBlank="1" type="list" errorStyle="stop" operator="between">
      <formula1>"Canada,US,UK,Other"</formula1>
      <formula2>0</formula2>
    </dataValidation>
    <dataValidation sqref="H2:H297" showDropDown="0" showInputMessage="0" showErrorMessage="0" allowBlank="1" type="list" errorStyle="stop" operator="between">
      <formula1>"Cold Portal,Referral,Recruiter,Hiring Mgr Outreach,LinkedIn Easy Apply,Internal"</formula1>
      <formula2>0</formula2>
    </dataValidation>
    <dataValidation sqref="J2:J297" showDropDown="0" showInputMessage="0" showErrorMessage="0" allowBlank="1" type="list" errorStyle="stop" operator="between">
      <formula1>"Yes,No,N/A"</formula1>
      <formula2>0</formula2>
    </dataValidation>
    <dataValidation sqref="K2:K297" showDropDown="0" showInputMessage="0" showErrorMessage="0" allowBlank="1" type="list" errorStyle="stop" operator="between">
      <formula1>"Applied,Auto-Reject,Screen Scheduled,Screening,Interviewing,Offer,Rejected,Withdrawn,Ghosted (30d+)"</formula1>
      <formula2>0</formula2>
    </dataValidation>
    <dataValidation sqref="D2:D297" showDropDown="0" showInputMessage="0" showErrorMessage="0" allowBlank="1" type="list" errorStyle="stop" operator="between">
      <formula1>"Manager,Sr Manager,Director,Assoc Director,Sr TPM,Principal,Other"</formula1>
      <formula2>0</formula2>
    </dataValidation>
    <dataValidation sqref="T2:Z436" showDropDown="0" showInputMessage="0" showErrorMessage="0" allowBlank="1" type="decimal" operator="between">
      <formula1>0</formula1>
      <formula2>100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F3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55" customWidth="1" style="43" min="1" max="1"/>
    <col width="12" customWidth="1" style="43" min="2" max="2"/>
    <col width="14" customWidth="1" style="43" min="3" max="3"/>
    <col width="40" customWidth="1" style="43" min="4" max="4"/>
    <col width="10" customWidth="1" style="43" min="5" max="6"/>
  </cols>
  <sheetData>
    <row r="1" ht="17.25" customHeight="1" s="44">
      <c r="A1" s="60" t="inlineStr">
        <is>
          <t>REJECTION ROOT-CAUSE ANALYSIS — Job Search Insights</t>
        </is>
      </c>
    </row>
    <row r="3" ht="15" customHeight="1" s="44">
      <c r="A3" s="61" t="inlineStr">
        <is>
          <t>1. Overall Statistics (all 437 applications)</t>
        </is>
      </c>
    </row>
    <row r="4" ht="15" customHeight="1" s="44">
      <c r="A4" s="62" t="inlineStr">
        <is>
          <t>Total applications</t>
        </is>
      </c>
      <c r="B4" s="62" t="inlineStr">
        <is>
          <t>437</t>
        </is>
      </c>
    </row>
    <row r="5" ht="15" customHeight="1" s="44">
      <c r="A5" s="62" t="inlineStr">
        <is>
          <t>Avg fit score — all applications</t>
        </is>
      </c>
      <c r="B5" s="62" t="inlineStr">
        <is>
          <t>66.0%</t>
        </is>
      </c>
    </row>
    <row r="6" ht="15" customHeight="1" s="44">
      <c r="A6" s="62" t="inlineStr">
        <is>
          <t>Avg fit score — rejected applications</t>
        </is>
      </c>
      <c r="B6" s="62" t="inlineStr">
        <is>
          <t>64.6%</t>
        </is>
      </c>
    </row>
    <row r="7" ht="15" customHeight="1" s="44">
      <c r="A7" s="62" t="inlineStr">
        <is>
          <t>Avg fit score — non-rejected applications</t>
        </is>
      </c>
      <c r="B7" s="62" t="inlineStr">
        <is>
          <t>66.9%</t>
        </is>
      </c>
    </row>
    <row r="8" ht="15" customHeight="1" s="44">
      <c r="A8" s="62" t="inlineStr">
        <is>
          <t>Rejection rate — sponsorship required (US roles)</t>
        </is>
      </c>
      <c r="B8" s="62" t="inlineStr">
        <is>
          <t>37.3%</t>
        </is>
      </c>
    </row>
    <row r="9" ht="15" customHeight="1" s="44">
      <c r="A9" s="62" t="inlineStr">
        <is>
          <t>Rejection rate — no sponsorship (Canada roles)</t>
        </is>
      </c>
      <c r="B9" s="62" t="inlineStr">
        <is>
          <t>46.7%</t>
        </is>
      </c>
    </row>
    <row r="10" ht="15" customHeight="1" s="44">
      <c r="A10" s="62" t="inlineStr">
        <is>
          <t>Days to rejection — median</t>
        </is>
      </c>
      <c r="B10" s="62" t="inlineStr">
        <is>
          <t>18 days</t>
        </is>
      </c>
    </row>
    <row r="11" ht="15" customHeight="1" s="44">
      <c r="A11" s="62" t="inlineStr">
        <is>
          <t>Days to rejection — range</t>
        </is>
      </c>
      <c r="B11" s="62" t="inlineStr">
        <is>
          <t>0 to 178 days</t>
        </is>
      </c>
    </row>
    <row r="13" ht="15" customHeight="1" s="44">
      <c r="A13" s="61" t="inlineStr">
        <is>
          <t>2. Gap Category Breakdown (35 roles with detailed JD analysis)</t>
        </is>
      </c>
    </row>
    <row r="14" ht="15" customHeight="1" s="44">
      <c r="A14" s="63" t="inlineStr">
        <is>
          <t>Gap Category (grouped)</t>
        </is>
      </c>
      <c r="B14" s="63" t="inlineStr">
        <is>
          <t>Count</t>
        </is>
      </c>
      <c r="C14" s="63" t="inlineStr">
        <is>
          <t>Avg Fit Score</t>
        </is>
      </c>
      <c r="D14" s="63" t="inlineStr">
        <is>
          <t>Companies</t>
        </is>
      </c>
    </row>
    <row r="15" ht="30" customHeight="1" s="44">
      <c r="A15" s="62" t="inlineStr">
        <is>
          <t>Discipline mismatch (Product Manager/Product Ops vs. Technical Program Manager)</t>
        </is>
      </c>
      <c r="B15" s="62" t="n">
        <v>4</v>
      </c>
      <c r="C15" s="62" t="inlineStr">
        <is>
          <t>43%</t>
        </is>
      </c>
      <c r="D15" s="64" t="inlineStr">
        <is>
          <t>Anthropic (x4)</t>
        </is>
      </c>
    </row>
    <row r="16" ht="30" customHeight="1" s="44">
      <c r="A16" s="62" t="inlineStr">
        <is>
          <t>Industry/domain mismatch (banking, contact-center telephony, Finance systems, legal, logistics)</t>
        </is>
      </c>
      <c r="B16" s="62" t="n">
        <v>7</v>
      </c>
      <c r="C16" s="62" t="inlineStr">
        <is>
          <t>62%</t>
        </is>
      </c>
      <c r="D16" s="64" t="inlineStr">
        <is>
          <t>DeepMind, Five9 (x2), Capco (x2), Clutch, Lyft</t>
        </is>
      </c>
    </row>
    <row r="17" ht="30" customHeight="1" s="44">
      <c r="A17" s="62" t="inlineStr">
        <is>
          <t>Technical depth gap (hands-on ML/AI modeling, cloud/distributed systems engineering)</t>
        </is>
      </c>
      <c r="B17" s="62" t="n">
        <v>6</v>
      </c>
      <c r="C17" s="62" t="inlineStr">
        <is>
          <t>65%</t>
        </is>
      </c>
      <c r="D17" s="64" t="inlineStr">
        <is>
          <t>Databricks, DeepMind, Compass (x2), Robinhood, Stripe</t>
        </is>
      </c>
    </row>
    <row r="18" ht="30" customHeight="1" s="44">
      <c r="A18" s="62" t="inlineStr">
        <is>
          <t>Role-type mismatch (people-manager vs. IC, Sales Enablement vs. TPM, biz-ops vs. technical)</t>
        </is>
      </c>
      <c r="B18" s="62" t="n">
        <v>3</v>
      </c>
      <c r="C18" s="62" t="inlineStr">
        <is>
          <t>62%</t>
        </is>
      </c>
      <c r="D18" s="64" t="inlineStr">
        <is>
          <t>Figma, Stripe, Databricks</t>
        </is>
      </c>
    </row>
    <row r="19" ht="30" customHeight="1" s="44">
      <c r="A19" s="62" t="inlineStr">
        <is>
          <t>Seniority mismatch (overqualified for junior/mid-level scope)</t>
        </is>
      </c>
      <c r="B19" s="62" t="n">
        <v>1</v>
      </c>
      <c r="C19" s="62" t="inlineStr">
        <is>
          <t>47%</t>
        </is>
      </c>
      <c r="D19" s="64" t="inlineStr">
        <is>
          <t>DeepMind</t>
        </is>
      </c>
    </row>
    <row r="20" ht="30" customHeight="1" s="44">
      <c r="A20" s="62" t="inlineStr">
        <is>
          <t>Language requirement gap (French bilingual required)</t>
        </is>
      </c>
      <c r="B20" s="62" t="n">
        <v>2</v>
      </c>
      <c r="C20" s="62" t="inlineStr">
        <is>
          <t>66%</t>
        </is>
      </c>
      <c r="D20" s="64" t="inlineStr">
        <is>
          <t>Bombardier, Five9</t>
        </is>
      </c>
    </row>
    <row r="21" ht="30" customHeight="1" s="44">
      <c r="A21" s="62" t="inlineStr">
        <is>
          <t>Citizenship / legal-status hard gate</t>
        </is>
      </c>
      <c r="B21" s="62" t="n">
        <v>1</v>
      </c>
      <c r="C21" s="62" t="inlineStr">
        <is>
          <t>44%</t>
        </is>
      </c>
      <c r="D21" s="64" t="inlineStr">
        <is>
          <t>Anthropic (Public Sector)</t>
        </is>
      </c>
    </row>
    <row r="22" ht="30" customHeight="1" s="44">
      <c r="A22" s="62" t="inlineStr">
        <is>
          <t>Skill-weighting mismatch (SQL/data-science emphasis over program delivery)</t>
        </is>
      </c>
      <c r="B22" s="62" t="n">
        <v>1</v>
      </c>
      <c r="C22" s="62" t="inlineStr">
        <is>
          <t>60%</t>
        </is>
      </c>
      <c r="D22" s="64" t="inlineStr">
        <is>
          <t>Stripe</t>
        </is>
      </c>
    </row>
    <row r="23" ht="30" customHeight="1" s="44">
      <c r="A23" s="62" t="inlineStr">
        <is>
          <t>Strong/good fit — rejected despite no identified skills gap</t>
        </is>
      </c>
      <c r="B23" s="62" t="n">
        <v>10</v>
      </c>
      <c r="C23" s="62" t="inlineStr">
        <is>
          <t>73%</t>
        </is>
      </c>
      <c r="D23" s="64" t="inlineStr">
        <is>
          <t>PlayStation, Lyft, DeepMind, Capco (x2), Databricks, Dropbox, Stripe, Figma, Anthropic</t>
        </is>
      </c>
    </row>
    <row r="25" ht="15" customHeight="1" s="44">
      <c r="A25" s="61" t="inlineStr">
        <is>
          <t>3. Key Findings</t>
        </is>
      </c>
    </row>
    <row r="26" ht="60" customHeight="1" s="44">
      <c r="A26" s="64" t="inlineStr">
        <is>
          <t>FINDING 1 — Fit score alone doesn't explain rejections. Rejected apps average 64.6% fit vs. 66.9% for everything else — only a 2-point gap. Being well-matched on paper is not protecting you from rejection.</t>
        </is>
      </c>
      <c r="B26" s="58" t="n"/>
      <c r="C26" s="58" t="n"/>
      <c r="D26" s="58" t="n"/>
      <c r="E26" s="58" t="n"/>
      <c r="F26" s="59" t="n"/>
    </row>
    <row r="27" ht="60" customHeight="1" s="44">
      <c r="A27" s="64" t="inlineStr">
        <is>
          <t>FINDING 2 — The 'Strong/good fit' bucket is your biggest single category (10 of 35 roles, avg 73% fit) and includes your three highest scores overall: PlayStation (79%), Capco Principal Consultant (79%), Dropbox (75%). These were rejected with no identifiable qualifications gap — the cause is likely outside the JD match itself (resume formatting/ATS parsing, cover letter, competition, timing, or interview-adjacent factors we can't see from job postings alone).</t>
        </is>
      </c>
      <c r="B27" s="58" t="n"/>
      <c r="C27" s="58" t="n"/>
      <c r="D27" s="58" t="n"/>
      <c r="E27" s="58" t="n"/>
      <c r="F27" s="59" t="n"/>
    </row>
    <row r="28" ht="60" customHeight="1" s="44">
      <c r="A28" s="64" t="inlineStr">
        <is>
          <t>FINDING 3 — At Anthropic specifically, fit score tracks almost perfectly with job discipline: the one true TPM role scored 72%, while all 4 Product Manager / Product Operations roles scored 38-48%. This suggests some applications are going out for adjacent-but-different job families (PM, Product Ops) rather than your core TPM/portfolio discipline — worth deciding intentionally whether to keep doing this or focus applications more narrowly.</t>
        </is>
      </c>
      <c r="B28" s="58" t="n"/>
      <c r="C28" s="58" t="n"/>
      <c r="D28" s="58" t="n"/>
      <c r="E28" s="58" t="n"/>
      <c r="F28" s="59" t="n"/>
    </row>
    <row r="29" ht="60" customHeight="1" s="44">
      <c r="A29" s="64" t="inlineStr">
        <is>
          <t>FINDING 4 — Industry/domain-specific requirements (banking &amp; payments, contact-center telephony, Finance systems, legal/compliance) are a recurring and distinct gap from technical-skills gaps. These roles want deep vertical expertise your generalist enterprise background doesn't cover, regardless of program-management strength.</t>
        </is>
      </c>
      <c r="B29" s="58" t="n"/>
      <c r="C29" s="58" t="n"/>
      <c r="D29" s="58" t="n"/>
      <c r="E29" s="58" t="n"/>
      <c r="F29" s="59" t="n"/>
    </row>
    <row r="30" ht="60" customHeight="1" s="44">
      <c r="A30" s="64" t="inlineStr">
        <is>
          <t>FINDING 5 — Language (French) shows up as an explicit, named requirement in at least 2 roles (Bombardier, Five9 Canada) — a hard-to-fix gap distinct from experience or skills.</t>
        </is>
      </c>
      <c r="B30" s="58" t="n"/>
      <c r="C30" s="58" t="n"/>
      <c r="D30" s="58" t="n"/>
      <c r="E30" s="58" t="n"/>
      <c r="F30" s="59" t="n"/>
    </row>
    <row r="31" ht="60" customHeight="1" s="44">
      <c r="A31" s="64" t="inlineStr">
        <is>
          <t>FINDING 6 — Sponsorship does not appear to be hurting you — US roles requiring sponsorship show a LOWER rejection rate (37.3%) than Canada roles (46.7%). This is only based on the subset of applications with sponsorship data filled in so far, so treat as a preliminary signal, not a conclusion.</t>
        </is>
      </c>
      <c r="B31" s="58" t="n"/>
      <c r="C31" s="58" t="n"/>
      <c r="D31" s="58" t="n"/>
      <c r="E31" s="58" t="n"/>
      <c r="F31" s="59" t="n"/>
    </row>
    <row r="33" ht="15" customHeight="1" s="44">
      <c r="A33" s="61" t="inlineStr">
        <is>
          <t>4. Recommendations for Resume / Application Strategy</t>
        </is>
      </c>
    </row>
    <row r="34" ht="45" customHeight="1" s="44">
      <c r="A34" s="64" t="inlineStr">
        <is>
          <t>For 'strong fit, still rejected' roles: since the JD match isn't the problem, prioritize reviewing resume ATS-compatibility (formatting, keyword parsing) and cover letter quality for this bucket specifically, rather than reworking your qualifications narrative.</t>
        </is>
      </c>
      <c r="B34" s="58" t="n"/>
      <c r="C34" s="58" t="n"/>
      <c r="D34" s="58" t="n"/>
      <c r="E34" s="58" t="n"/>
      <c r="F34" s="59" t="n"/>
    </row>
    <row r="35" ht="45" customHeight="1" s="44">
      <c r="A35" s="64" t="inlineStr">
        <is>
          <t>For discipline-mismatch roles (PM/Product Ops vs TPM): decide deliberately whether to keep applying across job families at target companies, or concentrate effort on TPM/Program-Manager-titled roles where your resume's framing already matches the title being screened for.</t>
        </is>
      </c>
      <c r="B35" s="58" t="n"/>
      <c r="C35" s="58" t="n"/>
      <c r="D35" s="58" t="n"/>
      <c r="E35" s="58" t="n"/>
      <c r="F35" s="59" t="n"/>
    </row>
    <row r="36" ht="45" customHeight="1" s="44">
      <c r="A36" s="64" t="inlineStr">
        <is>
          <t>For industry-domain gaps (banking, contact-center, Finance systems, legal): either add a resume section/bullet points that bridge your enterprise experience to the specific domain language these postings use, or deprioritize applying to roles explicitly demanding deep vertical expertise you don't have.</t>
        </is>
      </c>
      <c r="B36" s="58" t="n"/>
      <c r="C36" s="58" t="n"/>
      <c r="D36" s="58" t="n"/>
      <c r="E36" s="58" t="n"/>
      <c r="F36" s="59" t="n"/>
    </row>
    <row r="37" ht="45" customHeight="1" s="44">
      <c r="A37" s="64" t="inlineStr">
        <is>
          <t>For technical-depth gaps (hands-on ML/AI, cloud engineering): if continuing to target these, consider adding specific tooling/certification evidence (cloud platform certs, hands-on AI project examples) to close the perception gap, since your program-leadership skills already clear the bar.</t>
        </is>
      </c>
      <c r="B37" s="58" t="n"/>
      <c r="C37" s="58" t="n"/>
      <c r="D37" s="58" t="n"/>
      <c r="E37" s="58" t="n"/>
      <c r="F37" s="59" t="n"/>
    </row>
    <row r="38" ht="45" customHeight="1" s="44">
      <c r="A38" s="64" t="inlineStr">
        <is>
          <t>Continue tagging Gap Category and Key Requirements for every role with a full JD as we go — the sample size (currently 35 of 437) is still small, and these patterns will sharpen considerably as more roles get the same treatment.</t>
        </is>
      </c>
      <c r="B38" s="58" t="n"/>
      <c r="C38" s="58" t="n"/>
      <c r="D38" s="58" t="n"/>
      <c r="E38" s="58" t="n"/>
      <c r="F38" s="59" t="n"/>
    </row>
  </sheetData>
  <mergeCells count="16">
    <mergeCell ref="A38:F38"/>
    <mergeCell ref="A33:F33"/>
    <mergeCell ref="A28:F28"/>
    <mergeCell ref="A13:F13"/>
    <mergeCell ref="A36:F36"/>
    <mergeCell ref="A3:F3"/>
    <mergeCell ref="A1:F1"/>
    <mergeCell ref="A37:F37"/>
    <mergeCell ref="A27:F27"/>
    <mergeCell ref="A31:F31"/>
    <mergeCell ref="A34:F34"/>
    <mergeCell ref="A35:F35"/>
    <mergeCell ref="A26:F26"/>
    <mergeCell ref="A30:F30"/>
    <mergeCell ref="A29:F29"/>
    <mergeCell ref="A25:F25"/>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outlinePr summaryBelow="1" summaryRight="1"/>
    <pageSetUpPr/>
  </sheetPr>
  <dimension ref="A1:I30"/>
  <sheetViews>
    <sheetView workbookViewId="0">
      <pane ySplit="2" topLeftCell="A3" activePane="bottomLeft" state="frozen"/>
      <selection pane="bottomLeft" activeCell="A1" sqref="A1"/>
    </sheetView>
  </sheetViews>
  <sheetFormatPr baseColWidth="8" defaultRowHeight="15"/>
  <cols>
    <col width="30" customWidth="1" style="44" min="1" max="1"/>
    <col width="18" customWidth="1" style="44" min="2" max="2"/>
    <col width="18" customWidth="1" style="44" min="3" max="3"/>
    <col width="24" customWidth="1" style="44" min="4" max="4"/>
    <col width="15" customWidth="1" style="44" min="5" max="5"/>
    <col width="22" customWidth="1" style="44" min="6" max="6"/>
    <col width="16" customWidth="1" style="44" min="7" max="7"/>
    <col width="18" customWidth="1" style="44" min="8" max="8"/>
    <col width="16" customWidth="1" style="44" min="9" max="9"/>
  </cols>
  <sheetData>
    <row r="1">
      <c r="A1" s="65" t="inlineStr">
        <is>
          <t>JOB SEARCH CONVERSION &amp; QUALITY DASHBOARD</t>
        </is>
      </c>
      <c r="I1" s="52" t="n"/>
    </row>
    <row r="2">
      <c r="A2" s="52" t="inlineStr">
        <is>
          <t>Use this sheet to measure whether targeting and human access improve conversion—not just application volume.</t>
        </is>
      </c>
      <c r="I2" s="52" t="n"/>
    </row>
    <row r="3">
      <c r="A3" s="66" t="inlineStr">
        <is>
          <t>CORE KPIs</t>
        </is>
      </c>
      <c r="C3" s="52" t="n"/>
      <c r="D3" s="66" t="inlineStr">
        <is>
          <t>PIPELINE</t>
        </is>
      </c>
      <c r="G3" s="52" t="n"/>
      <c r="H3" s="52" t="n"/>
      <c r="I3" s="52" t="n"/>
    </row>
    <row r="4">
      <c r="A4" s="67" t="inlineStr">
        <is>
          <t>Total Applications</t>
        </is>
      </c>
      <c r="B4" s="52">
        <f>COUNTIF(Applications!B:B,"&lt;&gt;")-1</f>
        <v/>
      </c>
      <c r="C4" s="52" t="n"/>
      <c r="D4" s="68" t="inlineStr">
        <is>
          <t>Stage</t>
        </is>
      </c>
      <c r="E4" s="68" t="inlineStr">
        <is>
          <t>Count</t>
        </is>
      </c>
      <c r="F4" s="68" t="inlineStr">
        <is>
          <t>% of applications</t>
        </is>
      </c>
      <c r="G4" s="52" t="n"/>
      <c r="H4" s="52" t="n"/>
      <c r="I4" s="52" t="n"/>
    </row>
    <row r="5">
      <c r="A5" s="67" t="inlineStr">
        <is>
          <t>Screening / Interviewing</t>
        </is>
      </c>
      <c r="B5" s="52">
        <f>COUNTIF(Applications!K:K,"Screening")+COUNTIF(Applications!K:K,"Interviewing")</f>
        <v/>
      </c>
      <c r="C5" s="52" t="n"/>
      <c r="D5" s="52" t="inlineStr">
        <is>
          <t>Applied / Pending</t>
        </is>
      </c>
      <c r="E5" s="52">
        <f>COUNTIF(Applications!K:K,"Applied")</f>
        <v/>
      </c>
      <c r="F5" s="69">
        <f>IF($B$4=0,0,E5/$B$4)</f>
        <v/>
      </c>
      <c r="G5" s="52" t="n"/>
      <c r="H5" s="52" t="n"/>
      <c r="I5" s="52" t="n"/>
    </row>
    <row r="6">
      <c r="A6" s="67" t="inlineStr">
        <is>
          <t>Positive Conversion</t>
        </is>
      </c>
      <c r="B6" s="69">
        <f>IF(B4=0,0,B5/B4)</f>
        <v/>
      </c>
      <c r="C6" s="52" t="n"/>
      <c r="D6" s="52" t="inlineStr">
        <is>
          <t>Screening</t>
        </is>
      </c>
      <c r="E6" s="52">
        <f>COUNTIF(Applications!K:K,"Screening")</f>
        <v/>
      </c>
      <c r="F6" s="69">
        <f>IF($B$4=0,0,E6/$B$4)</f>
        <v/>
      </c>
      <c r="G6" s="52" t="n"/>
      <c r="H6" s="52" t="n"/>
      <c r="I6" s="52" t="n"/>
    </row>
    <row r="7">
      <c r="A7" s="67" t="inlineStr">
        <is>
          <t>Applications with Human Access</t>
        </is>
      </c>
      <c r="B7" s="52">
        <f>COUNTIF(Applications!AC:AC,"Named Contact")+COUNTIF(Applications!AC:AC,"Outreach Logged")</f>
        <v/>
      </c>
      <c r="C7" s="52" t="n"/>
      <c r="D7" s="52" t="inlineStr">
        <is>
          <t>Interviewing</t>
        </is>
      </c>
      <c r="E7" s="52">
        <f>COUNTIF(Applications!K:K,"Interviewing")</f>
        <v/>
      </c>
      <c r="F7" s="69">
        <f>IF($B$4=0,0,E7/$B$4)</f>
        <v/>
      </c>
      <c r="G7" s="52" t="n"/>
      <c r="H7" s="52" t="n"/>
      <c r="I7" s="52" t="n"/>
    </row>
    <row r="8">
      <c r="A8" s="67" t="inlineStr">
        <is>
          <t>Human Access Rate</t>
        </is>
      </c>
      <c r="B8" s="69">
        <f>IF(B4=0,0,B7/B4)</f>
        <v/>
      </c>
      <c r="C8" s="52" t="n"/>
      <c r="D8" s="52" t="inlineStr">
        <is>
          <t>Rejected</t>
        </is>
      </c>
      <c r="E8" s="52">
        <f>COUNTIF(Applications!K:K,"Rejected")</f>
        <v/>
      </c>
      <c r="F8" s="69">
        <f>IF($B$4=0,0,E8/$B$4)</f>
        <v/>
      </c>
      <c r="G8" s="52" t="n"/>
      <c r="H8" s="52" t="n"/>
      <c r="I8" s="52" t="n"/>
    </row>
    <row r="9">
      <c r="A9" s="67" t="inlineStr">
        <is>
          <t>High-fit but Cold</t>
        </is>
      </c>
      <c r="B9" s="52">
        <f>COUNTIF(Applications!AF:AF,"High-fit but cold")</f>
        <v/>
      </c>
      <c r="C9" s="52" t="n"/>
      <c r="D9" s="52" t="inlineStr">
        <is>
          <t>Ghosted 30+ days</t>
        </is>
      </c>
      <c r="E9" s="52">
        <f>COUNTIF(Applications!K:K,"Ghosted 30+ days")</f>
        <v/>
      </c>
      <c r="F9" s="69">
        <f>IF($B$4=0,0,E9/$B$4)</f>
        <v/>
      </c>
      <c r="G9" s="52" t="n"/>
      <c r="H9" s="52" t="n"/>
      <c r="I9" s="52" t="n"/>
    </row>
    <row r="10">
      <c r="A10" s="67" t="inlineStr">
        <is>
          <t>Tier 1 Applications</t>
        </is>
      </c>
      <c r="B10" s="52">
        <f>COUNTIF(Applications!AB:AB,"Tier 1 - Pursue")</f>
        <v/>
      </c>
      <c r="C10" s="52" t="n"/>
      <c r="D10" s="52" t="inlineStr">
        <is>
          <t>Closed</t>
        </is>
      </c>
      <c r="E10" s="52">
        <f>COUNTIF(Applications!K:K,"Closed")</f>
        <v/>
      </c>
      <c r="F10" s="69">
        <f>IF($B$4=0,0,E10/$B$4)</f>
        <v/>
      </c>
      <c r="G10" s="52" t="n"/>
      <c r="H10" s="52" t="n"/>
      <c r="I10" s="52" t="n"/>
    </row>
    <row r="11">
      <c r="A11" s="67" t="inlineStr">
        <is>
          <t>Tier 2 Applications</t>
        </is>
      </c>
      <c r="B11" s="52">
        <f>COUNTIF(Applications!AB:AB,"Tier 2 - Pursue")</f>
        <v/>
      </c>
      <c r="C11" s="52" t="n"/>
      <c r="D11" s="52" t="n"/>
      <c r="E11" s="52" t="n"/>
      <c r="F11" s="52" t="n"/>
      <c r="G11" s="52" t="n"/>
      <c r="H11" s="52" t="n"/>
      <c r="I11" s="52" t="n"/>
    </row>
    <row r="12">
      <c r="A12" s="52" t="n"/>
      <c r="B12" s="52" t="n"/>
      <c r="C12" s="52" t="n"/>
      <c r="D12" s="52" t="n"/>
      <c r="E12" s="52" t="n"/>
      <c r="F12" s="52" t="n"/>
      <c r="G12" s="52" t="n"/>
      <c r="H12" s="52" t="n"/>
      <c r="I12" s="52" t="n"/>
    </row>
    <row r="13">
      <c r="A13" s="52" t="n"/>
      <c r="B13" s="52" t="n"/>
      <c r="C13" s="52" t="n"/>
      <c r="D13" s="52" t="n"/>
      <c r="E13" s="52" t="n"/>
      <c r="F13" s="52" t="n"/>
      <c r="G13" s="52" t="n"/>
      <c r="H13" s="52" t="n"/>
      <c r="I13" s="52" t="n"/>
    </row>
    <row r="14">
      <c r="A14" s="70" t="inlineStr">
        <is>
          <t>CONVERSION BY PURSUIT TIER</t>
        </is>
      </c>
      <c r="E14" s="52" t="n"/>
      <c r="F14" s="70" t="inlineStr">
        <is>
          <t>CONVERSION BY HUMAN ACCESS</t>
        </is>
      </c>
    </row>
    <row r="15">
      <c r="A15" s="66" t="inlineStr">
        <is>
          <t>Tier</t>
        </is>
      </c>
      <c r="B15" s="66" t="inlineStr">
        <is>
          <t>Applications</t>
        </is>
      </c>
      <c r="C15" s="66" t="inlineStr">
        <is>
          <t>Screen/Interview</t>
        </is>
      </c>
      <c r="D15" s="66" t="inlineStr">
        <is>
          <t>Conversion</t>
        </is>
      </c>
      <c r="E15" s="52" t="n"/>
      <c r="F15" s="68" t="inlineStr">
        <is>
          <t>Access</t>
        </is>
      </c>
      <c r="G15" s="68" t="inlineStr">
        <is>
          <t>Applications</t>
        </is>
      </c>
      <c r="H15" s="68" t="inlineStr">
        <is>
          <t>Screen/Interview</t>
        </is>
      </c>
      <c r="I15" s="68" t="inlineStr">
        <is>
          <t>Conversion</t>
        </is>
      </c>
    </row>
    <row r="16">
      <c r="A16" s="52" t="inlineStr">
        <is>
          <t>Tier 1 - Pursue</t>
        </is>
      </c>
      <c r="B16" s="52">
        <f>COUNTIF(Applications!AB:AB,A16)</f>
        <v/>
      </c>
      <c r="C16" s="52">
        <f>COUNTIFS(Applications!AB:AB,A16,Applications!K:K,"Screening")+COUNTIFS(Applications!AB:AB,A16,Applications!K:K,"Interviewing")</f>
        <v/>
      </c>
      <c r="D16" s="69">
        <f>IF(B16=0,0,C16/B16)</f>
        <v/>
      </c>
      <c r="E16" s="52" t="n"/>
      <c r="F16" s="52" t="inlineStr">
        <is>
          <t>Named Contact</t>
        </is>
      </c>
      <c r="G16" s="52">
        <f>COUNTIF(Applications!AC:AC,F16)</f>
        <v/>
      </c>
      <c r="H16" s="52">
        <f>COUNTIFS(Applications!AC:AC,F16,Applications!K:K,"Screening")+COUNTIFS(Applications!AC:AC,F16,Applications!K:K,"Interviewing")</f>
        <v/>
      </c>
      <c r="I16" s="69">
        <f>IF(G16=0,0,H16/G16)</f>
        <v/>
      </c>
    </row>
    <row r="17">
      <c r="A17" s="52" t="inlineStr">
        <is>
          <t>Tier 2 - Pursue</t>
        </is>
      </c>
      <c r="B17" s="52">
        <f>COUNTIF(Applications!AB:AB,A17)</f>
        <v/>
      </c>
      <c r="C17" s="52">
        <f>COUNTIFS(Applications!AB:AB,A17,Applications!K:K,"Screening")+COUNTIFS(Applications!AB:AB,A17,Applications!K:K,"Interviewing")</f>
        <v/>
      </c>
      <c r="D17" s="69">
        <f>IF(B17=0,0,C17/B17)</f>
        <v/>
      </c>
      <c r="E17" s="52" t="n"/>
      <c r="F17" s="52" t="inlineStr">
        <is>
          <t>Outreach Logged</t>
        </is>
      </c>
      <c r="G17" s="52">
        <f>COUNTIF(Applications!AC:AC,F17)</f>
        <v/>
      </c>
      <c r="H17" s="52">
        <f>COUNTIFS(Applications!AC:AC,F17,Applications!K:K,"Screening")+COUNTIFS(Applications!AC:AC,F17,Applications!K:K,"Interviewing")</f>
        <v/>
      </c>
      <c r="I17" s="69">
        <f>IF(G17=0,0,H17/G17)</f>
        <v/>
      </c>
    </row>
    <row r="18">
      <c r="A18" s="52" t="inlineStr">
        <is>
          <t>Tier 3 - Selective</t>
        </is>
      </c>
      <c r="B18" s="52">
        <f>COUNTIF(Applications!AB:AB,A18)</f>
        <v/>
      </c>
      <c r="C18" s="52">
        <f>COUNTIFS(Applications!AB:AB,A18,Applications!K:K,"Screening")+COUNTIFS(Applications!AB:AB,A18,Applications!K:K,"Interviewing")</f>
        <v/>
      </c>
      <c r="D18" s="69">
        <f>IF(B18=0,0,C18/B18)</f>
        <v/>
      </c>
      <c r="E18" s="52" t="n"/>
      <c r="F18" s="52" t="inlineStr">
        <is>
          <t>Cold</t>
        </is>
      </c>
      <c r="G18" s="52">
        <f>COUNTIF(Applications!AC:AC,F18)</f>
        <v/>
      </c>
      <c r="H18" s="52">
        <f>COUNTIFS(Applications!AC:AC,F18,Applications!K:K,"Screening")+COUNTIFS(Applications!AC:AC,F18,Applications!K:K,"Interviewing")</f>
        <v/>
      </c>
      <c r="I18" s="69">
        <f>IF(G18=0,0,H18/G18)</f>
        <v/>
      </c>
    </row>
    <row r="19">
      <c r="A19" s="52" t="inlineStr">
        <is>
          <t>Do Not Pursue</t>
        </is>
      </c>
      <c r="B19" s="52">
        <f>COUNTIF(Applications!AB:AB,A19)</f>
        <v/>
      </c>
      <c r="C19" s="52">
        <f>COUNTIFS(Applications!AB:AB,A19,Applications!K:K,"Screening")+COUNTIFS(Applications!AB:AB,A19,Applications!K:K,"Interviewing")</f>
        <v/>
      </c>
      <c r="D19" s="69">
        <f>IF(B19=0,0,C19/B19)</f>
        <v/>
      </c>
      <c r="E19" s="52" t="n"/>
      <c r="F19" s="52" t="n"/>
      <c r="G19" s="52" t="n"/>
      <c r="H19" s="52" t="n"/>
      <c r="I19" s="52" t="n"/>
    </row>
    <row r="20">
      <c r="A20" s="52" t="inlineStr">
        <is>
          <t>Selective / Barrier</t>
        </is>
      </c>
      <c r="B20" s="52">
        <f>COUNTIF(Applications!AB:AB,A20)</f>
        <v/>
      </c>
      <c r="C20" s="52">
        <f>COUNTIFS(Applications!AB:AB,A20,Applications!K:K,"Screening")+COUNTIFS(Applications!AB:AB,A20,Applications!K:K,"Interviewing")</f>
        <v/>
      </c>
      <c r="D20" s="69">
        <f>IF(B20=0,0,C20/B20)</f>
        <v/>
      </c>
      <c r="E20" s="52" t="n"/>
      <c r="F20" s="52" t="n"/>
      <c r="G20" s="52" t="n"/>
      <c r="H20" s="52" t="n"/>
      <c r="I20" s="52" t="n"/>
    </row>
    <row r="21">
      <c r="A21" s="52" t="n"/>
      <c r="B21" s="52" t="n"/>
      <c r="C21" s="52" t="n"/>
      <c r="D21" s="52" t="n"/>
      <c r="E21" s="52" t="n"/>
      <c r="F21" s="52" t="n"/>
      <c r="G21" s="52" t="n"/>
      <c r="H21" s="52" t="n"/>
      <c r="I21" s="52" t="n"/>
    </row>
    <row r="22">
      <c r="A22" s="52" t="n"/>
      <c r="B22" s="52" t="n"/>
      <c r="C22" s="52" t="n"/>
      <c r="D22" s="52" t="n"/>
      <c r="E22" s="52" t="n"/>
      <c r="F22" s="52" t="n"/>
      <c r="G22" s="52" t="n"/>
      <c r="H22" s="52" t="n"/>
      <c r="I22" s="52" t="n"/>
    </row>
    <row r="23">
      <c r="A23" s="52" t="n"/>
      <c r="B23" s="52" t="n"/>
      <c r="C23" s="52" t="n"/>
      <c r="D23" s="52" t="n"/>
      <c r="E23" s="52" t="n"/>
      <c r="F23" s="52" t="n"/>
      <c r="G23" s="52" t="n"/>
      <c r="H23" s="52" t="n"/>
      <c r="I23" s="52" t="n"/>
    </row>
    <row r="24">
      <c r="A24" s="70" t="inlineStr">
        <is>
          <t>OPERATING RULES</t>
        </is>
      </c>
    </row>
    <row r="25">
      <c r="A25" s="66" t="inlineStr">
        <is>
          <t>Metric</t>
        </is>
      </c>
      <c r="B25" s="66" t="inlineStr">
        <is>
          <t>Target / rule</t>
        </is>
      </c>
      <c r="C25" s="52" t="n"/>
      <c r="D25" s="52" t="n"/>
      <c r="E25" s="52" t="n"/>
      <c r="F25" s="52" t="n"/>
      <c r="G25" s="52" t="n"/>
      <c r="H25" s="52" t="n"/>
      <c r="I25" s="52" t="n"/>
    </row>
    <row r="26">
      <c r="A26" s="52" t="inlineStr">
        <is>
          <t>Weekly application volume</t>
        </is>
      </c>
      <c r="B26" s="52" t="inlineStr">
        <is>
          <t>8–12 high-quality applications; prioritize quality and human access over volume.</t>
        </is>
      </c>
      <c r="C26" s="52" t="n"/>
      <c r="D26" s="52" t="n"/>
      <c r="E26" s="52" t="n"/>
      <c r="F26" s="52" t="n"/>
      <c r="G26" s="52" t="n"/>
      <c r="H26" s="52" t="n"/>
      <c r="I26" s="52" t="n"/>
    </row>
    <row r="27">
      <c r="A27" s="52" t="inlineStr">
        <is>
          <t>Tier 1 human access</t>
        </is>
      </c>
      <c r="B27" s="52" t="inlineStr">
        <is>
          <t>Map 3 people; contact at least 1–2 within 48 hours.</t>
        </is>
      </c>
      <c r="C27" s="52" t="n"/>
      <c r="D27" s="52" t="n"/>
      <c r="E27" s="52" t="n"/>
      <c r="F27" s="52" t="n"/>
      <c r="G27" s="52" t="n"/>
      <c r="H27" s="52" t="n"/>
      <c r="I27" s="52" t="n"/>
    </row>
    <row r="28">
      <c r="A28" s="52" t="inlineStr">
        <is>
          <t>Tier 2 human access</t>
        </is>
      </c>
      <c r="B28" s="52" t="inlineStr">
        <is>
          <t>Identify recruiter/HM; make at least 1 targeted outreach.</t>
        </is>
      </c>
      <c r="C28" s="52" t="n"/>
      <c r="D28" s="52" t="n"/>
      <c r="E28" s="52" t="n"/>
      <c r="F28" s="52" t="n"/>
      <c r="G28" s="52" t="n"/>
      <c r="H28" s="52" t="n"/>
      <c r="I28" s="52" t="n"/>
    </row>
    <row r="29">
      <c r="A29" s="52" t="inlineStr">
        <is>
          <t>Follow-up cadence</t>
        </is>
      </c>
      <c r="B29" s="52" t="inlineStr">
        <is>
          <t>Initial outreach Day 0–5; follow-up Day 7–10; review at Day 18–21; archive/ghost at Day 30 if no activity.</t>
        </is>
      </c>
      <c r="C29" s="52" t="n"/>
      <c r="D29" s="52" t="n"/>
      <c r="E29" s="52" t="n"/>
      <c r="F29" s="52" t="n"/>
      <c r="G29" s="52" t="n"/>
      <c r="H29" s="52" t="n"/>
      <c r="I29" s="52" t="n"/>
    </row>
    <row r="30">
      <c r="A30" s="52" t="inlineStr">
        <is>
          <t>Learning loop</t>
        </is>
      </c>
      <c r="B30" s="52" t="inlineStr">
        <is>
          <t>Review conversion monthly by role family, strategic score, country, channel and human access; adjust weights only after enough observations.</t>
        </is>
      </c>
      <c r="C30" s="52" t="n"/>
      <c r="D30" s="52" t="n"/>
      <c r="E30" s="52" t="n"/>
      <c r="F30" s="52" t="n"/>
      <c r="G30" s="52" t="n"/>
      <c r="H30" s="52" t="n"/>
      <c r="I30" s="52" t="n"/>
    </row>
  </sheetData>
  <mergeCells count="7">
    <mergeCell ref="F14:I14"/>
    <mergeCell ref="A2:H2"/>
    <mergeCell ref="D3:F3"/>
    <mergeCell ref="A1:H1"/>
    <mergeCell ref="A3:B3"/>
    <mergeCell ref="A24:I24"/>
    <mergeCell ref="A14:D14"/>
  </mergeCells>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filterMode="0">
    <outlinePr summaryBelow="1" summaryRight="1"/>
    <pageSetUpPr fitToPage="0"/>
  </sheetPr>
  <dimension ref="A1:G5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6796875" defaultRowHeight="15" zeroHeight="0" outlineLevelRow="0"/>
  <cols>
    <col width="34" customWidth="1" style="43" min="1" max="1"/>
    <col width="14" customWidth="1" style="43" min="2" max="5"/>
  </cols>
  <sheetData>
    <row r="1" ht="15.75" customHeight="1" s="44">
      <c r="A1" s="71" t="inlineStr">
        <is>
          <t>APPLICATION PIPELINE DASHBOARD</t>
        </is>
      </c>
    </row>
    <row r="3" ht="15" customHeight="1" s="44">
      <c r="A3" s="72" t="inlineStr">
        <is>
          <t>Metric</t>
        </is>
      </c>
      <c r="B3" s="72" t="inlineStr">
        <is>
          <t>Value</t>
        </is>
      </c>
    </row>
    <row r="4" ht="15" customHeight="1" s="44">
      <c r="A4" s="73" t="inlineStr">
        <is>
          <t>Total applications</t>
        </is>
      </c>
      <c r="B4" s="73">
        <f>COUNTA(Applications!B2:B500)</f>
        <v/>
      </c>
    </row>
    <row r="5" ht="15" customHeight="1" s="44">
      <c r="A5" s="73" t="inlineStr">
        <is>
          <t>Canada applications</t>
        </is>
      </c>
      <c r="B5" s="73">
        <f>COUNTIF(Applications!E2:E500,"Canada")</f>
        <v/>
      </c>
    </row>
    <row r="6" ht="15" customHeight="1" s="44">
      <c r="A6" s="73" t="inlineStr">
        <is>
          <t>US applications</t>
        </is>
      </c>
      <c r="B6" s="73">
        <f>COUNTIF(Applications!E2:E500,"US")</f>
        <v/>
      </c>
    </row>
    <row r="7" ht="15" customHeight="1" s="44">
      <c r="A7" s="73" t="inlineStr">
        <is>
          <t>% Canada</t>
        </is>
      </c>
      <c r="B7" s="74">
        <f>IF(B4=0,0,B5/B4)</f>
        <v/>
      </c>
    </row>
    <row r="8" ht="15" customHeight="1" s="44">
      <c r="A8" s="73" t="inlineStr">
        <is>
          <t>% US</t>
        </is>
      </c>
      <c r="B8" s="74">
        <f>IF(B4=0,0,B6/B4)</f>
        <v/>
      </c>
    </row>
    <row r="9" ht="15" customHeight="1" s="44">
      <c r="A9" s="73" t="inlineStr">
        <is>
          <t>Applications w/ sponsorship question</t>
        </is>
      </c>
      <c r="B9" s="73">
        <f>COUNTIF(Applications!J2:J500,"Yes")</f>
        <v/>
      </c>
    </row>
    <row r="10" ht="15" customHeight="1" s="44">
      <c r="A10" s="73" t="inlineStr">
        <is>
          <t>Any response (not Applied/Ghosted)</t>
        </is>
      </c>
      <c r="B10" s="73">
        <f>B4-COUNTIF(Applications!K2:K500,"Applied")-COUNTIF(Applications!K2:K500,"Ghosted (30d+)")</f>
        <v/>
      </c>
    </row>
    <row r="11" ht="15" customHeight="1" s="44">
      <c r="A11" s="73" t="inlineStr">
        <is>
          <t>Response rate</t>
        </is>
      </c>
      <c r="B11" s="74">
        <f>IF(B4=0,0,B10/B4)</f>
        <v/>
      </c>
    </row>
    <row r="12" ht="15" customHeight="1" s="44">
      <c r="A12" s="73" t="inlineStr">
        <is>
          <t>Screens / interviews</t>
        </is>
      </c>
      <c r="B12" s="73">
        <f>COUNTIF(Applications!K2:K500,"Screen Scheduled")+COUNTIF(Applications!K2:K500,"Screening")+COUNTIF(Applications!K2:K500,"Interviewing")</f>
        <v/>
      </c>
    </row>
    <row r="13" ht="15" customHeight="1" s="44">
      <c r="A13" s="73" t="inlineStr">
        <is>
          <t>Offers</t>
        </is>
      </c>
      <c r="B13" s="73">
        <f>COUNTIF(Applications!K2:K500,"Offer")</f>
        <v/>
      </c>
    </row>
    <row r="14" ht="15" customHeight="1" s="44">
      <c r="A14" s="73" t="inlineStr">
        <is>
          <t>Ghosted (30d+)</t>
        </is>
      </c>
      <c r="B14" s="73">
        <f>COUNTIF(Applications!K2:K500,"Ghosted (30d+)")</f>
        <v/>
      </c>
    </row>
    <row r="15" ht="15" customHeight="1" s="44">
      <c r="A15" s="73" t="inlineStr">
        <is>
          <t>Avg days to response</t>
        </is>
      </c>
      <c r="B15" s="73">
        <f>IFERROR(AVERAGE(Applications!M2:M500),"—")</f>
        <v/>
      </c>
    </row>
    <row r="18" ht="15" customHeight="1" s="44">
      <c r="A18" s="72" t="inlineStr">
        <is>
          <t>Responses by Channel</t>
        </is>
      </c>
      <c r="B18" s="72" t="inlineStr">
        <is>
          <t>Applied</t>
        </is>
      </c>
      <c r="C18" s="72" t="inlineStr">
        <is>
          <t>Responded</t>
        </is>
      </c>
      <c r="D18" s="72" t="inlineStr">
        <is>
          <t>Resp. Rate</t>
        </is>
      </c>
    </row>
    <row r="19" ht="15" customHeight="1" s="44">
      <c r="A19" s="73" t="inlineStr">
        <is>
          <t>Cold Portal</t>
        </is>
      </c>
      <c r="B19" s="73">
        <f>COUNTIF(Applications!H2:H500,"Cold Portal")</f>
        <v/>
      </c>
      <c r="C19" s="73">
        <f>SUMPRODUCT((Applications!H2:H500="Cold Portal")*(Applications!K2:K500&lt;&gt;"Applied")*(Applications!K2:K500&lt;&gt;"Ghosted (30d+)")*(Applications!K2:K500&lt;&gt;""))</f>
        <v/>
      </c>
      <c r="D19" s="74">
        <f>IF(B19=0,0,C19/B19)</f>
        <v/>
      </c>
    </row>
    <row r="20" ht="15" customHeight="1" s="44">
      <c r="A20" s="73" t="inlineStr">
        <is>
          <t>Referral</t>
        </is>
      </c>
      <c r="B20" s="73">
        <f>COUNTIF(Applications!H2:H500,"Referral")</f>
        <v/>
      </c>
      <c r="C20" s="73">
        <f>SUMPRODUCT((Applications!H2:H500="Referral")*(Applications!K2:K500&lt;&gt;"Applied")*(Applications!K2:K500&lt;&gt;"Ghosted (30d+)")*(Applications!K2:K500&lt;&gt;""))</f>
        <v/>
      </c>
      <c r="D20" s="74">
        <f>IF(B20=0,0,C20/B20)</f>
        <v/>
      </c>
    </row>
    <row r="21" ht="15" customHeight="1" s="44">
      <c r="A21" s="73" t="inlineStr">
        <is>
          <t>Recruiter</t>
        </is>
      </c>
      <c r="B21" s="73">
        <f>COUNTIF(Applications!H2:H500,"Recruiter")</f>
        <v/>
      </c>
      <c r="C21" s="73">
        <f>SUMPRODUCT((Applications!H2:H500="Recruiter")*(Applications!K2:K500&lt;&gt;"Applied")*(Applications!K2:K500&lt;&gt;"Ghosted (30d+)")*(Applications!K2:K500&lt;&gt;""))</f>
        <v/>
      </c>
      <c r="D21" s="74">
        <f>IF(B21=0,0,C21/B21)</f>
        <v/>
      </c>
    </row>
    <row r="22" ht="15" customHeight="1" s="44">
      <c r="A22" s="73" t="inlineStr">
        <is>
          <t>Hiring Mgr Outreach</t>
        </is>
      </c>
      <c r="B22" s="73">
        <f>COUNTIF(Applications!H2:H500,"Hiring Mgr Outreach")</f>
        <v/>
      </c>
      <c r="C22" s="73">
        <f>SUMPRODUCT((Applications!H2:H500="Hiring Mgr Outreach")*(Applications!K2:K500&lt;&gt;"Applied")*(Applications!K2:K500&lt;&gt;"Ghosted (30d+)")*(Applications!K2:K500&lt;&gt;""))</f>
        <v/>
      </c>
      <c r="D22" s="74">
        <f>IF(B22=0,0,C22/B22)</f>
        <v/>
      </c>
    </row>
    <row r="23" ht="15" customHeight="1" s="44">
      <c r="A23" s="73" t="inlineStr">
        <is>
          <t>LinkedIn Easy Apply</t>
        </is>
      </c>
      <c r="B23" s="73">
        <f>COUNTIF(Applications!H2:H500,"LinkedIn Easy Apply")</f>
        <v/>
      </c>
      <c r="C23" s="73">
        <f>SUMPRODUCT((Applications!H2:H500="LinkedIn Easy Apply")*(Applications!K2:K500&lt;&gt;"Applied")*(Applications!K2:K500&lt;&gt;"Ghosted (30d+)")*(Applications!K2:K500&lt;&gt;""))</f>
        <v/>
      </c>
      <c r="D23" s="74">
        <f>IF(B23=0,0,C23/B23)</f>
        <v/>
      </c>
    </row>
    <row r="24" ht="15" customHeight="1" s="44">
      <c r="A24" s="73" t="inlineStr">
        <is>
          <t>Internal</t>
        </is>
      </c>
      <c r="B24" s="73">
        <f>COUNTIF(Applications!H2:H500,"Internal")</f>
        <v/>
      </c>
      <c r="C24" s="73">
        <f>SUMPRODUCT((Applications!H2:H500="Internal")*(Applications!K2:K500&lt;&gt;"Applied")*(Applications!K2:K500&lt;&gt;"Ghosted (30d+)")*(Applications!K2:K500&lt;&gt;""))</f>
        <v/>
      </c>
      <c r="D24" s="74">
        <f>IF(B24=0,0,C24/B24)</f>
        <v/>
      </c>
    </row>
    <row r="27" ht="15" customHeight="1" s="44">
      <c r="A27" s="72" t="inlineStr">
        <is>
          <t>Responses by Country</t>
        </is>
      </c>
      <c r="B27" s="72" t="inlineStr">
        <is>
          <t>Applied</t>
        </is>
      </c>
      <c r="C27" s="72" t="inlineStr">
        <is>
          <t>Responded</t>
        </is>
      </c>
      <c r="D27" s="72" t="inlineStr">
        <is>
          <t>Resp. Rate</t>
        </is>
      </c>
      <c r="E27" s="72" t="inlineStr">
        <is>
          <t>Interviewing</t>
        </is>
      </c>
      <c r="F27" s="72" t="inlineStr">
        <is>
          <t>Offer</t>
        </is>
      </c>
      <c r="G27" s="72" t="inlineStr">
        <is>
          <t>Rejected</t>
        </is>
      </c>
    </row>
    <row r="28" ht="15" customHeight="1" s="44">
      <c r="A28" s="73" t="inlineStr">
        <is>
          <t>Canada</t>
        </is>
      </c>
      <c r="B28" s="73">
        <f>COUNTIF(Applications!E2:E500,"Canada")</f>
        <v/>
      </c>
      <c r="C28" s="73">
        <f>SUMPRODUCT((Applications!E2:E500="Canada")*(Applications!K2:K500&lt;&gt;"Applied")*(Applications!K2:K500&lt;&gt;"Ghosted (30d+)")*(Applications!K2:K500&lt;&gt;""))</f>
        <v/>
      </c>
      <c r="D28" s="74">
        <f>IF(B28=0,0,C28/B28)</f>
        <v/>
      </c>
      <c r="E28" s="73">
        <f>COUNTIFS(Applications!E2:E500,"Canada",Applications!K2:K500,"Interviewing")</f>
        <v/>
      </c>
      <c r="F28" s="73">
        <f>COUNTIFS(Applications!E2:E500,"Canada",Applications!K2:K500,"Offer")</f>
        <v/>
      </c>
      <c r="G28" s="73">
        <f>COUNTIFS(Applications!E2:E500,"Canada",Applications!K2:K500,"Rejected")</f>
        <v/>
      </c>
    </row>
    <row r="29" ht="15" customHeight="1" s="44">
      <c r="A29" s="73" t="inlineStr">
        <is>
          <t>US</t>
        </is>
      </c>
      <c r="B29" s="73">
        <f>COUNTIF(Applications!E2:E500,"US")</f>
        <v/>
      </c>
      <c r="C29" s="73">
        <f>SUMPRODUCT((Applications!E2:E500="US")*(Applications!K2:K500&lt;&gt;"Applied")*(Applications!K2:K500&lt;&gt;"Ghosted (30d+)")*(Applications!K2:K500&lt;&gt;""))</f>
        <v/>
      </c>
      <c r="D29" s="74">
        <f>IF(B29=0,0,C29/B29)</f>
        <v/>
      </c>
      <c r="E29" s="73">
        <f>COUNTIFS(Applications!E2:E500,"US",Applications!K2:K500,"Interviewing")</f>
        <v/>
      </c>
      <c r="F29" s="73">
        <f>COUNTIFS(Applications!E2:E500,"US",Applications!K2:K500,"Offer")</f>
        <v/>
      </c>
      <c r="G29" s="73">
        <f>COUNTIFS(Applications!E2:E500,"US",Applications!K2:K500,"Rejected")</f>
        <v/>
      </c>
    </row>
    <row r="32" ht="15" customHeight="1" s="44">
      <c r="A32" s="75" t="inlineStr">
        <is>
          <t>This sheet updates automatically from the Applications tab. The Country and Channel tables answer the two key questions: where are responses coming from, and does the US/sponsorship screen explain the silence.</t>
        </is>
      </c>
    </row>
    <row r="34" ht="15" customHeight="1" s="44">
      <c r="A34" s="76" t="inlineStr">
        <is>
          <t>Status Breakdown</t>
        </is>
      </c>
    </row>
    <row r="35" ht="15" customHeight="1" s="44">
      <c r="A35" s="72" t="inlineStr">
        <is>
          <t>Status</t>
        </is>
      </c>
      <c r="B35" s="72" t="inlineStr">
        <is>
          <t>Count</t>
        </is>
      </c>
    </row>
    <row r="36" ht="15" customHeight="1" s="44">
      <c r="A36" s="77" t="inlineStr">
        <is>
          <t>Applied</t>
        </is>
      </c>
      <c r="B36" s="77">
        <f>COUNTIF(Applications!K2:K500,"Applied")</f>
        <v/>
      </c>
    </row>
    <row r="37" ht="15" customHeight="1" s="44">
      <c r="A37" s="77" t="inlineStr">
        <is>
          <t>Interviewing</t>
        </is>
      </c>
      <c r="B37" s="77">
        <f>COUNTIF(Applications!K2:K500,"Interviewing")</f>
        <v/>
      </c>
    </row>
    <row r="38" ht="15" customHeight="1" s="44">
      <c r="A38" s="43" t="inlineStr">
        <is>
          <t>Screening</t>
        </is>
      </c>
      <c r="B38" s="43">
        <f>COUNTIF(Applications!K2:K500,"Screening")+COUNTIF(Applications!K2:K500,"Screen Scheduled")</f>
        <v/>
      </c>
    </row>
    <row r="39" ht="15" customHeight="1" s="44">
      <c r="A39" s="43" t="inlineStr">
        <is>
          <t>Screening + Interviewing (combined)</t>
        </is>
      </c>
      <c r="B39" s="43">
        <f>B37+B38</f>
        <v/>
      </c>
    </row>
    <row r="40" ht="15" customHeight="1" s="44">
      <c r="A40" s="77" t="inlineStr">
        <is>
          <t>Offer</t>
        </is>
      </c>
      <c r="B40" s="77">
        <f>COUNTIF(Applications!K2:K500,"Offer")</f>
        <v/>
      </c>
    </row>
    <row r="41" ht="15" customHeight="1" s="44">
      <c r="A41" s="77" t="inlineStr">
        <is>
          <t>Rejected</t>
        </is>
      </c>
      <c r="B41" s="77">
        <f>COUNTIF(Applications!K2:K500,"Rejected")</f>
        <v/>
      </c>
    </row>
    <row r="42" ht="15.75" customHeight="1" s="44">
      <c r="A42" s="77" t="inlineStr">
        <is>
          <t>Ghosted (30d+)</t>
        </is>
      </c>
      <c r="B42" s="77">
        <f>COUNTIF(Applications!K2:K500,"Ghosted (30d+)")</f>
        <v/>
      </c>
    </row>
    <row r="44" ht="15" customHeight="1" s="44">
      <c r="A44" s="71" t="inlineStr">
        <is>
          <t>APPLICATIONS BY MONTH (2026)</t>
        </is>
      </c>
    </row>
    <row r="45" ht="15" customHeight="1" s="44"/>
    <row r="46" ht="15" customHeight="1" s="44">
      <c r="A46" s="72" t="inlineStr">
        <is>
          <t>Month</t>
        </is>
      </c>
      <c r="B46" s="72" t="inlineStr">
        <is>
          <t>Submitted</t>
        </is>
      </c>
      <c r="C46" s="72" t="inlineStr">
        <is>
          <t>Responses Received</t>
        </is>
      </c>
      <c r="D46" s="72" t="inlineStr">
        <is>
          <t>Rejections</t>
        </is>
      </c>
      <c r="E46" s="72" t="inlineStr">
        <is>
          <t>Screens/Interviews</t>
        </is>
      </c>
      <c r="F46" s="72" t="inlineStr">
        <is>
          <t>Resp. Rate (of submitted)</t>
        </is>
      </c>
    </row>
    <row r="47" ht="15" customHeight="1" s="44">
      <c r="A47" s="73" t="inlineStr">
        <is>
          <t>January 2026</t>
        </is>
      </c>
      <c r="B47" s="73">
        <f>COUNTIFS(Applications!$A$2:$A$500,"&gt;="&amp;DATE(2026,1,1),Applications!$A$2:$A$500,"&lt;"&amp;EDATE(DATE(2026,1,1),1))</f>
        <v/>
      </c>
      <c r="C47" s="73">
        <f>SUMPRODUCT((Applications!$L$2:$L$500&gt;=DATE(2026,1,1))*(Applications!$L$2:$L$500&lt;EDATE(DATE(2026,1,1),1))*(Applications!$L$2:$L$500&lt;&gt;""))</f>
        <v/>
      </c>
      <c r="D47" s="73">
        <f>SUMPRODUCT((Applications!$L$2:$L$500&gt;=DATE(2026,1,1))*(Applications!$L$2:$L$500&lt;EDATE(DATE(2026,1,1),1))*(Applications!$K$2:$K$500="Rejected"))</f>
        <v/>
      </c>
      <c r="E47" s="73">
        <f>SUMPRODUCT((Applications!$Q$2:$Q$500&gt;=DATE(2026,1,1))*(Applications!$Q$2:$Q$500&lt;EDATE(DATE(2026,1,1),1))*(Applications!$Q$2:$Q$500&lt;&gt;""))</f>
        <v/>
      </c>
      <c r="F47" s="78">
        <f>IF(B47=0,0,C47/B47)</f>
        <v/>
      </c>
    </row>
    <row r="48" ht="15" customHeight="1" s="44">
      <c r="A48" s="73" t="inlineStr">
        <is>
          <t>February 2026</t>
        </is>
      </c>
      <c r="B48" s="73">
        <f>COUNTIFS(Applications!$A$2:$A$500,"&gt;="&amp;DATE(2026,2,1),Applications!$A$2:$A$500,"&lt;"&amp;EDATE(DATE(2026,2,1),1))</f>
        <v/>
      </c>
      <c r="C48" s="73">
        <f>SUMPRODUCT((Applications!$L$2:$L$500&gt;=DATE(2026,2,1))*(Applications!$L$2:$L$500&lt;EDATE(DATE(2026,2,1),1))*(Applications!$L$2:$L$500&lt;&gt;""))</f>
        <v/>
      </c>
      <c r="D48" s="73">
        <f>SUMPRODUCT((Applications!$L$2:$L$500&gt;=DATE(2026,2,1))*(Applications!$L$2:$L$500&lt;EDATE(DATE(2026,2,1),1))*(Applications!$K$2:$K$500="Rejected"))</f>
        <v/>
      </c>
      <c r="E48" s="73">
        <f>SUMPRODUCT((Applications!$Q$2:$Q$500&gt;=DATE(2026,2,1))*(Applications!$Q$2:$Q$500&lt;EDATE(DATE(2026,2,1),1))*(Applications!$Q$2:$Q$500&lt;&gt;""))</f>
        <v/>
      </c>
      <c r="F48" s="78">
        <f>IF(B48=0,0,C48/B48)</f>
        <v/>
      </c>
    </row>
    <row r="49" ht="15" customHeight="1" s="44">
      <c r="A49" s="73" t="inlineStr">
        <is>
          <t>March 2026</t>
        </is>
      </c>
      <c r="B49" s="73">
        <f>COUNTIFS(Applications!$A$2:$A$500,"&gt;="&amp;DATE(2026,3,1),Applications!$A$2:$A$500,"&lt;"&amp;EDATE(DATE(2026,3,1),1))</f>
        <v/>
      </c>
      <c r="C49" s="73">
        <f>SUMPRODUCT((Applications!$L$2:$L$500&gt;=DATE(2026,3,1))*(Applications!$L$2:$L$500&lt;EDATE(DATE(2026,3,1),1))*(Applications!$L$2:$L$500&lt;&gt;""))</f>
        <v/>
      </c>
      <c r="D49" s="73">
        <f>SUMPRODUCT((Applications!$L$2:$L$500&gt;=DATE(2026,3,1))*(Applications!$L$2:$L$500&lt;EDATE(DATE(2026,3,1),1))*(Applications!$K$2:$K$500="Rejected"))</f>
        <v/>
      </c>
      <c r="E49" s="73">
        <f>SUMPRODUCT((Applications!$Q$2:$Q$500&gt;=DATE(2026,3,1))*(Applications!$Q$2:$Q$500&lt;EDATE(DATE(2026,3,1),1))*(Applications!$Q$2:$Q$500&lt;&gt;""))</f>
        <v/>
      </c>
      <c r="F49" s="78">
        <f>IF(B49=0,0,C49/B49)</f>
        <v/>
      </c>
    </row>
    <row r="50" ht="15" customHeight="1" s="44">
      <c r="A50" s="73" t="inlineStr">
        <is>
          <t>April 2026</t>
        </is>
      </c>
      <c r="B50" s="73">
        <f>COUNTIFS(Applications!$A$2:$A$500,"&gt;="&amp;DATE(2026,4,1),Applications!$A$2:$A$500,"&lt;"&amp;EDATE(DATE(2026,4,1),1))</f>
        <v/>
      </c>
      <c r="C50" s="73">
        <f>SUMPRODUCT((Applications!$L$2:$L$500&gt;=DATE(2026,4,1))*(Applications!$L$2:$L$500&lt;EDATE(DATE(2026,4,1),1))*(Applications!$L$2:$L$500&lt;&gt;""))</f>
        <v/>
      </c>
      <c r="D50" s="73">
        <f>SUMPRODUCT((Applications!$L$2:$L$500&gt;=DATE(2026,4,1))*(Applications!$L$2:$L$500&lt;EDATE(DATE(2026,4,1),1))*(Applications!$K$2:$K$500="Rejected"))</f>
        <v/>
      </c>
      <c r="E50" s="73">
        <f>SUMPRODUCT((Applications!$Q$2:$Q$500&gt;=DATE(2026,4,1))*(Applications!$Q$2:$Q$500&lt;EDATE(DATE(2026,4,1),1))*(Applications!$Q$2:$Q$500&lt;&gt;""))</f>
        <v/>
      </c>
      <c r="F50" s="78">
        <f>IF(B50=0,0,C50/B50)</f>
        <v/>
      </c>
    </row>
    <row r="51" ht="15" customHeight="1" s="44">
      <c r="A51" s="73" t="inlineStr">
        <is>
          <t>May 2026</t>
        </is>
      </c>
      <c r="B51" s="73">
        <f>COUNTIFS(Applications!$A$2:$A$500,"&gt;="&amp;DATE(2026,5,1),Applications!$A$2:$A$500,"&lt;"&amp;EDATE(DATE(2026,5,1),1))</f>
        <v/>
      </c>
      <c r="C51" s="73">
        <f>SUMPRODUCT((Applications!$L$2:$L$500&gt;=DATE(2026,5,1))*(Applications!$L$2:$L$500&lt;EDATE(DATE(2026,5,1),1))*(Applications!$L$2:$L$500&lt;&gt;""))</f>
        <v/>
      </c>
      <c r="D51" s="73">
        <f>SUMPRODUCT((Applications!$L$2:$L$500&gt;=DATE(2026,5,1))*(Applications!$L$2:$L$500&lt;EDATE(DATE(2026,5,1),1))*(Applications!$K$2:$K$500="Rejected"))</f>
        <v/>
      </c>
      <c r="E51" s="73">
        <f>SUMPRODUCT((Applications!$Q$2:$Q$500&gt;=DATE(2026,5,1))*(Applications!$Q$2:$Q$500&lt;EDATE(DATE(2026,5,1),1))*(Applications!$Q$2:$Q$500&lt;&gt;""))</f>
        <v/>
      </c>
      <c r="F51" s="78">
        <f>IF(B51=0,0,C51/B51)</f>
        <v/>
      </c>
    </row>
    <row r="52" ht="15" customHeight="1" s="44">
      <c r="A52" s="73" t="inlineStr">
        <is>
          <t>June 2026</t>
        </is>
      </c>
      <c r="B52" s="73">
        <f>COUNTIFS(Applications!$A$2:$A$500,"&gt;="&amp;DATE(2026,6,1),Applications!$A$2:$A$500,"&lt;"&amp;EDATE(DATE(2026,6,1),1))</f>
        <v/>
      </c>
      <c r="C52" s="73">
        <f>SUMPRODUCT((Applications!$L$2:$L$500&gt;=DATE(2026,6,1))*(Applications!$L$2:$L$500&lt;EDATE(DATE(2026,6,1),1))*(Applications!$L$2:$L$500&lt;&gt;""))</f>
        <v/>
      </c>
      <c r="D52" s="73">
        <f>SUMPRODUCT((Applications!$L$2:$L$500&gt;=DATE(2026,6,1))*(Applications!$L$2:$L$500&lt;EDATE(DATE(2026,6,1),1))*(Applications!$K$2:$K$500="Rejected"))</f>
        <v/>
      </c>
      <c r="E52" s="73">
        <f>SUMPRODUCT((Applications!$Q$2:$Q$500&gt;=DATE(2026,6,1))*(Applications!$Q$2:$Q$500&lt;EDATE(DATE(2026,6,1),1))*(Applications!$Q$2:$Q$500&lt;&gt;""))</f>
        <v/>
      </c>
      <c r="F52" s="78">
        <f>IF(B52=0,0,C52/B52)</f>
        <v/>
      </c>
    </row>
    <row r="53" ht="15" customHeight="1" s="44">
      <c r="A53" s="73" t="inlineStr">
        <is>
          <t>July 2026</t>
        </is>
      </c>
      <c r="B53" s="73">
        <f>COUNTIFS(Applications!$A$2:$A$500,"&gt;="&amp;DATE(2026,7,1),Applications!$A$2:$A$500,"&lt;"&amp;EDATE(DATE(2026,7,1),1))</f>
        <v/>
      </c>
      <c r="C53" s="73">
        <f>SUMPRODUCT((Applications!$L$2:$L$500&gt;=DATE(2026,7,1))*(Applications!$L$2:$L$500&lt;EDATE(DATE(2026,7,1),1))*(Applications!$L$2:$L$500&lt;&gt;""))</f>
        <v/>
      </c>
      <c r="D53" s="73">
        <f>SUMPRODUCT((Applications!$L$2:$L$500&gt;=DATE(2026,7,1))*(Applications!$L$2:$L$500&lt;EDATE(DATE(2026,7,1),1))*(Applications!$K$2:$K$500="Rejected"))</f>
        <v/>
      </c>
      <c r="E53" s="73">
        <f>SUMPRODUCT((Applications!$Q$2:$Q$500&gt;=DATE(2026,7,1))*(Applications!$Q$2:$Q$500&lt;EDATE(DATE(2026,7,1),1))*(Applications!$Q$2:$Q$500&lt;&gt;""))</f>
        <v/>
      </c>
      <c r="F53" s="78">
        <f>IF(B53=0,0,C53/B53)</f>
        <v/>
      </c>
    </row>
    <row r="54" ht="15" customHeight="1" s="44">
      <c r="A54" s="73" t="inlineStr">
        <is>
          <t>August 2026</t>
        </is>
      </c>
      <c r="B54" s="73">
        <f>COUNTIFS(Applications!$A$2:$A$500,"&gt;="&amp;DATE(2026,8,1),Applications!$A$2:$A$500,"&lt;"&amp;EDATE(DATE(2026,8,1),1))</f>
        <v/>
      </c>
      <c r="C54" s="73">
        <f>SUMPRODUCT((Applications!$L$2:$L$500&gt;=DATE(2026,8,1))*(Applications!$L$2:$L$500&lt;EDATE(DATE(2026,8,1),1))*(Applications!$L$2:$L$500&lt;&gt;""))</f>
        <v/>
      </c>
      <c r="D54" s="73">
        <f>SUMPRODUCT((Applications!$L$2:$L$500&gt;=DATE(2026,8,1))*(Applications!$L$2:$L$500&lt;EDATE(DATE(2026,8,1),1))*(Applications!$K$2:$K$500="Rejected"))</f>
        <v/>
      </c>
      <c r="E54" s="73">
        <f>SUMPRODUCT((Applications!$Q$2:$Q$500&gt;=DATE(2026,8,1))*(Applications!$Q$2:$Q$500&lt;EDATE(DATE(2026,8,1),1))*(Applications!$Q$2:$Q$500&lt;&gt;""))</f>
        <v/>
      </c>
      <c r="F54" s="78">
        <f>IF(B54=0,0,C54/B54)</f>
        <v/>
      </c>
    </row>
    <row r="55" ht="15" customHeight="1" s="44">
      <c r="A55" s="73" t="inlineStr">
        <is>
          <t>September 2026</t>
        </is>
      </c>
      <c r="B55" s="73">
        <f>COUNTIFS(Applications!$A$2:$A$500,"&gt;="&amp;DATE(2026,9,1),Applications!$A$2:$A$500,"&lt;"&amp;EDATE(DATE(2026,9,1),1))</f>
        <v/>
      </c>
      <c r="C55" s="73">
        <f>SUMPRODUCT((Applications!$L$2:$L$500&gt;=DATE(2026,9,1))*(Applications!$L$2:$L$500&lt;EDATE(DATE(2026,9,1),1))*(Applications!$L$2:$L$500&lt;&gt;""))</f>
        <v/>
      </c>
      <c r="D55" s="73">
        <f>SUMPRODUCT((Applications!$L$2:$L$500&gt;=DATE(2026,9,1))*(Applications!$L$2:$L$500&lt;EDATE(DATE(2026,9,1),1))*(Applications!$K$2:$K$500="Rejected"))</f>
        <v/>
      </c>
      <c r="E55" s="73">
        <f>SUMPRODUCT((Applications!$Q$2:$Q$500&gt;=DATE(2026,9,1))*(Applications!$Q$2:$Q$500&lt;EDATE(DATE(2026,9,1),1))*(Applications!$Q$2:$Q$500&lt;&gt;""))</f>
        <v/>
      </c>
      <c r="F55" s="78">
        <f>IF(B55=0,0,C55/B55)</f>
        <v/>
      </c>
    </row>
    <row r="56" ht="15" customHeight="1" s="44">
      <c r="A56" s="73" t="inlineStr">
        <is>
          <t>October 2026</t>
        </is>
      </c>
      <c r="B56" s="73">
        <f>COUNTIFS(Applications!$A$2:$A$500,"&gt;="&amp;DATE(2026,10,1),Applications!$A$2:$A$500,"&lt;"&amp;EDATE(DATE(2026,10,1),1))</f>
        <v/>
      </c>
      <c r="C56" s="73">
        <f>SUMPRODUCT((Applications!$L$2:$L$500&gt;=DATE(2026,10,1))*(Applications!$L$2:$L$500&lt;EDATE(DATE(2026,10,1),1))*(Applications!$L$2:$L$500&lt;&gt;""))</f>
        <v/>
      </c>
      <c r="D56" s="73">
        <f>SUMPRODUCT((Applications!$L$2:$L$500&gt;=DATE(2026,10,1))*(Applications!$L$2:$L$500&lt;EDATE(DATE(2026,10,1),1))*(Applications!$K$2:$K$500="Rejected"))</f>
        <v/>
      </c>
      <c r="E56" s="73">
        <f>SUMPRODUCT((Applications!$Q$2:$Q$500&gt;=DATE(2026,10,1))*(Applications!$Q$2:$Q$500&lt;EDATE(DATE(2026,10,1),1))*(Applications!$Q$2:$Q$500&lt;&gt;""))</f>
        <v/>
      </c>
      <c r="F56" s="78">
        <f>IF(B56=0,0,C56/B56)</f>
        <v/>
      </c>
    </row>
    <row r="57" ht="15" customHeight="1" s="44">
      <c r="A57" s="73" t="inlineStr">
        <is>
          <t>November 2026</t>
        </is>
      </c>
      <c r="B57" s="73">
        <f>COUNTIFS(Applications!$A$2:$A$500,"&gt;="&amp;DATE(2026,11,1),Applications!$A$2:$A$500,"&lt;"&amp;EDATE(DATE(2026,11,1),1))</f>
        <v/>
      </c>
      <c r="C57" s="73">
        <f>SUMPRODUCT((Applications!$L$2:$L$500&gt;=DATE(2026,11,1))*(Applications!$L$2:$L$500&lt;EDATE(DATE(2026,11,1),1))*(Applications!$L$2:$L$500&lt;&gt;""))</f>
        <v/>
      </c>
      <c r="D57" s="73">
        <f>SUMPRODUCT((Applications!$L$2:$L$500&gt;=DATE(2026,11,1))*(Applications!$L$2:$L$500&lt;EDATE(DATE(2026,11,1),1))*(Applications!$K$2:$K$500="Rejected"))</f>
        <v/>
      </c>
      <c r="E57" s="73">
        <f>SUMPRODUCT((Applications!$Q$2:$Q$500&gt;=DATE(2026,11,1))*(Applications!$Q$2:$Q$500&lt;EDATE(DATE(2026,11,1),1))*(Applications!$Q$2:$Q$500&lt;&gt;""))</f>
        <v/>
      </c>
      <c r="F57" s="78">
        <f>IF(B57=0,0,C57/B57)</f>
        <v/>
      </c>
    </row>
    <row r="58" ht="15" customHeight="1" s="44">
      <c r="A58" s="73" t="inlineStr">
        <is>
          <t>December 2026</t>
        </is>
      </c>
      <c r="B58" s="73">
        <f>COUNTIFS(Applications!$A$2:$A$500,"&gt;="&amp;DATE(2026,12,1),Applications!$A$2:$A$500,"&lt;"&amp;EDATE(DATE(2026,12,1),1))</f>
        <v/>
      </c>
      <c r="C58" s="73">
        <f>SUMPRODUCT((Applications!$L$2:$L$500&gt;=DATE(2026,12,1))*(Applications!$L$2:$L$500&lt;EDATE(DATE(2026,12,1),1))*(Applications!$L$2:$L$500&lt;&gt;""))</f>
        <v/>
      </c>
      <c r="D58" s="73">
        <f>SUMPRODUCT((Applications!$L$2:$L$500&gt;=DATE(2026,12,1))*(Applications!$L$2:$L$500&lt;EDATE(DATE(2026,12,1),1))*(Applications!$K$2:$K$500="Rejected"))</f>
        <v/>
      </c>
      <c r="E58" s="73">
        <f>SUMPRODUCT((Applications!$Q$2:$Q$500&gt;=DATE(2026,12,1))*(Applications!$Q$2:$Q$500&lt;EDATE(DATE(2026,12,1),1))*(Applications!$Q$2:$Q$500&lt;&gt;""))</f>
        <v/>
      </c>
      <c r="F58" s="78">
        <f>IF(B58=0,0,C58/B58)</f>
        <v/>
      </c>
    </row>
    <row r="59" ht="15" customHeight="1" s="44">
      <c r="A59" s="43" t="inlineStr">
        <is>
          <t>Submitted = Date Applied falls in that month. Rejections/Responses Received = Response Date falls in that month. Screens/Interviews = an actual interview/screen event date (col Q on Applications) falls in that month — this reflects when interviews genuinely happened, even if the application was later rejected. Not all historical interviews have been backfilled into column Q; only confirmed via email have been added.</t>
        </is>
      </c>
    </row>
  </sheetData>
  <mergeCells count="1">
    <mergeCell ref="A32:E3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O200"/>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6796875" defaultRowHeight="15" zeroHeight="0" outlineLevelRow="0"/>
  <cols>
    <col width="12" customWidth="1" style="43" min="1" max="1"/>
    <col width="20" customWidth="1" style="43" min="2" max="2"/>
    <col width="18" customWidth="1" style="43" min="3" max="3"/>
    <col width="20" customWidth="1" style="43" min="4" max="4"/>
    <col width="14" customWidth="1" style="43" min="5" max="5"/>
    <col width="24" customWidth="1" style="43" min="6" max="6"/>
    <col width="12" customWidth="1" style="43" min="7" max="8"/>
    <col width="13" customWidth="1" style="43" min="9" max="9"/>
    <col width="34" customWidth="1" style="43" min="10" max="10"/>
    <col width="22" customWidth="1" style="44" min="11" max="11"/>
    <col width="18" customWidth="1" style="44" min="12" max="12"/>
    <col width="14" customWidth="1" style="44" min="13" max="13"/>
    <col width="18" customWidth="1" style="44" min="14" max="14"/>
    <col width="18" customWidth="1" style="44" min="15" max="15"/>
  </cols>
  <sheetData>
    <row r="1" ht="23.25" customHeight="1" s="44">
      <c r="A1" s="45" t="inlineStr">
        <is>
          <t>Date</t>
        </is>
      </c>
      <c r="B1" s="45" t="inlineStr">
        <is>
          <t>Person</t>
        </is>
      </c>
      <c r="C1" s="45" t="inlineStr">
        <is>
          <t>Company</t>
        </is>
      </c>
      <c r="D1" s="45" t="inlineStr">
        <is>
          <t>Relationship</t>
        </is>
      </c>
      <c r="E1" s="45" t="inlineStr">
        <is>
          <t>Channel</t>
        </is>
      </c>
      <c r="F1" s="45" t="inlineStr">
        <is>
          <t>Purpose</t>
        </is>
      </c>
      <c r="G1" s="45" t="inlineStr">
        <is>
          <t>Message Sent?</t>
        </is>
      </c>
      <c r="H1" s="45" t="inlineStr">
        <is>
          <t>Response?</t>
        </is>
      </c>
      <c r="I1" s="45" t="inlineStr">
        <is>
          <t>Follow-up Date</t>
        </is>
      </c>
      <c r="J1" s="45" t="inlineStr">
        <is>
          <t>Notes</t>
        </is>
      </c>
      <c r="K1" s="79" t="inlineStr">
        <is>
          <t>Application Company Match</t>
        </is>
      </c>
      <c r="L1" s="79" t="inlineStr">
        <is>
          <t>Contact Type</t>
        </is>
      </c>
      <c r="M1" s="79" t="inlineStr">
        <is>
          <t>Warmth</t>
        </is>
      </c>
      <c r="N1" s="79" t="inlineStr">
        <is>
          <t>Outcome</t>
        </is>
      </c>
      <c r="O1" s="79" t="inlineStr">
        <is>
          <t>Linked Application?</t>
        </is>
      </c>
    </row>
    <row r="2" ht="15" customHeight="1" s="44">
      <c r="A2" s="80" t="inlineStr">
        <is>
          <t>2026-07-28</t>
        </is>
      </c>
      <c r="B2" s="80" t="inlineStr">
        <is>
          <t>Maxwell</t>
        </is>
      </c>
      <c r="C2" s="80" t="inlineStr">
        <is>
          <t>PE Recruiting</t>
        </is>
      </c>
      <c r="D2" s="80" t="inlineStr">
        <is>
          <t>Recruiter (active)</t>
        </is>
      </c>
      <c r="E2" s="80" t="inlineStr">
        <is>
          <t>Email</t>
        </is>
      </c>
      <c r="F2" s="80" t="inlineStr">
        <is>
          <t>Check-in on PE value-creation roles</t>
        </is>
      </c>
      <c r="G2" s="80" t="inlineStr">
        <is>
          <t>Yes</t>
        </is>
      </c>
      <c r="H2" s="80" t="n"/>
      <c r="I2" s="80" t="inlineStr">
        <is>
          <t>2026-08-04</t>
        </is>
      </c>
      <c r="J2" s="80" t="inlineStr">
        <is>
          <t>Asked for update on AI leadership searches</t>
        </is>
      </c>
      <c r="K2" s="43">
        <f>IF(COUNTIF(Applications!B:B,C2)&gt;0,"Yes","No")</f>
        <v/>
      </c>
    </row>
    <row r="3" ht="15" customHeight="1" s="44">
      <c r="A3" s="80" t="inlineStr">
        <is>
          <t>2026-08-10</t>
        </is>
      </c>
      <c r="B3" s="80" t="inlineStr">
        <is>
          <t>Poria Kanozi</t>
        </is>
      </c>
      <c r="C3" s="80" t="inlineStr">
        <is>
          <t>Sanofi</t>
        </is>
      </c>
      <c r="D3" s="80" t="inlineStr">
        <is>
          <t>Former MBA classmate (Rotman)</t>
        </is>
      </c>
      <c r="E3" s="80" t="inlineStr">
        <is>
          <t>LinkedIn</t>
        </is>
      </c>
      <c r="F3" s="80" t="inlineStr">
        <is>
          <t>Referral request re: Sanofi roles</t>
        </is>
      </c>
      <c r="G3" s="80" t="inlineStr">
        <is>
          <t>Yes</t>
        </is>
      </c>
      <c r="H3" s="80" t="n"/>
      <c r="I3" s="80" t="inlineStr">
        <is>
          <t>2026-08-17</t>
        </is>
      </c>
      <c r="J3" s="80" t="inlineStr">
        <is>
          <t>Reached out re: Sanofi openings. Note: 4 Sanofi applications already submitted 07/29; AI Capabilities &amp; Portfolio Specialist (R2855687) closed 08/10 - req withdrawn.</t>
        </is>
      </c>
      <c r="K3" s="43">
        <f>IF(COUNTIF(Applications!B:B,C3)&gt;0,"Yes","No")</f>
        <v/>
      </c>
    </row>
    <row r="4" ht="15" customHeight="1" s="44">
      <c r="A4" s="80" t="inlineStr">
        <is>
          <t>2026-08-11</t>
        </is>
      </c>
      <c r="B4" s="80" t="inlineStr">
        <is>
          <t>Coleen McPherson</t>
        </is>
      </c>
      <c r="C4" s="80" t="inlineStr">
        <is>
          <t>S.i. Systems</t>
        </is>
      </c>
      <c r="D4" s="80" t="inlineStr">
        <is>
          <t>Recruiter (agency)</t>
        </is>
      </c>
      <c r="E4" s="80" t="inlineStr">
        <is>
          <t>Email</t>
        </is>
      </c>
      <c r="F4" s="80" t="inlineStr">
        <is>
          <t>Candidate onboarding chat - discuss background &amp; goals</t>
        </is>
      </c>
      <c r="G4" s="80" t="inlineStr">
        <is>
          <t>No</t>
        </is>
      </c>
      <c r="H4" s="80" t="inlineStr">
        <is>
          <t>Inbound</t>
        </is>
      </c>
      <c r="I4" s="80" t="inlineStr">
        <is>
          <t>2026-08-12</t>
        </is>
      </c>
      <c r="J4" s="80" t="inlineStr">
        <is>
          <t>Inbound request 08/11 to schedule intro call. S.i. Systems previously submitted Elena for Scrum Master II (rejected 08/05) and Senior PM Data/AI (applied 08/05). ACTION: respond to book call.</t>
        </is>
      </c>
      <c r="K4" s="43">
        <f>IF(COUNTIF(Applications!B:B,C4)&gt;0,"Yes","No")</f>
        <v/>
      </c>
    </row>
    <row r="5" ht="15" customHeight="1" s="44">
      <c r="A5" s="80" t="inlineStr">
        <is>
          <t>2026-08-11</t>
        </is>
      </c>
      <c r="B5" s="80" t="inlineStr">
        <is>
          <t>Mossavarrahmani ("Shopey")</t>
        </is>
      </c>
      <c r="C5" s="80" t="inlineStr">
        <is>
          <t>Bell Canada (former colleague)</t>
        </is>
      </c>
      <c r="D5" s="80" t="inlineStr">
        <is>
          <t>Former Bell Canada colleague</t>
        </is>
      </c>
      <c r="E5" s="80" t="inlineStr">
        <is>
          <t>Email</t>
        </is>
      </c>
      <c r="F5" s="80" t="inlineStr">
        <is>
          <t>Professional reference request</t>
        </is>
      </c>
      <c r="G5" s="80" t="inlineStr">
        <is>
          <t>Yes</t>
        </is>
      </c>
      <c r="H5" s="80" t="inlineStr">
        <is>
          <t>Yes</t>
        </is>
      </c>
      <c r="I5" s="80" t="n"/>
      <c r="J5" s="80" t="inlineStr">
        <is>
          <t>Reached out 08/11 4:43pm after original contact Sunny was no longer with Bell. Shopey (Mossavarrahmani) responded same day 4:48pm, agreed to serve as reference - asked Elena to send resume and relevant info. ACTION: send resume + context on the role(s) being referenced for.</t>
        </is>
      </c>
      <c r="K5" s="43">
        <f>IF(COUNTIF(Applications!B:B,C5)&gt;0,"Yes","No")</f>
        <v/>
      </c>
    </row>
    <row r="6" ht="15" customHeight="1" s="44">
      <c r="A6" s="80" t="inlineStr">
        <is>
          <t>2026-07-01</t>
        </is>
      </c>
      <c r="B6" s="80" t="inlineStr">
        <is>
          <t>David Garcia</t>
        </is>
      </c>
      <c r="C6" s="80" t="inlineStr">
        <is>
          <t>Xplore Inc.</t>
        </is>
      </c>
      <c r="D6" s="80" t="inlineStr">
        <is>
          <t>Director, Business Transformation Office — internal contact/referral source</t>
        </is>
      </c>
      <c r="E6" s="80" t="inlineStr">
        <is>
          <t>Email</t>
        </is>
      </c>
      <c r="F6" s="80" t="inlineStr">
        <is>
          <t>Referral / internal advocacy for open role</t>
        </is>
      </c>
      <c r="G6" s="80" t="inlineStr">
        <is>
          <t>Yes</t>
        </is>
      </c>
      <c r="H6" s="80" t="inlineStr">
        <is>
          <t>Yes</t>
        </is>
      </c>
      <c r="I6" s="80" t="n"/>
      <c r="J6" s="80" t="inlineStr">
        <is>
          <t>NOTE: Xplore Inc. (David's employer) is a DIFFERENT company from Xplor Technologies (Director, Transformation application, rejected 08/20) — do not conflate. Timeline: 07/01 Elena sent updated resume to David per prior conversation; David agreed to share with IT team same day. 07/17 Elena followed up for status; David responded he had not heard back from "Blayne" (hiring contact), noted Blayne was on vacation, said he'd follow up in office. 08/2026: David followed up unprompted — said he spoke to Blayne who "seemed to recognize" Elena's name, assumed Blayne would have reached out directly; David will check again next time he sees Blayne in office. STATUS: warm, ongoing internal referral — no direct hiring manager contact yet despite 2+ months of David's advocacy. ACTION: consider a polite, brief direct outreach to Blayne if David's next follow-up doesn't produce a connection, since Blayne apparently already recognizes the name.</t>
        </is>
      </c>
      <c r="K6" s="43">
        <f>IF(COUNTIF(Applications!B:B,C6)&gt;0,"Yes","No")</f>
        <v/>
      </c>
    </row>
    <row r="7" ht="15" customHeight="1" s="44">
      <c r="A7" s="80" t="inlineStr">
        <is>
          <t>2026-08-21</t>
        </is>
      </c>
      <c r="B7" s="80" t="inlineStr">
        <is>
          <t>Ayush Aman</t>
        </is>
      </c>
      <c r="C7" s="80" t="inlineStr">
        <is>
          <t>Intone Networks (staffing agency)</t>
        </is>
      </c>
      <c r="D7" s="80" t="inlineStr">
        <is>
          <t>Technical Recruiter</t>
        </is>
      </c>
      <c r="E7" s="80" t="inlineStr">
        <is>
          <t>Email</t>
        </is>
      </c>
      <c r="F7" s="80" t="inlineStr">
        <is>
          <t>Inbound role pitch — Project Manager, contract (Job #1471127)</t>
        </is>
      </c>
      <c r="G7" s="80" t="inlineStr">
        <is>
          <t>Yes (inbound)</t>
        </is>
      </c>
      <c r="H7" s="80" t="inlineStr">
        <is>
          <t>No</t>
        </is>
      </c>
      <c r="I7" s="80" t="n"/>
      <c r="J7" s="80" t="inlineStr">
        <is>
          <t>Unsolicited outreach 2026-08-21 4:58pm ET. Role: Project Manager, HYBRID Philadelphia PA (onsite Tue-Thu), 6-month contract w/ possible extension/conversion (no sponsorship). NOT RECOMMENDED: (1) requires candidate currently located in PA/NJ/DE — Elena is Toronto-based; (2) requires Healthcare Insurance/Payer background specifically — not in Elena's history. No response sent; declining to pursue given hard location and domain mismatches.</t>
        </is>
      </c>
      <c r="K7" s="43">
        <f>IF(COUNTIF(Applications!B:B,C7)&gt;0,"Yes","No")</f>
        <v/>
      </c>
    </row>
    <row r="8" ht="15" customHeight="1" s="44">
      <c r="A8" s="81" t="n">
        <v>46260</v>
      </c>
      <c r="B8" s="80" t="inlineStr">
        <is>
          <t>Carleton Green</t>
        </is>
      </c>
      <c r="C8" s="80" t="inlineStr">
        <is>
          <t>Microsoft</t>
        </is>
      </c>
      <c r="D8" s="80" t="inlineStr">
        <is>
          <t>Recruiter</t>
        </is>
      </c>
      <c r="E8" s="80" t="inlineStr">
        <is>
          <t>LinkedIn</t>
        </is>
      </c>
      <c r="F8" s="80" t="inlineStr">
        <is>
          <t>Introduce interest in Business Program Manager role (Job #200048307, CISO/MSR Financial Operations)</t>
        </is>
      </c>
      <c r="G8" s="80" t="inlineStr">
        <is>
          <t>Yes</t>
        </is>
      </c>
      <c r="H8" s="80" t="inlineStr">
        <is>
          <t>Yes - replied</t>
        </is>
      </c>
      <c r="I8" s="80" t="n"/>
      <c r="J8" s="80" t="inlineStr">
        <is>
          <t>Sent direct outreach message summarizing background (Bell Canada TCO governance, Price &amp; Pay business case, Amazon/IBM program execution) tied to the JD. Awaiting response. RESPONSE 2026-08-28: Carleton confirmed interest in Elena's background, but clarified the role is U.S.-based only and requires working from the U.S. (not remote from Canada). Asked if Elena is open to relocating. Awaiting Elena's decision/reply.</t>
        </is>
      </c>
      <c r="K8" s="43">
        <f>IF(COUNTIF(Applications!B:B,C8)&gt;0,"Yes","No")</f>
        <v/>
      </c>
    </row>
    <row r="9" ht="15" customHeight="1" s="44">
      <c r="A9" s="81" t="n">
        <v>46262</v>
      </c>
      <c r="B9" s="80" t="inlineStr">
        <is>
          <t>Lani (Bettis) Melo</t>
        </is>
      </c>
      <c r="C9" s="80" t="inlineStr">
        <is>
          <t>eBay</t>
        </is>
      </c>
      <c r="D9" s="80" t="inlineStr">
        <is>
          <t>Hiring Manager</t>
        </is>
      </c>
      <c r="E9" s="80" t="inlineStr">
        <is>
          <t>LinkedIn</t>
        </is>
      </c>
      <c r="F9" s="80" t="inlineStr">
        <is>
          <t>Introduce interest in Program Manager (PMO), FC Acceleration role (Global Focus Categories team)</t>
        </is>
      </c>
      <c r="G9" s="80" t="inlineStr">
        <is>
          <t>Yes</t>
        </is>
      </c>
      <c r="H9" s="80" t="inlineStr">
        <is>
          <t>Pending</t>
        </is>
      </c>
      <c r="I9" s="80" t="n"/>
      <c r="J9" s="80" t="inlineStr">
        <is>
          <t>Sent direct outreach message summarizing background (Bell Canada governance/program-tracking work, Amazon multi-program execution, software dev foundation) tied to the JD. Awaiting response.</t>
        </is>
      </c>
      <c r="K9" s="43">
        <f>IF(COUNTIF(Applications!B:B,C9)&gt;0,"Yes","No")</f>
        <v/>
      </c>
    </row>
    <row r="10" ht="15" customHeight="1" s="44">
      <c r="A10" s="81" t="n">
        <v>46262</v>
      </c>
      <c r="B10" s="80" t="inlineStr">
        <is>
          <t>Samuel Pivnick</t>
        </is>
      </c>
      <c r="C10" s="80" t="inlineStr">
        <is>
          <t>Harvey</t>
        </is>
      </c>
      <c r="D10" s="80" t="inlineStr">
        <is>
          <t>Unknown (Toronto-based contact)</t>
        </is>
      </c>
      <c r="E10" s="80" t="inlineStr">
        <is>
          <t>LinkedIn</t>
        </is>
      </c>
      <c r="F10" s="80" t="inlineStr">
        <is>
          <t>General networking - learn about Harvey and Samuel's experience there; no specific role targeted</t>
        </is>
      </c>
      <c r="G10" s="80" t="inlineStr">
        <is>
          <t>Yes</t>
        </is>
      </c>
      <c r="H10" s="80" t="inlineStr">
        <is>
          <t>Pending</t>
        </is>
      </c>
      <c r="I10" s="80" t="n"/>
      <c r="J10" s="80" t="inlineStr">
        <is>
          <t>Sent general-interest outreach message (not tied to a specific open role) summarizing background (Bell Canada AI roadmap/governance work) and asking to connect re: Harvey and its direction. Awaiting response.</t>
        </is>
      </c>
      <c r="K10" s="43">
        <f>IF(COUNTIF(Applications!B:B,C10)&gt;0,"Yes","No")</f>
        <v/>
      </c>
    </row>
    <row r="200" ht="15" customHeight="1" s="44">
      <c r="A200" s="75" t="inlineStr">
        <is>
          <t>Target: 10 outreach touches per week. Row 2 is an example — replace it.</t>
        </is>
      </c>
    </row>
  </sheetData>
  <dataValidations count="4">
    <dataValidation sqref="L2:L200" showDropDown="0" showInputMessage="0" showErrorMessage="0" allowBlank="1" type="list">
      <formula1>"Recruiter,Hiring Manager,HM Manager,Functional Peer,Warm Connector,Internal Advocate,Other"</formula1>
    </dataValidation>
    <dataValidation sqref="M2:M200" showDropDown="0" showInputMessage="0" showErrorMessage="0" allowBlank="1" type="list">
      <formula1>"Cold,2nd Degree,Warm,Strong Advocate"</formula1>
    </dataValidation>
    <dataValidation sqref="N2:N200" showDropDown="0" showInputMessage="0" showErrorMessage="0" allowBlank="1" type="list">
      <formula1>"No Response,Connected,Replied,Referred,Recruiter Screen,Interview,Closed"</formula1>
    </dataValidation>
    <dataValidation sqref="O2:O200" showDropDown="0" showInputMessage="0" showErrorMessage="0" allowBlank="1" type="list">
      <formula1>"Yes,No"</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H79"/>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6796875" defaultRowHeight="15" zeroHeight="0" outlineLevelRow="0"/>
  <cols>
    <col width="12" customWidth="1" style="43" min="1" max="1"/>
    <col width="18" customWidth="1" style="43" min="2" max="2"/>
    <col width="45" customWidth="1" style="43" min="3" max="3"/>
    <col width="12" customWidth="1" style="43" min="4" max="5"/>
    <col width="16" customWidth="1" style="43" min="6" max="6"/>
  </cols>
  <sheetData>
    <row r="1" ht="15.75" customHeight="1" s="44">
      <c r="A1" s="71" t="inlineStr">
        <is>
          <t>Target Profile: Canada + No Sponsorship Needed + 70%+ Fit Score</t>
        </is>
      </c>
    </row>
    <row r="2" ht="15" customHeight="1" s="44">
      <c r="A2" s="75" t="inlineStr">
        <is>
          <t>Canada-based roles requiring no sponsorship, scored 70%+ fit. Use these as templates for where to focus new applications.</t>
        </is>
      </c>
    </row>
    <row r="4" ht="15" customHeight="1" s="44">
      <c r="A4" s="45" t="inlineStr">
        <is>
          <t>Date Applied</t>
        </is>
      </c>
      <c r="B4" s="45" t="inlineStr">
        <is>
          <t>Company</t>
        </is>
      </c>
      <c r="C4" s="45" t="inlineStr">
        <is>
          <t>Role Title</t>
        </is>
      </c>
      <c r="D4" s="45" t="inlineStr">
        <is>
          <t>Fit Score (%)</t>
        </is>
      </c>
      <c r="E4" s="45" t="inlineStr">
        <is>
          <t>Channel</t>
        </is>
      </c>
      <c r="F4" s="45" t="inlineStr">
        <is>
          <t>Status</t>
        </is>
      </c>
    </row>
    <row r="5" ht="15" customHeight="1" s="44">
      <c r="A5" s="82" t="n">
        <v>46056</v>
      </c>
      <c r="B5" s="83" t="inlineStr">
        <is>
          <t>McKesson</t>
        </is>
      </c>
      <c r="C5" s="83" t="inlineStr">
        <is>
          <t>Technical Program Manager – AI/ML Initiatives (JR0140444)</t>
        </is>
      </c>
      <c r="D5" s="83" t="n">
        <v>80</v>
      </c>
      <c r="E5" s="83" t="inlineStr">
        <is>
          <t>Cold Portal</t>
        </is>
      </c>
      <c r="F5" s="83" t="inlineStr">
        <is>
          <t>Rejected</t>
        </is>
      </c>
    </row>
    <row r="6" ht="15" customHeight="1" s="44">
      <c r="A6" s="82" t="n">
        <v>46110</v>
      </c>
      <c r="B6" s="83" t="inlineStr">
        <is>
          <t>RBC</t>
        </is>
      </c>
      <c r="C6" s="83" t="inlineStr">
        <is>
          <t>Director of Program Management, Marketplace Delivery</t>
        </is>
      </c>
      <c r="D6" s="83" t="n">
        <v>78</v>
      </c>
      <c r="E6" s="83" t="inlineStr">
        <is>
          <t>Cold Portal</t>
        </is>
      </c>
      <c r="F6" s="83" t="inlineStr">
        <is>
          <t>Applied</t>
        </is>
      </c>
    </row>
    <row r="7" ht="15" customHeight="1" s="44">
      <c r="A7" s="82" t="n">
        <v>46113</v>
      </c>
      <c r="B7" s="83" t="inlineStr">
        <is>
          <t>Loblaw Digital</t>
        </is>
      </c>
      <c r="C7" s="83" t="inlineStr">
        <is>
          <t>Senior Technical Program Manager</t>
        </is>
      </c>
      <c r="D7" s="83" t="n">
        <v>75</v>
      </c>
      <c r="E7" s="83" t="inlineStr">
        <is>
          <t>Cold Portal</t>
        </is>
      </c>
      <c r="F7" s="83" t="inlineStr">
        <is>
          <t>Rejected</t>
        </is>
      </c>
    </row>
    <row r="8" ht="15" customHeight="1" s="44">
      <c r="A8" s="82" t="n">
        <v>46122</v>
      </c>
      <c r="B8" s="83" t="inlineStr">
        <is>
          <t>McKesson</t>
        </is>
      </c>
      <c r="C8" s="83" t="inlineStr">
        <is>
          <t>Principal Program Manager (JR0144844)</t>
        </is>
      </c>
      <c r="D8" s="83" t="n">
        <v>82</v>
      </c>
      <c r="E8" s="83" t="inlineStr">
        <is>
          <t>Cold Portal</t>
        </is>
      </c>
      <c r="F8" s="83" t="inlineStr">
        <is>
          <t>Rejected</t>
        </is>
      </c>
    </row>
    <row r="9" ht="15" customHeight="1" s="44">
      <c r="A9" s="82" t="n">
        <v>46178</v>
      </c>
      <c r="B9" s="83" t="inlineStr">
        <is>
          <t>goeasy Ltd.</t>
        </is>
      </c>
      <c r="C9" s="83" t="inlineStr">
        <is>
          <t>Director, Project Delivery Office</t>
        </is>
      </c>
      <c r="D9" s="83" t="n">
        <v>78</v>
      </c>
      <c r="E9" s="83" t="inlineStr">
        <is>
          <t>LinkedIn</t>
        </is>
      </c>
      <c r="F9" s="83" t="inlineStr">
        <is>
          <t>Ghosted (30d+)</t>
        </is>
      </c>
    </row>
    <row r="10" ht="15" customHeight="1" s="44">
      <c r="A10" s="82" t="n">
        <v>46180</v>
      </c>
      <c r="B10" s="83" t="inlineStr">
        <is>
          <t>RBC</t>
        </is>
      </c>
      <c r="C10" s="83" t="inlineStr">
        <is>
          <t>Director, Business Portfolio and Delivery Management</t>
        </is>
      </c>
      <c r="D10" s="83" t="n">
        <v>74</v>
      </c>
      <c r="E10" s="83" t="inlineStr">
        <is>
          <t>Cold Portal</t>
        </is>
      </c>
      <c r="F10" s="83" t="inlineStr">
        <is>
          <t>Applied</t>
        </is>
      </c>
    </row>
    <row r="11" ht="15" customHeight="1" s="44">
      <c r="A11" s="82" t="n">
        <v>46181</v>
      </c>
      <c r="B11" s="83" t="inlineStr">
        <is>
          <t>RBC</t>
        </is>
      </c>
      <c r="C11" s="83" t="inlineStr">
        <is>
          <t>Senior Manager, Program Management - AI &amp; Digital Transformation</t>
        </is>
      </c>
      <c r="D11" s="83" t="n">
        <v>80</v>
      </c>
      <c r="E11" s="83" t="inlineStr">
        <is>
          <t>Cold Portal</t>
        </is>
      </c>
      <c r="F11" s="83" t="inlineStr">
        <is>
          <t>Ghosted (30d+)</t>
        </is>
      </c>
    </row>
    <row r="12" ht="15" customHeight="1" s="44">
      <c r="A12" s="82" t="n">
        <v>46184</v>
      </c>
      <c r="B12" s="83" t="inlineStr">
        <is>
          <t>Walmart Canada</t>
        </is>
      </c>
      <c r="C12" s="83" t="inlineStr">
        <is>
          <t>Delivery/TPM role</t>
        </is>
      </c>
      <c r="D12" s="83" t="n">
        <v>70</v>
      </c>
      <c r="E12" s="83" t="inlineStr">
        <is>
          <t>Cold Portal</t>
        </is>
      </c>
      <c r="F12" s="83" t="inlineStr">
        <is>
          <t>Ghosted (30d+)</t>
        </is>
      </c>
    </row>
    <row r="13" ht="15" customHeight="1" s="44">
      <c r="A13" s="82" t="n">
        <v>46185</v>
      </c>
      <c r="B13" s="83" t="inlineStr">
        <is>
          <t>Canadian Tire</t>
        </is>
      </c>
      <c r="C13" s="83" t="inlineStr">
        <is>
          <t>Delivery Program Manager</t>
        </is>
      </c>
      <c r="D13" s="83" t="n">
        <v>70</v>
      </c>
      <c r="E13" s="83" t="inlineStr">
        <is>
          <t>Cold Portal</t>
        </is>
      </c>
      <c r="F13" s="83" t="inlineStr">
        <is>
          <t>Ghosted (30d+)</t>
        </is>
      </c>
    </row>
    <row r="14" ht="15" customHeight="1" s="44">
      <c r="A14" s="82" t="n">
        <v>46208</v>
      </c>
      <c r="B14" s="83" t="inlineStr">
        <is>
          <t>J.D. Power</t>
        </is>
      </c>
      <c r="C14" s="83" t="inlineStr">
        <is>
          <t>Head of AI Enablement</t>
        </is>
      </c>
      <c r="D14" s="83" t="n">
        <v>72</v>
      </c>
      <c r="E14" s="83" t="inlineStr">
        <is>
          <t>LinkedIn</t>
        </is>
      </c>
      <c r="F14" s="83" t="inlineStr">
        <is>
          <t>Rejected</t>
        </is>
      </c>
    </row>
    <row r="15" ht="15" customHeight="1" s="44">
      <c r="A15" s="82" t="n">
        <v>46208</v>
      </c>
      <c r="B15" s="83" t="inlineStr">
        <is>
          <t>eBay</t>
        </is>
      </c>
      <c r="C15" s="83" t="inlineStr">
        <is>
          <t>Director, AI Workflow Transformation</t>
        </is>
      </c>
      <c r="D15" s="83" t="n">
        <v>76</v>
      </c>
      <c r="E15" s="83" t="inlineStr">
        <is>
          <t>LinkedIn</t>
        </is>
      </c>
      <c r="F15" s="83" t="inlineStr">
        <is>
          <t>Ghosted (30d+)</t>
        </is>
      </c>
    </row>
    <row r="16" ht="15" customHeight="1" s="44">
      <c r="A16" s="82" t="n">
        <v>46220</v>
      </c>
      <c r="B16" s="83" t="inlineStr">
        <is>
          <t>TD Bank</t>
        </is>
      </c>
      <c r="C16" s="83" t="inlineStr">
        <is>
          <t>AVP, Business Architecture &amp; Transformation, TD Insurance</t>
        </is>
      </c>
      <c r="D16" s="83" t="n">
        <v>75</v>
      </c>
      <c r="E16" s="83" t="inlineStr">
        <is>
          <t>Cold Portal</t>
        </is>
      </c>
      <c r="F16" s="83" t="inlineStr">
        <is>
          <t>Applied</t>
        </is>
      </c>
    </row>
    <row r="17" ht="15" customHeight="1" s="44">
      <c r="A17" s="82" t="n">
        <v>46220</v>
      </c>
      <c r="B17" s="83" t="inlineStr">
        <is>
          <t>(Indeed)</t>
        </is>
      </c>
      <c r="C17" s="83" t="inlineStr">
        <is>
          <t>Digital Transformation &amp; AI Director</t>
        </is>
      </c>
      <c r="D17" s="83" t="n">
        <v>70</v>
      </c>
      <c r="E17" s="83" t="inlineStr">
        <is>
          <t>Cold Portal</t>
        </is>
      </c>
      <c r="F17" s="83" t="inlineStr">
        <is>
          <t>Applied</t>
        </is>
      </c>
    </row>
    <row r="18" ht="15" customHeight="1" s="44">
      <c r="A18" s="82" t="n">
        <v>46223</v>
      </c>
      <c r="B18" s="83" t="inlineStr">
        <is>
          <t>S.i. Systems</t>
        </is>
      </c>
      <c r="C18" s="83" t="inlineStr">
        <is>
          <t>PM - Capital Markets/AI/data platforms</t>
        </is>
      </c>
      <c r="D18" s="83" t="n">
        <v>70</v>
      </c>
      <c r="E18" s="83" t="inlineStr">
        <is>
          <t>Recruiter</t>
        </is>
      </c>
      <c r="F18" s="83" t="inlineStr">
        <is>
          <t>Applied</t>
        </is>
      </c>
    </row>
    <row r="19" ht="15" customHeight="1" s="44">
      <c r="A19" s="82" t="n">
        <v>46223</v>
      </c>
      <c r="B19" s="83" t="inlineStr">
        <is>
          <t>S.i. Systems</t>
        </is>
      </c>
      <c r="C19" s="83" t="inlineStr">
        <is>
          <t>Senior Agile PM, ServiceNow</t>
        </is>
      </c>
      <c r="D19" s="83" t="n">
        <v>75</v>
      </c>
      <c r="E19" s="83" t="inlineStr">
        <is>
          <t>Recruiter</t>
        </is>
      </c>
      <c r="F19" s="83" t="inlineStr">
        <is>
          <t>Closed</t>
        </is>
      </c>
    </row>
    <row r="20" ht="15" customHeight="1" s="44">
      <c r="A20" s="82" t="n">
        <v>46223</v>
      </c>
      <c r="B20" s="83" t="inlineStr">
        <is>
          <t>S.i. Systems</t>
        </is>
      </c>
      <c r="C20" s="83" t="inlineStr">
        <is>
          <t>Sr Technical Transformation PM - ERP</t>
        </is>
      </c>
      <c r="D20" s="83" t="n">
        <v>70</v>
      </c>
      <c r="E20" s="83" t="inlineStr">
        <is>
          <t>Recruiter</t>
        </is>
      </c>
      <c r="F20" s="83" t="inlineStr">
        <is>
          <t>Rejected</t>
        </is>
      </c>
    </row>
    <row r="21" ht="15" customHeight="1" s="44">
      <c r="A21" s="82" t="n">
        <v>46223</v>
      </c>
      <c r="B21" s="83" t="inlineStr">
        <is>
          <t>eBay</t>
        </is>
      </c>
      <c r="C21" s="83" t="inlineStr">
        <is>
          <t>Technical Program Manager, Search</t>
        </is>
      </c>
      <c r="D21" s="83" t="n">
        <v>80</v>
      </c>
      <c r="E21" s="83" t="inlineStr">
        <is>
          <t>Cold Portal</t>
        </is>
      </c>
      <c r="F21" s="83" t="inlineStr">
        <is>
          <t>Rejected</t>
        </is>
      </c>
    </row>
    <row r="22" ht="15" customHeight="1" s="44">
      <c r="A22" s="82" t="n">
        <v>46224</v>
      </c>
      <c r="B22" s="83" t="inlineStr">
        <is>
          <t>Shakudo</t>
        </is>
      </c>
      <c r="C22" s="83" t="inlineStr">
        <is>
          <t>Senior Engagement Manager</t>
        </is>
      </c>
      <c r="D22" s="83" t="n">
        <v>75</v>
      </c>
      <c r="E22" s="83" t="inlineStr">
        <is>
          <t>Cold Portal</t>
        </is>
      </c>
      <c r="F22" s="83" t="inlineStr">
        <is>
          <t>Rejected</t>
        </is>
      </c>
    </row>
    <row r="23" ht="15" customHeight="1" s="44">
      <c r="A23" s="82" t="n">
        <v>46224</v>
      </c>
      <c r="B23" s="83" t="inlineStr">
        <is>
          <t>Vector Institute</t>
        </is>
      </c>
      <c r="C23" s="83" t="inlineStr">
        <is>
          <t>Senior Project Manager</t>
        </is>
      </c>
      <c r="D23" s="83" t="n">
        <v>80</v>
      </c>
      <c r="E23" s="83" t="inlineStr">
        <is>
          <t>Cold Portal</t>
        </is>
      </c>
      <c r="F23" s="83" t="inlineStr">
        <is>
          <t>Closed</t>
        </is>
      </c>
    </row>
    <row r="24" ht="15" customHeight="1" s="44">
      <c r="A24" s="82" t="n">
        <v>46224</v>
      </c>
      <c r="B24" s="83" t="inlineStr">
        <is>
          <t>S.i. Systems</t>
        </is>
      </c>
      <c r="C24" s="83" t="inlineStr">
        <is>
          <t>Sr. PM</t>
        </is>
      </c>
      <c r="D24" s="83" t="n">
        <v>70</v>
      </c>
      <c r="E24" s="83" t="inlineStr">
        <is>
          <t>Recruiter</t>
        </is>
      </c>
      <c r="F24" s="83" t="inlineStr">
        <is>
          <t>Applied</t>
        </is>
      </c>
    </row>
    <row r="25" ht="15" customHeight="1" s="44">
      <c r="A25" s="82" t="n">
        <v>46225</v>
      </c>
      <c r="B25" s="83" t="inlineStr">
        <is>
          <t>Slalom</t>
        </is>
      </c>
      <c r="C25" s="83" t="inlineStr">
        <is>
          <t>Data &amp; AI - Data Program Delivery Lead</t>
        </is>
      </c>
      <c r="D25" s="83" t="n">
        <v>85</v>
      </c>
      <c r="E25" s="83" t="inlineStr">
        <is>
          <t>Cold Portal</t>
        </is>
      </c>
      <c r="F25" s="83" t="inlineStr">
        <is>
          <t>Rejected</t>
        </is>
      </c>
    </row>
    <row r="26" ht="15" customHeight="1" s="44">
      <c r="A26" s="82" t="n">
        <v>46226</v>
      </c>
      <c r="B26" s="83" t="inlineStr">
        <is>
          <t>PepsiCo</t>
        </is>
      </c>
      <c r="C26" s="83" t="inlineStr">
        <is>
          <t>Data &amp; AI Platforms Program role</t>
        </is>
      </c>
      <c r="D26" s="83" t="n">
        <v>75</v>
      </c>
      <c r="E26" s="83" t="inlineStr">
        <is>
          <t>Cold Portal</t>
        </is>
      </c>
      <c r="F26" s="83" t="inlineStr">
        <is>
          <t>Applied</t>
        </is>
      </c>
    </row>
    <row r="27" ht="15" customHeight="1" s="44">
      <c r="A27" s="82" t="n">
        <v>46230</v>
      </c>
      <c r="B27" s="83" t="inlineStr">
        <is>
          <t>Walmart Canada</t>
        </is>
      </c>
      <c r="C27" s="83" t="inlineStr">
        <is>
          <t>(CAN) Senior Manager, TPM</t>
        </is>
      </c>
      <c r="D27" s="83" t="n">
        <v>75</v>
      </c>
      <c r="E27" s="83" t="inlineStr">
        <is>
          <t>Cold Portal</t>
        </is>
      </c>
      <c r="F27" s="83" t="inlineStr">
        <is>
          <t>Rejected</t>
        </is>
      </c>
    </row>
    <row r="28" ht="15" customHeight="1" s="44">
      <c r="A28" s="82" t="n">
        <v>46232</v>
      </c>
      <c r="B28" s="83" t="inlineStr">
        <is>
          <t>S.i. Systems</t>
        </is>
      </c>
      <c r="C28" s="83" t="inlineStr">
        <is>
          <t>Agile Lead - PMO - Analytics and Data Products</t>
        </is>
      </c>
      <c r="D28" s="83" t="n">
        <v>75</v>
      </c>
      <c r="E28" s="83" t="inlineStr">
        <is>
          <t>Recruiter</t>
        </is>
      </c>
      <c r="F28" s="83" t="inlineStr">
        <is>
          <t>Rejected</t>
        </is>
      </c>
    </row>
    <row r="29" ht="15" customHeight="1" s="44">
      <c r="A29" s="82" t="n">
        <v>46232</v>
      </c>
      <c r="B29" s="83" t="inlineStr">
        <is>
          <t>S.i. Systems</t>
        </is>
      </c>
      <c r="C29" s="83" t="inlineStr">
        <is>
          <t>Sr Program Manager - digital asset technology</t>
        </is>
      </c>
      <c r="D29" s="83" t="n">
        <v>70</v>
      </c>
      <c r="E29" s="83" t="inlineStr">
        <is>
          <t>Recruiter</t>
        </is>
      </c>
      <c r="F29" s="83" t="inlineStr">
        <is>
          <t>Rejected</t>
        </is>
      </c>
    </row>
    <row r="30" ht="15" customHeight="1" s="44">
      <c r="A30" s="82" t="n">
        <v>46232</v>
      </c>
      <c r="B30" s="83" t="inlineStr">
        <is>
          <t>Moneris</t>
        </is>
      </c>
      <c r="C30" s="83" t="inlineStr">
        <is>
          <t>Director, Business Transformation</t>
        </is>
      </c>
      <c r="D30" s="83" t="n">
        <v>80</v>
      </c>
      <c r="E30" s="83" t="inlineStr">
        <is>
          <t>Cold Portal</t>
        </is>
      </c>
      <c r="F30" s="83" t="inlineStr">
        <is>
          <t>Rejected</t>
        </is>
      </c>
    </row>
    <row r="31" ht="15" customHeight="1" s="44">
      <c r="A31" s="82" t="n">
        <v>46233</v>
      </c>
      <c r="B31" s="83" t="inlineStr">
        <is>
          <t>Walmart Canada</t>
        </is>
      </c>
      <c r="C31" s="83" t="inlineStr">
        <is>
          <t>Director, Data Delivery (CA)</t>
        </is>
      </c>
      <c r="D31" s="83" t="n">
        <v>75</v>
      </c>
      <c r="E31" s="83" t="inlineStr">
        <is>
          <t>Cold Portal</t>
        </is>
      </c>
      <c r="F31" s="83" t="inlineStr">
        <is>
          <t>Applied</t>
        </is>
      </c>
    </row>
    <row r="32" ht="15" customHeight="1" s="44">
      <c r="A32" s="82" t="n">
        <v>46233</v>
      </c>
      <c r="B32" s="83" t="inlineStr">
        <is>
          <t>RBC</t>
        </is>
      </c>
      <c r="C32" s="83" t="inlineStr">
        <is>
          <t>Director, Program Delivery</t>
        </is>
      </c>
      <c r="D32" s="83" t="n">
        <v>72</v>
      </c>
      <c r="E32" s="83" t="inlineStr">
        <is>
          <t>Cold Portal</t>
        </is>
      </c>
      <c r="F32" s="83" t="inlineStr">
        <is>
          <t>Applied</t>
        </is>
      </c>
    </row>
    <row r="33" ht="15" customHeight="1" s="44">
      <c r="A33" s="82" t="n">
        <v>46233</v>
      </c>
      <c r="B33" s="83" t="inlineStr">
        <is>
          <t>Chubb</t>
        </is>
      </c>
      <c r="C33" s="83" t="inlineStr">
        <is>
          <t>Lead, AI Program Management</t>
        </is>
      </c>
      <c r="D33" s="83" t="n">
        <v>82</v>
      </c>
      <c r="E33" s="83" t="inlineStr">
        <is>
          <t>LinkedIn</t>
        </is>
      </c>
      <c r="F33" s="83" t="inlineStr">
        <is>
          <t>Rejected</t>
        </is>
      </c>
    </row>
    <row r="34" ht="15" customHeight="1" s="44">
      <c r="A34" s="82" t="n">
        <v>46237</v>
      </c>
      <c r="B34" s="83" t="inlineStr">
        <is>
          <t>Waterloo Regional Health Network (WRHN)</t>
        </is>
      </c>
      <c r="C34" s="83" t="inlineStr">
        <is>
          <t>AI Portfolio &amp; Delivery Office Lead</t>
        </is>
      </c>
      <c r="D34" s="83" t="n">
        <v>75</v>
      </c>
      <c r="E34" s="83" t="inlineStr">
        <is>
          <t>Cold Portal</t>
        </is>
      </c>
      <c r="F34" s="83" t="inlineStr">
        <is>
          <t>Applied</t>
        </is>
      </c>
    </row>
    <row r="35" ht="15" customHeight="1" s="44">
      <c r="A35" s="82" t="n">
        <v>46237</v>
      </c>
      <c r="B35" s="83" t="inlineStr">
        <is>
          <t>Scott Mission</t>
        </is>
      </c>
      <c r="C35" s="83" t="inlineStr">
        <is>
          <t>Digital Transformation &amp; AI Director</t>
        </is>
      </c>
      <c r="D35" s="83" t="n">
        <v>76</v>
      </c>
      <c r="E35" s="83" t="inlineStr">
        <is>
          <t>LinkedIn</t>
        </is>
      </c>
      <c r="F35" s="83" t="inlineStr">
        <is>
          <t>Applied</t>
        </is>
      </c>
    </row>
    <row r="36" ht="15" customHeight="1" s="44">
      <c r="A36" s="82" t="n">
        <v>46238</v>
      </c>
      <c r="B36" s="83" t="inlineStr">
        <is>
          <t>Loblaw Digital</t>
        </is>
      </c>
      <c r="C36" s="83" t="inlineStr">
        <is>
          <t>Senior Manager, Technical Program Management</t>
        </is>
      </c>
      <c r="D36" s="83" t="n">
        <v>78</v>
      </c>
      <c r="E36" s="83" t="inlineStr">
        <is>
          <t>Cold Portal</t>
        </is>
      </c>
      <c r="F36" s="83" t="inlineStr">
        <is>
          <t>Rejected</t>
        </is>
      </c>
    </row>
    <row r="37" ht="15" customHeight="1" s="44">
      <c r="A37" s="82" t="n">
        <v>46238</v>
      </c>
      <c r="B37" s="83" t="inlineStr">
        <is>
          <t>Loblaw Digital</t>
        </is>
      </c>
      <c r="C37" s="83" t="inlineStr">
        <is>
          <t>Senior Technical Program Manager</t>
        </is>
      </c>
      <c r="D37" s="83" t="n">
        <v>82</v>
      </c>
      <c r="E37" s="83" t="inlineStr">
        <is>
          <t>Cold Portal</t>
        </is>
      </c>
      <c r="F37" s="83" t="inlineStr">
        <is>
          <t>Rejected</t>
        </is>
      </c>
    </row>
    <row r="38" ht="15" customHeight="1" s="44">
      <c r="A38" s="82" t="n">
        <v>46239</v>
      </c>
      <c r="B38" s="83" t="inlineStr">
        <is>
          <t>RBC</t>
        </is>
      </c>
      <c r="C38" s="83" t="inlineStr">
        <is>
          <t>Director, AI Program Management</t>
        </is>
      </c>
      <c r="D38" s="83" t="n">
        <v>80</v>
      </c>
      <c r="E38" s="83" t="inlineStr">
        <is>
          <t>Cold Portal</t>
        </is>
      </c>
      <c r="F38" s="83" t="inlineStr">
        <is>
          <t>Applied</t>
        </is>
      </c>
    </row>
    <row r="39" ht="15" customHeight="1" s="44">
      <c r="A39" s="82" t="n">
        <v>46239</v>
      </c>
      <c r="B39" s="83" t="inlineStr">
        <is>
          <t>S.i. Systems (staffing agency)</t>
        </is>
      </c>
      <c r="C39" s="83" t="inlineStr">
        <is>
          <t>Senior Project Manager - Data, AI &amp; Technology Transformation</t>
        </is>
      </c>
      <c r="D39" s="83" t="n">
        <v>70</v>
      </c>
      <c r="E39" s="83" t="inlineStr">
        <is>
          <t>Recruiter</t>
        </is>
      </c>
      <c r="F39" s="83" t="inlineStr">
        <is>
          <t>Applied</t>
        </is>
      </c>
    </row>
    <row r="40" ht="15" customHeight="1" s="44">
      <c r="A40" s="82" t="n">
        <v>46239</v>
      </c>
      <c r="B40" s="83" t="inlineStr">
        <is>
          <t>RBC</t>
        </is>
      </c>
      <c r="C40" s="83" t="inlineStr">
        <is>
          <t>Senior Manager, Project &amp; Program Delivery</t>
        </is>
      </c>
      <c r="D40" s="83" t="n">
        <v>76</v>
      </c>
      <c r="E40" s="83" t="inlineStr">
        <is>
          <t>Cold Portal</t>
        </is>
      </c>
      <c r="F40" s="83" t="inlineStr">
        <is>
          <t>Applied</t>
        </is>
      </c>
    </row>
    <row r="41" ht="15" customHeight="1" s="44">
      <c r="A41" s="82" t="n">
        <v>46244</v>
      </c>
      <c r="B41" s="83" t="inlineStr">
        <is>
          <t>AstraZeneca</t>
        </is>
      </c>
      <c r="C41" s="83" t="inlineStr">
        <is>
          <t>Director, AI/Digital Product Governance</t>
        </is>
      </c>
      <c r="D41" s="83" t="n">
        <v>78</v>
      </c>
      <c r="E41" s="83" t="inlineStr">
        <is>
          <t>Cold Portal</t>
        </is>
      </c>
      <c r="F41" s="83" t="inlineStr">
        <is>
          <t>Rejected</t>
        </is>
      </c>
    </row>
    <row r="42" ht="15" customHeight="1" s="44">
      <c r="A42" s="82" t="n">
        <v>46244</v>
      </c>
      <c r="B42" s="83" t="inlineStr">
        <is>
          <t>McKesson</t>
        </is>
      </c>
      <c r="C42" s="83" t="inlineStr">
        <is>
          <t>Principal Technology Portfolio Management Leader</t>
        </is>
      </c>
      <c r="D42" s="83" t="n">
        <v>88</v>
      </c>
      <c r="E42" s="83" t="inlineStr">
        <is>
          <t>Cold Portal</t>
        </is>
      </c>
      <c r="F42" s="83" t="inlineStr">
        <is>
          <t>Applied</t>
        </is>
      </c>
    </row>
    <row r="43" ht="15" customHeight="1" s="44">
      <c r="A43" s="82" t="n">
        <v>46244</v>
      </c>
      <c r="B43" s="83" t="inlineStr">
        <is>
          <t>CentriLogic</t>
        </is>
      </c>
      <c r="C43" s="83" t="inlineStr">
        <is>
          <t>AI - Business Transformation Lead</t>
        </is>
      </c>
      <c r="D43" s="83" t="n">
        <v>82</v>
      </c>
      <c r="E43" s="83" t="inlineStr">
        <is>
          <t>Cold Portal</t>
        </is>
      </c>
      <c r="F43" s="83" t="inlineStr">
        <is>
          <t>Applied</t>
        </is>
      </c>
    </row>
    <row r="44" ht="15" customHeight="1" s="44">
      <c r="A44" s="82" t="n">
        <v>46244</v>
      </c>
      <c r="B44" s="83" t="inlineStr">
        <is>
          <t>Microsoft</t>
        </is>
      </c>
      <c r="C44" s="83" t="inlineStr">
        <is>
          <t>Principal Project Manager - Industry Solutions Delivery (ISD)</t>
        </is>
      </c>
      <c r="D44" s="83" t="n">
        <v>76</v>
      </c>
      <c r="E44" s="83" t="inlineStr">
        <is>
          <t>Cold Portal</t>
        </is>
      </c>
      <c r="F44" s="83" t="inlineStr">
        <is>
          <t>Applied</t>
        </is>
      </c>
    </row>
    <row r="45" ht="15" customHeight="1" s="44">
      <c r="A45" s="82" t="n">
        <v>46245</v>
      </c>
      <c r="B45" s="83" t="inlineStr">
        <is>
          <t>TMX Group</t>
        </is>
      </c>
      <c r="C45" s="83" t="inlineStr">
        <is>
          <t>Technology Portfolio Manager (Global Technology Solutions) - R-6220</t>
        </is>
      </c>
      <c r="D45" s="83" t="n">
        <v>85</v>
      </c>
      <c r="E45" s="83" t="inlineStr">
        <is>
          <t>Cold Portal</t>
        </is>
      </c>
      <c r="F45" s="83" t="inlineStr">
        <is>
          <t>Applied</t>
        </is>
      </c>
    </row>
    <row r="46" ht="15" customHeight="1" s="44">
      <c r="A46" s="82" t="n">
        <v>46246</v>
      </c>
      <c r="B46" s="83" t="inlineStr">
        <is>
          <t>BMO</t>
        </is>
      </c>
      <c r="C46" s="83" t="inlineStr">
        <is>
          <t>Senior IT Manager, Wealth Data Platform - R260018191</t>
        </is>
      </c>
      <c r="D46" s="83" t="n">
        <v>80</v>
      </c>
      <c r="E46" s="83" t="inlineStr">
        <is>
          <t>Cold Portal</t>
        </is>
      </c>
      <c r="F46" s="83" t="inlineStr">
        <is>
          <t>Rejected</t>
        </is>
      </c>
    </row>
    <row r="47" ht="15" customHeight="1" s="44">
      <c r="A47" s="82" t="n">
        <v>46248</v>
      </c>
      <c r="B47" s="83" t="inlineStr">
        <is>
          <t>eBay</t>
        </is>
      </c>
      <c r="C47" s="83" t="inlineStr">
        <is>
          <t>Sr. Technical Program Manager - R0074952</t>
        </is>
      </c>
      <c r="D47" s="83" t="n">
        <v>80</v>
      </c>
      <c r="E47" s="83" t="inlineStr">
        <is>
          <t>Cold Portal</t>
        </is>
      </c>
      <c r="F47" s="83" t="inlineStr">
        <is>
          <t>Rejected</t>
        </is>
      </c>
    </row>
    <row r="48" ht="15" customHeight="1" s="44">
      <c r="A48" s="82" t="n">
        <v>46250</v>
      </c>
      <c r="B48" s="83" t="inlineStr">
        <is>
          <t>BEUMER Group</t>
        </is>
      </c>
      <c r="C48" s="83" t="inlineStr">
        <is>
          <t>AI Transformation Program Manager (North America)</t>
        </is>
      </c>
      <c r="D48" s="83" t="n">
        <v>72</v>
      </c>
      <c r="E48" s="83" t="inlineStr">
        <is>
          <t>Cold Portal</t>
        </is>
      </c>
      <c r="F48" s="83" t="inlineStr">
        <is>
          <t>Applied</t>
        </is>
      </c>
    </row>
    <row r="49" ht="15" customHeight="1" s="44">
      <c r="A49" s="82" t="n">
        <v>46251</v>
      </c>
      <c r="B49" s="83" t="inlineStr">
        <is>
          <t>Deloitte</t>
        </is>
      </c>
      <c r="C49" s="83" t="inlineStr">
        <is>
          <t>Ascend Program PMO Director (18-month fixed-term contract, ref 133842)</t>
        </is>
      </c>
      <c r="D49" s="83" t="n">
        <v>78</v>
      </c>
      <c r="E49" s="83" t="inlineStr">
        <is>
          <t>Cold Portal</t>
        </is>
      </c>
      <c r="F49" s="83" t="inlineStr">
        <is>
          <t>Rejected</t>
        </is>
      </c>
    </row>
    <row r="50" ht="15" customHeight="1" s="44">
      <c r="A50" s="82" t="n">
        <v>46251</v>
      </c>
      <c r="B50" s="83" t="inlineStr">
        <is>
          <t>Tenstorrent</t>
        </is>
      </c>
      <c r="C50" s="83" t="inlineStr">
        <is>
          <t>Staff Technical Program Manager, Agentic Workflows &amp; Program Intelligence</t>
        </is>
      </c>
      <c r="D50" s="83" t="n">
        <v>76</v>
      </c>
      <c r="E50" s="83" t="inlineStr">
        <is>
          <t>Cold Portal</t>
        </is>
      </c>
      <c r="F50" s="83" t="inlineStr">
        <is>
          <t>Applied</t>
        </is>
      </c>
    </row>
    <row r="51" ht="15" customHeight="1" s="44">
      <c r="A51" s="82" t="n">
        <v>46252</v>
      </c>
      <c r="B51" s="83" t="inlineStr">
        <is>
          <t>Xplor Technologies</t>
        </is>
      </c>
      <c r="C51" s="83" t="inlineStr">
        <is>
          <t>Director, Transformation</t>
        </is>
      </c>
      <c r="D51" s="83" t="n">
        <v>83</v>
      </c>
      <c r="E51" s="83" t="inlineStr">
        <is>
          <t>Cold Portal</t>
        </is>
      </c>
      <c r="F51" s="83" t="inlineStr">
        <is>
          <t>Rejected</t>
        </is>
      </c>
    </row>
    <row r="52" ht="15" customHeight="1" s="44">
      <c r="A52" s="82" t="n">
        <v>46254</v>
      </c>
      <c r="B52" s="83" t="inlineStr">
        <is>
          <t>Stanley Black &amp; Decker</t>
        </is>
      </c>
      <c r="C52" s="83" t="inlineStr">
        <is>
          <t>Program Manager — Master Data Initiatives (REQ-1000049647)</t>
        </is>
      </c>
      <c r="D52" s="83" t="n">
        <v>77</v>
      </c>
      <c r="E52" s="83" t="inlineStr">
        <is>
          <t>Cold Portal</t>
        </is>
      </c>
      <c r="F52" s="83" t="inlineStr">
        <is>
          <t>Applied</t>
        </is>
      </c>
    </row>
    <row r="53" ht="15" customHeight="1" s="44">
      <c r="A53" s="82" t="n">
        <v>46254</v>
      </c>
      <c r="B53" s="83" t="inlineStr">
        <is>
          <t>RAVL</t>
        </is>
      </c>
      <c r="C53" s="83" t="inlineStr">
        <is>
          <t>Delivery Lead, AI Platform Design</t>
        </is>
      </c>
      <c r="D53" s="83" t="n">
        <v>84</v>
      </c>
      <c r="E53" s="83" t="inlineStr">
        <is>
          <t>Cold Portal</t>
        </is>
      </c>
      <c r="F53" s="83" t="inlineStr">
        <is>
          <t>Applied</t>
        </is>
      </c>
    </row>
    <row r="54" ht="15" customHeight="1" s="44">
      <c r="A54" s="82" t="n">
        <v>46255</v>
      </c>
      <c r="B54" s="83" t="inlineStr">
        <is>
          <t>OMERS / Oxford Properties</t>
        </is>
      </c>
      <c r="C54" s="83" t="inlineStr">
        <is>
          <t>Program Manager, Program Management &amp; Delivery (D&amp;T CSI)</t>
        </is>
      </c>
      <c r="D54" s="83" t="n">
        <v>90</v>
      </c>
      <c r="E54" s="83" t="inlineStr">
        <is>
          <t>Cold Portal</t>
        </is>
      </c>
      <c r="F54" s="83" t="inlineStr">
        <is>
          <t>Applied</t>
        </is>
      </c>
    </row>
    <row r="55" ht="15" customHeight="1" s="44">
      <c r="A55" s="82" t="n">
        <v>46255</v>
      </c>
      <c r="B55" s="83" t="inlineStr">
        <is>
          <t>API (company name unconfirmed)</t>
        </is>
      </c>
      <c r="C55" s="83" t="inlineStr">
        <is>
          <t>Senior Manager, Program Management</t>
        </is>
      </c>
      <c r="D55" s="83" t="n">
        <v>72</v>
      </c>
      <c r="E55" s="83" t="inlineStr">
        <is>
          <t>Indeed</t>
        </is>
      </c>
      <c r="F55" s="83" t="inlineStr">
        <is>
          <t>Applied</t>
        </is>
      </c>
    </row>
    <row r="56" ht="15" customHeight="1" s="44">
      <c r="A56" s="82" t="n">
        <v>46255</v>
      </c>
      <c r="B56" s="83" t="inlineStr">
        <is>
          <t>Brydon Gama</t>
        </is>
      </c>
      <c r="C56" s="83" t="inlineStr">
        <is>
          <t>Senior Project Manager - Business Transformation</t>
        </is>
      </c>
      <c r="D56" s="83" t="n">
        <v>78</v>
      </c>
      <c r="E56" s="83" t="inlineStr">
        <is>
          <t>Indeed</t>
        </is>
      </c>
      <c r="F56" s="83" t="inlineStr">
        <is>
          <t>Interviewing</t>
        </is>
      </c>
    </row>
    <row r="57" ht="15" customHeight="1" s="44">
      <c r="A57" s="82" t="n">
        <v>46258</v>
      </c>
      <c r="B57" s="83" t="inlineStr">
        <is>
          <t>Xplore Inc.</t>
        </is>
      </c>
      <c r="C57" s="83" t="inlineStr">
        <is>
          <t>Program Manager, Products &amp; Services (confirmation email titled "Senior Program Manager")</t>
        </is>
      </c>
      <c r="D57" s="83" t="n">
        <v>83</v>
      </c>
      <c r="E57" s="83" t="inlineStr">
        <is>
          <t>Cold Portal</t>
        </is>
      </c>
      <c r="F57" s="83" t="inlineStr">
        <is>
          <t>Applied</t>
        </is>
      </c>
    </row>
    <row r="58" ht="15" customHeight="1" s="44">
      <c r="A58" s="82" t="n">
        <v>46258</v>
      </c>
      <c r="B58" s="83" t="inlineStr">
        <is>
          <t>Veriforce</t>
        </is>
      </c>
      <c r="C58" s="83" t="inlineStr">
        <is>
          <t>Program Manager - Program Delivery and Governance</t>
        </is>
      </c>
      <c r="D58" s="83" t="n">
        <v>75</v>
      </c>
      <c r="E58" s="83" t="inlineStr">
        <is>
          <t>Cold Portal</t>
        </is>
      </c>
      <c r="F58" s="83" t="inlineStr">
        <is>
          <t>Applied</t>
        </is>
      </c>
    </row>
    <row r="59" ht="15" customHeight="1" s="44">
      <c r="A59" s="82" t="n">
        <v>46259</v>
      </c>
      <c r="B59" s="83" t="inlineStr">
        <is>
          <t>eBay</t>
        </is>
      </c>
      <c r="C59" s="83" t="inlineStr">
        <is>
          <t>Lead Product Program Manager, Buyer Experience</t>
        </is>
      </c>
      <c r="D59" s="83" t="n">
        <v>72</v>
      </c>
      <c r="E59" s="83" t="inlineStr">
        <is>
          <t>Recruiter Outreach (Inbound)</t>
        </is>
      </c>
      <c r="F59" s="83" t="inlineStr">
        <is>
          <t>Interviewing</t>
        </is>
      </c>
    </row>
    <row r="60" ht="15" customHeight="1" s="44">
      <c r="A60" s="82" t="n">
        <v>46259</v>
      </c>
      <c r="B60" s="83" t="inlineStr">
        <is>
          <t>Klick Health</t>
        </is>
      </c>
      <c r="C60" s="83" t="inlineStr">
        <is>
          <t>Associate Director, Technology Enablement</t>
        </is>
      </c>
      <c r="D60" s="83" t="n">
        <v>70</v>
      </c>
      <c r="E60" s="83" t="inlineStr">
        <is>
          <t>LinkedIn</t>
        </is>
      </c>
      <c r="F60" s="83" t="inlineStr">
        <is>
          <t>Applied</t>
        </is>
      </c>
    </row>
    <row r="61" ht="15" customHeight="1" s="44">
      <c r="A61" s="82" t="n">
        <v>46261</v>
      </c>
      <c r="B61" s="83" t="inlineStr">
        <is>
          <t>Vector Institute</t>
        </is>
      </c>
      <c r="C61" s="83" t="inlineStr">
        <is>
          <t>Director, AI Engineering Portfolio &amp; Operations</t>
        </is>
      </c>
      <c r="D61" s="83" t="n">
        <v>70</v>
      </c>
      <c r="E61" s="83" t="inlineStr">
        <is>
          <t>Cold Portal (Indeed)</t>
        </is>
      </c>
      <c r="F61" s="83" t="inlineStr">
        <is>
          <t>Interviewing</t>
        </is>
      </c>
    </row>
    <row r="62" ht="15" customHeight="1" s="44">
      <c r="A62" s="82" t="n">
        <v>46261</v>
      </c>
      <c r="B62" s="83" t="inlineStr">
        <is>
          <t>Scotiabank</t>
        </is>
      </c>
      <c r="C62" s="83" t="inlineStr">
        <is>
          <t>Senior Delivery Manager, Enterprise Delivery Office (Enterprise Data and AI)</t>
        </is>
      </c>
      <c r="D62" s="83" t="n">
        <v>85</v>
      </c>
      <c r="E62" s="83" t="inlineStr">
        <is>
          <t>Cold Portal</t>
        </is>
      </c>
      <c r="F62" s="83" t="inlineStr">
        <is>
          <t>Applied</t>
        </is>
      </c>
    </row>
    <row r="63" ht="15" customHeight="1" s="44">
      <c r="A63" s="82" t="n">
        <v>46262</v>
      </c>
      <c r="B63" s="83" t="inlineStr">
        <is>
          <t>eBay</t>
        </is>
      </c>
      <c r="C63" s="83" t="inlineStr">
        <is>
          <t>Program Manager (PMO), FC Acceleration (Domain Integration)</t>
        </is>
      </c>
      <c r="D63" s="83" t="n">
        <v>80</v>
      </c>
      <c r="E63" s="83" t="inlineStr">
        <is>
          <t>Cold Portal</t>
        </is>
      </c>
      <c r="F63" s="83" t="inlineStr">
        <is>
          <t>Applied</t>
        </is>
      </c>
    </row>
    <row r="64" ht="15" customHeight="1" s="44">
      <c r="A64" s="82" t="n">
        <v>46262</v>
      </c>
      <c r="B64" s="83" t="inlineStr">
        <is>
          <t>Canadian Tire Group of Companies</t>
        </is>
      </c>
      <c r="C64" s="83" t="inlineStr">
        <is>
          <t>Director, Dealer Tech Portfolio Management</t>
        </is>
      </c>
      <c r="D64" s="83" t="n">
        <v>75</v>
      </c>
      <c r="E64" s="83" t="inlineStr">
        <is>
          <t>Cold Portal</t>
        </is>
      </c>
      <c r="F64" s="83" t="inlineStr">
        <is>
          <t>Applied</t>
        </is>
      </c>
    </row>
    <row r="65" ht="15" customHeight="1" s="44">
      <c r="A65" s="82" t="n">
        <v>46264</v>
      </c>
      <c r="B65" s="83" t="inlineStr">
        <is>
          <t>Conquest Planning</t>
        </is>
      </c>
      <c r="C65" s="83" t="inlineStr">
        <is>
          <t>Senior Delivery Project Manager</t>
        </is>
      </c>
      <c r="D65" s="83" t="n">
        <v>80</v>
      </c>
      <c r="E65" s="83" t="inlineStr">
        <is>
          <t>Cold Portal</t>
        </is>
      </c>
      <c r="F65" s="83" t="inlineStr">
        <is>
          <t>Applied</t>
        </is>
      </c>
    </row>
    <row r="66" ht="15" customHeight="1" s="44">
      <c r="A66" s="82" t="n">
        <v>46268</v>
      </c>
      <c r="B66" s="83" t="inlineStr">
        <is>
          <t>Manulife</t>
        </is>
      </c>
      <c r="C66" s="83" t="inlineStr">
        <is>
          <t>AVP, AI Delivery</t>
        </is>
      </c>
      <c r="D66" s="83" t="n">
        <v>82</v>
      </c>
      <c r="E66" s="83" t="inlineStr">
        <is>
          <t>LinkedIn</t>
        </is>
      </c>
      <c r="F66" s="83" t="inlineStr">
        <is>
          <t>Applied</t>
        </is>
      </c>
    </row>
    <row r="67" ht="15" customHeight="1" s="44">
      <c r="A67" s="82" t="n">
        <v>46269</v>
      </c>
      <c r="B67" s="83" t="inlineStr">
        <is>
          <t>FacilityOS</t>
        </is>
      </c>
      <c r="C67" s="83" t="inlineStr">
        <is>
          <t>AI Program Lead</t>
        </is>
      </c>
      <c r="D67" s="83" t="n">
        <v>78</v>
      </c>
      <c r="E67" s="83" t="inlineStr">
        <is>
          <t>Cold Portal</t>
        </is>
      </c>
      <c r="F67" s="83" t="inlineStr">
        <is>
          <t>Applied</t>
        </is>
      </c>
    </row>
    <row r="68" ht="15" customHeight="1" s="44">
      <c r="A68" s="82" t="n">
        <v>46270</v>
      </c>
      <c r="B68" s="83" t="inlineStr">
        <is>
          <t>Circular Materials</t>
        </is>
      </c>
      <c r="C68" s="83" t="inlineStr">
        <is>
          <t>Director, Transition &amp; Integration</t>
        </is>
      </c>
      <c r="D68" s="83" t="n">
        <v>72</v>
      </c>
      <c r="E68" s="83" t="inlineStr">
        <is>
          <t>Cold Portal</t>
        </is>
      </c>
      <c r="F68" s="83" t="inlineStr">
        <is>
          <t>Applied</t>
        </is>
      </c>
    </row>
    <row r="69" ht="15" customHeight="1" s="44">
      <c r="A69" s="82" t="n">
        <v>46270</v>
      </c>
      <c r="B69" s="83" t="inlineStr">
        <is>
          <t>High Tech Genesis</t>
        </is>
      </c>
      <c r="C69" s="83" t="inlineStr">
        <is>
          <t>Technical Program Manager / Technical Program Lead</t>
        </is>
      </c>
      <c r="D69" s="83" t="n">
        <v>75</v>
      </c>
      <c r="E69" s="83" t="inlineStr">
        <is>
          <t>Indeed</t>
        </is>
      </c>
      <c r="F69" s="83" t="inlineStr">
        <is>
          <t>Applied</t>
        </is>
      </c>
    </row>
    <row r="70" ht="15" customHeight="1" s="44">
      <c r="A70" s="82" t="n">
        <v>46270</v>
      </c>
      <c r="B70" s="83" t="inlineStr">
        <is>
          <t>Mastercard</t>
        </is>
      </c>
      <c r="C70" s="83" t="inlineStr">
        <is>
          <t>Senior Technical Program Manager</t>
        </is>
      </c>
      <c r="D70" s="83" t="n">
        <v>78</v>
      </c>
      <c r="E70" s="83" t="inlineStr">
        <is>
          <t>Cold Portal</t>
        </is>
      </c>
      <c r="F70" s="83" t="inlineStr">
        <is>
          <t>Applied</t>
        </is>
      </c>
    </row>
    <row r="71" ht="15" customHeight="1" s="44">
      <c r="A71" s="82" t="n">
        <v>46272</v>
      </c>
      <c r="B71" s="83" t="inlineStr">
        <is>
          <t>Procom (agency) — Transportation client</t>
        </is>
      </c>
      <c r="C71" s="83" t="inlineStr">
        <is>
          <t>Program Manager</t>
        </is>
      </c>
      <c r="D71" s="83" t="n">
        <v>70</v>
      </c>
      <c r="E71" s="83" t="inlineStr">
        <is>
          <t>Agency (Procom)</t>
        </is>
      </c>
      <c r="F71" s="83" t="inlineStr">
        <is>
          <t>Screening</t>
        </is>
      </c>
    </row>
    <row r="72" ht="15" customHeight="1" s="44">
      <c r="A72" s="82" t="n">
        <v>46278</v>
      </c>
      <c r="B72" s="83" t="inlineStr">
        <is>
          <t>eBay</t>
        </is>
      </c>
      <c r="C72" s="83" t="inlineStr">
        <is>
          <t>Principal Program Mgr, Depop Synergies (R0076176)</t>
        </is>
      </c>
      <c r="D72" s="83" t="n">
        <v>78</v>
      </c>
      <c r="E72" s="83" t="inlineStr">
        <is>
          <t>Cold Portal</t>
        </is>
      </c>
      <c r="F72" s="83" t="inlineStr">
        <is>
          <t>Applied</t>
        </is>
      </c>
    </row>
    <row r="73" ht="15" customHeight="1" s="44">
      <c r="A73" s="82" t="n">
        <v>46279</v>
      </c>
      <c r="B73" s="83" t="inlineStr">
        <is>
          <t>Lightspeed</t>
        </is>
      </c>
      <c r="C73" s="83" t="inlineStr">
        <is>
          <t>Staff Technical Program Manager - PDLC</t>
        </is>
      </c>
      <c r="D73" s="83" t="n">
        <v>78</v>
      </c>
      <c r="E73" s="83" t="inlineStr">
        <is>
          <t>Cold Portal</t>
        </is>
      </c>
      <c r="F73" s="83" t="inlineStr">
        <is>
          <t>Applied</t>
        </is>
      </c>
    </row>
    <row r="74" ht="15" customHeight="1" s="44">
      <c r="A74" s="82" t="n">
        <v>46279</v>
      </c>
      <c r="B74" s="83" t="inlineStr">
        <is>
          <t>Google</t>
        </is>
      </c>
      <c r="C74" s="83" t="inlineStr">
        <is>
          <t>Gestionnaire de programme, Google Public Sector (Program Manager)</t>
        </is>
      </c>
      <c r="D74" s="83" t="n">
        <v>76</v>
      </c>
      <c r="E74" s="83" t="inlineStr">
        <is>
          <t>Cold Portal</t>
        </is>
      </c>
      <c r="F74" s="83" t="inlineStr">
        <is>
          <t>Applied</t>
        </is>
      </c>
    </row>
    <row r="75" ht="15" customHeight="1" s="44">
      <c r="A75" s="82" t="n">
        <v>46279</v>
      </c>
      <c r="B75" s="83" t="inlineStr">
        <is>
          <t>Guidewire Software</t>
        </is>
      </c>
      <c r="C75" s="83" t="inlineStr">
        <is>
          <t>Technical Program Manager - Implementation Lead</t>
        </is>
      </c>
      <c r="D75" s="83" t="n">
        <v>70</v>
      </c>
      <c r="E75" s="83" t="inlineStr">
        <is>
          <t>Cold Portal</t>
        </is>
      </c>
      <c r="F75" s="83" t="inlineStr">
        <is>
          <t>Applied</t>
        </is>
      </c>
    </row>
    <row r="76" ht="15" customHeight="1" s="44">
      <c r="A76" s="82" t="n">
        <v>46279</v>
      </c>
      <c r="B76" s="83" t="inlineStr">
        <is>
          <t>McKesson</t>
        </is>
      </c>
      <c r="C76" s="83" t="inlineStr">
        <is>
          <t>Sr. Manager, Program Management</t>
        </is>
      </c>
      <c r="D76" s="83" t="n">
        <v>75</v>
      </c>
      <c r="E76" s="83" t="inlineStr">
        <is>
          <t>LinkedIn</t>
        </is>
      </c>
      <c r="F76" s="83" t="inlineStr">
        <is>
          <t>Applied</t>
        </is>
      </c>
    </row>
    <row r="77" ht="15" customHeight="1" s="44">
      <c r="A77" s="82" t="n"/>
      <c r="B77" s="83" t="inlineStr">
        <is>
          <t>OMERS / Oxford Properties</t>
        </is>
      </c>
      <c r="C77" s="83" t="inlineStr">
        <is>
          <t>Associate Director, AI Process Engineering (12 Months Contract)</t>
        </is>
      </c>
      <c r="D77" s="83" t="n">
        <v>72</v>
      </c>
      <c r="E77" s="83" t="inlineStr">
        <is>
          <t>Cold Portal</t>
        </is>
      </c>
      <c r="F77" s="83" t="inlineStr">
        <is>
          <t>Rejected</t>
        </is>
      </c>
    </row>
    <row r="78" ht="15" customHeight="1" s="44">
      <c r="A78" s="43" t="inlineStr">
        <is>
          <t>73 applications match this profile out of 255 total (29%).</t>
        </is>
      </c>
    </row>
    <row r="79" ht="15" customHeight="1" s="44">
      <c r="A79" s="43" t="inlineStr">
        <is>
          <t>Shortlisted for interview: Brydon Gama (Senior Project Manager - Business Transformation), eBay (Lead Product Program Manager, Buyer Experience), Vector Institute (Director, AI Engineering Portfolio &amp; Operations), as of 2026-09-16.</t>
        </is>
      </c>
    </row>
  </sheetData>
  <mergeCells count="2">
    <mergeCell ref="A2:H2"/>
    <mergeCell ref="A1:H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D47"/>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6796875" defaultRowHeight="15" zeroHeight="0" outlineLevelRow="0"/>
  <cols>
    <col width="32" customWidth="1" style="43" min="1" max="1"/>
    <col width="36" customWidth="1" style="43" min="2" max="2"/>
    <col width="44" customWidth="1" style="43" min="3" max="3"/>
    <col width="18" customWidth="1" style="43" min="4" max="4"/>
  </cols>
  <sheetData>
    <row r="1" ht="21.75" customHeight="1" s="44">
      <c r="A1" s="84" t="inlineStr">
        <is>
          <t>Target Companies — Canada Job Search (Senior TPM / Program &amp; Portfolio Management, Data &amp; AI)</t>
        </is>
      </c>
    </row>
    <row r="2" ht="15" customHeight="1" s="44">
      <c r="A2" s="85" t="inlineStr">
        <is>
          <t>Rows in grey are companies already in your Applications tab. Focus new effort on the rest.</t>
        </is>
      </c>
    </row>
    <row r="4" ht="15" customHeight="1" s="44">
      <c r="A4" s="86" t="inlineStr">
        <is>
          <t>Company</t>
        </is>
      </c>
      <c r="B4" s="86" t="inlineStr">
        <is>
          <t>Category / Fit</t>
        </is>
      </c>
      <c r="C4" s="86" t="inlineStr">
        <is>
          <t>Canada Presence &amp; Notes</t>
        </is>
      </c>
      <c r="D4" s="86" t="inlineStr">
        <is>
          <t>Status</t>
        </is>
      </c>
    </row>
    <row r="5" ht="15" customHeight="1" s="44">
      <c r="A5" s="87" t="inlineStr">
        <is>
          <t>Big Five Banks &amp; Financial Services</t>
        </is>
      </c>
    </row>
    <row r="6" ht="23.25" customHeight="1" s="44">
      <c r="A6" s="88" t="inlineStr">
        <is>
          <t>RBC</t>
        </is>
      </c>
      <c r="B6" s="88" t="inlineStr">
        <is>
          <t>TPM/Program Mgmt, AI, Data</t>
        </is>
      </c>
      <c r="C6" s="88" t="inlineStr">
        <is>
          <t>Toronto HQ; multiple recurring reqs, 8 applications already logged</t>
        </is>
      </c>
      <c r="D6" s="88" t="inlineStr">
        <is>
          <t>Already applied</t>
        </is>
      </c>
    </row>
    <row r="7" ht="15" customHeight="1" s="44">
      <c r="A7" s="88" t="inlineStr">
        <is>
          <t>Scotiabank</t>
        </is>
      </c>
      <c r="B7" s="88" t="inlineStr">
        <is>
          <t>TPM/Program Mgmt, Data platforms</t>
        </is>
      </c>
      <c r="C7" s="88" t="inlineStr">
        <is>
          <t>Toronto HQ</t>
        </is>
      </c>
      <c r="D7" s="88" t="inlineStr">
        <is>
          <t>Already applied</t>
        </is>
      </c>
    </row>
    <row r="8" ht="15" customHeight="1" s="44">
      <c r="A8" s="88" t="inlineStr">
        <is>
          <t>CIBC</t>
        </is>
      </c>
      <c r="B8" s="88" t="inlineStr">
        <is>
          <t>TPM/Program Mgmt</t>
        </is>
      </c>
      <c r="C8" s="88" t="inlineStr">
        <is>
          <t>Toronto HQ</t>
        </is>
      </c>
      <c r="D8" s="88" t="inlineStr">
        <is>
          <t>Already applied</t>
        </is>
      </c>
    </row>
    <row r="9" ht="15" customHeight="1" s="44">
      <c r="A9" s="88" t="inlineStr">
        <is>
          <t>BMO Financial Group</t>
        </is>
      </c>
      <c r="B9" s="88" t="inlineStr">
        <is>
          <t>Program Mgmt, Digital Transformation</t>
        </is>
      </c>
      <c r="C9" s="88" t="inlineStr">
        <is>
          <t>Toronto HQ</t>
        </is>
      </c>
      <c r="D9" s="88" t="inlineStr">
        <is>
          <t>Already applied</t>
        </is>
      </c>
    </row>
    <row r="10" ht="23.25" customHeight="1" s="44">
      <c r="A10" s="89" t="inlineStr">
        <is>
          <t>National Bank of Canada</t>
        </is>
      </c>
      <c r="B10" s="89" t="inlineStr">
        <is>
          <t>Program/Portfolio Mgmt, Cloud Transformation</t>
        </is>
      </c>
      <c r="C10" s="89" t="inlineStr">
        <is>
          <t>Montreal HQ; active Cloud Transformation Sr Director role seen</t>
        </is>
      </c>
      <c r="D10" s="89" t="inlineStr">
        <is>
          <t>Not yet applied</t>
        </is>
      </c>
    </row>
    <row r="11" ht="15" customHeight="1" s="44">
      <c r="A11" s="89" t="inlineStr">
        <is>
          <t>Desjardins Group</t>
        </is>
      </c>
      <c r="B11" s="89" t="inlineStr">
        <is>
          <t>Program Mgmt, Financial Services</t>
        </is>
      </c>
      <c r="C11" s="89" t="inlineStr">
        <is>
          <t>Levis, QC HQ; Canada Top 100 Employer</t>
        </is>
      </c>
      <c r="D11" s="89" t="inlineStr">
        <is>
          <t>Not yet applied</t>
        </is>
      </c>
    </row>
    <row r="12" ht="23.25" customHeight="1" s="44">
      <c r="A12" s="89" t="inlineStr">
        <is>
          <t>Manulife</t>
        </is>
      </c>
      <c r="B12" s="89" t="inlineStr">
        <is>
          <t>Program Mgmt, AI/Automation, Digital Transformation</t>
        </is>
      </c>
      <c r="C12" s="89" t="inlineStr">
        <is>
          <t>Toronto HQ; very active AI/Ops PM hiring</t>
        </is>
      </c>
      <c r="D12" s="89" t="inlineStr">
        <is>
          <t>Not yet applied</t>
        </is>
      </c>
    </row>
    <row r="13" ht="15" customHeight="1" s="44">
      <c r="A13" s="89" t="inlineStr">
        <is>
          <t>Sun Life Financial</t>
        </is>
      </c>
      <c r="B13" s="89" t="inlineStr">
        <is>
          <t>Program/Portfolio Mgmt, Data &amp; AI</t>
        </is>
      </c>
      <c r="C13" s="89" t="inlineStr">
        <is>
          <t>Toronto HQ</t>
        </is>
      </c>
      <c r="D13" s="89" t="inlineStr">
        <is>
          <t>Not yet applied</t>
        </is>
      </c>
    </row>
    <row r="14" ht="15" customHeight="1" s="44">
      <c r="A14" s="89" t="inlineStr">
        <is>
          <t>Fidelity Investments Canada</t>
        </is>
      </c>
      <c r="B14" s="89" t="inlineStr">
        <is>
          <t>Program Mgmt, Technical Delivery</t>
        </is>
      </c>
      <c r="C14" s="89" t="inlineStr">
        <is>
          <t>Toronto; active PM reqs seen</t>
        </is>
      </c>
      <c r="D14" s="89" t="inlineStr">
        <is>
          <t>Not yet applied</t>
        </is>
      </c>
    </row>
    <row r="15" ht="15" customHeight="1" s="44">
      <c r="A15" s="89" t="inlineStr">
        <is>
          <t>IGM Financial</t>
        </is>
      </c>
      <c r="B15" s="89" t="inlineStr">
        <is>
          <t>Program/Portfolio Mgmt</t>
        </is>
      </c>
      <c r="C15" s="89" t="inlineStr">
        <is>
          <t>Winnipeg HQ; Canada Top 100</t>
        </is>
      </c>
      <c r="D15" s="89" t="inlineStr">
        <is>
          <t>Not yet applied</t>
        </is>
      </c>
    </row>
    <row r="16" ht="23.25" customHeight="1" s="44">
      <c r="A16" s="89" t="inlineStr">
        <is>
          <t>Business Development Bank of Canada (BDC)</t>
        </is>
      </c>
      <c r="B16" s="89" t="inlineStr">
        <is>
          <t>Program Mgmt, Transformation</t>
        </is>
      </c>
      <c r="C16" s="89" t="inlineStr">
        <is>
          <t>Montreal HQ; Canada Top 100</t>
        </is>
      </c>
      <c r="D16" s="89" t="inlineStr">
        <is>
          <t>Not yet applied</t>
        </is>
      </c>
    </row>
    <row r="17" ht="15" customHeight="1" s="44">
      <c r="A17" s="89" t="inlineStr">
        <is>
          <t>Export Development Canada (EDC)</t>
        </is>
      </c>
      <c r="B17" s="89" t="inlineStr">
        <is>
          <t>Program Mgmt, Transformation</t>
        </is>
      </c>
      <c r="C17" s="89" t="inlineStr">
        <is>
          <t>Ottawa HQ; Canada Top 100</t>
        </is>
      </c>
      <c r="D17" s="89" t="inlineStr">
        <is>
          <t>Not yet applied</t>
        </is>
      </c>
    </row>
    <row r="18" ht="15" customHeight="1" s="44">
      <c r="A18" s="89" t="inlineStr">
        <is>
          <t>TMX Group</t>
        </is>
      </c>
      <c r="B18" s="89" t="inlineStr">
        <is>
          <t>Program/Integration Mgmt</t>
        </is>
      </c>
      <c r="C18" s="89" t="inlineStr">
        <is>
          <t>Toronto HQ (TSX parent); Canada Top 100</t>
        </is>
      </c>
      <c r="D18" s="89" t="inlineStr">
        <is>
          <t>Not yet applied</t>
        </is>
      </c>
    </row>
    <row r="19" ht="15" customHeight="1" s="44">
      <c r="A19" s="87" t="inlineStr">
        <is>
          <t>Insurance</t>
        </is>
      </c>
    </row>
    <row r="20" ht="15" customHeight="1" s="44">
      <c r="A20" s="89" t="inlineStr">
        <is>
          <t>Intact Financial</t>
        </is>
      </c>
      <c r="B20" s="89" t="inlineStr">
        <is>
          <t>Program Mgmt, Digital Transformation</t>
        </is>
      </c>
      <c r="C20" s="89" t="inlineStr">
        <is>
          <t>Toronto HQ</t>
        </is>
      </c>
      <c r="D20" s="89" t="inlineStr">
        <is>
          <t>Not yet applied</t>
        </is>
      </c>
    </row>
    <row r="21" ht="15" customHeight="1" s="44">
      <c r="A21" s="89" t="inlineStr">
        <is>
          <t>Co-operators Group</t>
        </is>
      </c>
      <c r="B21" s="89" t="inlineStr">
        <is>
          <t>Program Mgmt, Enterprise Transformation</t>
        </is>
      </c>
      <c r="C21" s="89" t="inlineStr">
        <is>
          <t>Guelph, ON; Canada Top 100</t>
        </is>
      </c>
      <c r="D21" s="89" t="inlineStr">
        <is>
          <t>Not yet applied</t>
        </is>
      </c>
    </row>
    <row r="22" ht="15" customHeight="1" s="44">
      <c r="A22" s="87" t="inlineStr">
        <is>
          <t>Telecom (Regulated, Bell-Adjacent)</t>
        </is>
      </c>
    </row>
    <row r="23" ht="23.25" customHeight="1" s="44">
      <c r="A23" s="89" t="inlineStr">
        <is>
          <t>Telus</t>
        </is>
      </c>
      <c r="B23" s="89" t="inlineStr">
        <is>
          <t>Senior Program Manager, AI Transformation</t>
        </is>
      </c>
      <c r="C23" s="89" t="inlineStr">
        <is>
          <t>Vancouver HQ; role already reviewed with you</t>
        </is>
      </c>
      <c r="D23" s="89" t="inlineStr">
        <is>
          <t>Not yet applied</t>
        </is>
      </c>
    </row>
    <row r="24" ht="15" customHeight="1" s="44">
      <c r="A24" s="89" t="inlineStr">
        <is>
          <t>Rogers Communications</t>
        </is>
      </c>
      <c r="B24" s="89" t="inlineStr">
        <is>
          <t>Program/Portfolio Mgmt, Data &amp; AI</t>
        </is>
      </c>
      <c r="C24" s="89" t="inlineStr">
        <is>
          <t>Toronto HQ</t>
        </is>
      </c>
      <c r="D24" s="89" t="inlineStr">
        <is>
          <t>Not yet applied</t>
        </is>
      </c>
    </row>
    <row r="25" ht="15" customHeight="1" s="44">
      <c r="A25" s="87" t="inlineStr">
        <is>
          <t>Retail / eCommerce / Marketplace</t>
        </is>
      </c>
    </row>
    <row r="26" ht="15" customHeight="1" s="44">
      <c r="A26" s="89" t="inlineStr">
        <is>
          <t>Aritzia</t>
        </is>
      </c>
      <c r="B26" s="89" t="inlineStr">
        <is>
          <t>Digital/Tech Program Mgmt</t>
        </is>
      </c>
      <c r="C26" s="89" t="inlineStr">
        <is>
          <t>Vancouver HQ; Canada Top 100</t>
        </is>
      </c>
      <c r="D26" s="89" t="inlineStr">
        <is>
          <t>Not yet applied</t>
        </is>
      </c>
    </row>
    <row r="27" ht="23.25" customHeight="1" s="44">
      <c r="A27" s="88" t="inlineStr">
        <is>
          <t>Sobeys</t>
        </is>
      </c>
      <c r="B27" s="88" t="inlineStr">
        <is>
          <t>Program Mgmt, Enterprise Architecture-adjacent</t>
        </is>
      </c>
      <c r="C27" s="88" t="inlineStr">
        <is>
          <t>Mississauga/Stellarton; Director EA role seen</t>
        </is>
      </c>
      <c r="D27" s="88" t="inlineStr">
        <is>
          <t>Already applied</t>
        </is>
      </c>
    </row>
    <row r="28" ht="15" customHeight="1" s="44">
      <c r="A28" s="88" t="inlineStr">
        <is>
          <t>Loblaw Companies Ltd.</t>
        </is>
      </c>
      <c r="B28" s="88" t="inlineStr">
        <is>
          <t>Program Mgmt (parent of Loblaw Digital)</t>
        </is>
      </c>
      <c r="C28" s="88" t="inlineStr">
        <is>
          <t>Brampton HQ; Canada Top 100</t>
        </is>
      </c>
      <c r="D28" s="88" t="inlineStr">
        <is>
          <t>Already applied</t>
        </is>
      </c>
    </row>
    <row r="29" ht="15" customHeight="1" s="44">
      <c r="A29" s="89" t="inlineStr">
        <is>
          <t>Indigo</t>
        </is>
      </c>
      <c r="B29" s="89" t="inlineStr">
        <is>
          <t>Digital Transformation PM</t>
        </is>
      </c>
      <c r="C29" s="89" t="inlineStr">
        <is>
          <t>Toronto HQ</t>
        </is>
      </c>
      <c r="D29" s="89" t="inlineStr">
        <is>
          <t>Not yet applied</t>
        </is>
      </c>
    </row>
    <row r="30" ht="15" customHeight="1" s="44">
      <c r="A30" s="87" t="inlineStr">
        <is>
          <t>Enterprise Tech / SaaS (Canadian-HQ)</t>
        </is>
      </c>
    </row>
    <row r="31" ht="23.25" customHeight="1" s="44">
      <c r="A31" s="89" t="inlineStr">
        <is>
          <t>Lightspeed Commerce</t>
        </is>
      </c>
      <c r="B31" s="89" t="inlineStr">
        <is>
          <t>Senior TPM roles seen (Cloud Efficiency Program)</t>
        </is>
      </c>
      <c r="C31" s="89" t="inlineStr">
        <is>
          <t>Montreal HQ; Canada Top 100</t>
        </is>
      </c>
      <c r="D31" s="89" t="inlineStr">
        <is>
          <t>Not yet applied</t>
        </is>
      </c>
    </row>
    <row r="32" ht="15" customHeight="1" s="44">
      <c r="A32" s="89" t="inlineStr">
        <is>
          <t>Clio</t>
        </is>
      </c>
      <c r="B32" s="89" t="inlineStr">
        <is>
          <t>Program/Product Mgmt</t>
        </is>
      </c>
      <c r="C32" s="89" t="inlineStr">
        <is>
          <t>Burnaby, BC; Canada Top 100</t>
        </is>
      </c>
      <c r="D32" s="89" t="inlineStr">
        <is>
          <t>Not yet applied</t>
        </is>
      </c>
    </row>
    <row r="33" ht="15" customHeight="1" s="44">
      <c r="A33" s="89" t="inlineStr">
        <is>
          <t>Shopify</t>
        </is>
      </c>
      <c r="B33" s="89" t="inlineStr">
        <is>
          <t>TPM, Program Mgmt</t>
        </is>
      </c>
      <c r="C33" s="89" t="inlineStr">
        <is>
          <t>Ottawa HQ</t>
        </is>
      </c>
      <c r="D33" s="89" t="inlineStr">
        <is>
          <t>Not yet applied</t>
        </is>
      </c>
    </row>
    <row r="34" ht="15" customHeight="1" s="44">
      <c r="A34" s="89" t="inlineStr">
        <is>
          <t>OpenText</t>
        </is>
      </c>
      <c r="B34" s="89" t="inlineStr">
        <is>
          <t>Program Mgmt, Enterprise Software</t>
        </is>
      </c>
      <c r="C34" s="89" t="inlineStr">
        <is>
          <t>Waterloo, ON HQ</t>
        </is>
      </c>
      <c r="D34" s="89" t="inlineStr">
        <is>
          <t>Not yet applied</t>
        </is>
      </c>
    </row>
    <row r="35" ht="15" customHeight="1" s="44">
      <c r="A35" s="88" t="inlineStr">
        <is>
          <t>Nasdaq Verafin</t>
        </is>
      </c>
      <c r="B35" s="88" t="inlineStr">
        <is>
          <t>Program Mgmt, Financial Crime/AI</t>
        </is>
      </c>
      <c r="C35" s="88" t="inlineStr">
        <is>
          <t>St. John's, NL; Canada Top 100</t>
        </is>
      </c>
      <c r="D35" s="88" t="inlineStr">
        <is>
          <t>Already applied</t>
        </is>
      </c>
    </row>
    <row r="36" ht="15" customHeight="1" s="44">
      <c r="A36" s="89" t="inlineStr">
        <is>
          <t>Plusgrade</t>
        </is>
      </c>
      <c r="B36" s="89" t="inlineStr">
        <is>
          <t>Program/Product Mgmt</t>
        </is>
      </c>
      <c r="C36" s="89" t="inlineStr">
        <is>
          <t>Montreal HQ; Canada Top 100</t>
        </is>
      </c>
      <c r="D36" s="89" t="inlineStr">
        <is>
          <t>Not yet applied</t>
        </is>
      </c>
    </row>
    <row r="37" ht="15" customHeight="1" s="44">
      <c r="A37" s="87" t="inlineStr">
        <is>
          <t>Consulting / Professional Services</t>
        </is>
      </c>
    </row>
    <row r="38" ht="23.25" customHeight="1" s="44">
      <c r="A38" s="89" t="inlineStr">
        <is>
          <t>Deloitte Canada</t>
        </is>
      </c>
      <c r="B38" s="89" t="inlineStr">
        <is>
          <t>Manager, Enterprise Architecture / Transformation</t>
        </is>
      </c>
      <c r="C38" s="89" t="inlineStr">
        <is>
          <t>Toronto + national</t>
        </is>
      </c>
      <c r="D38" s="89" t="inlineStr">
        <is>
          <t>Not yet applied</t>
        </is>
      </c>
    </row>
    <row r="39" ht="15" customHeight="1" s="44">
      <c r="A39" s="89" t="inlineStr">
        <is>
          <t>Boston Consulting Group Canada</t>
        </is>
      </c>
      <c r="B39" s="89" t="inlineStr">
        <is>
          <t>Program Mgmt, Transformation Consulting</t>
        </is>
      </c>
      <c r="C39" s="89" t="inlineStr">
        <is>
          <t>Toronto; Canada Top 100</t>
        </is>
      </c>
      <c r="D39" s="89" t="inlineStr">
        <is>
          <t>Not yet applied</t>
        </is>
      </c>
    </row>
    <row r="40" ht="15" customHeight="1" s="44">
      <c r="A40" s="89" t="inlineStr">
        <is>
          <t>EY Canada</t>
        </is>
      </c>
      <c r="B40" s="89" t="inlineStr">
        <is>
          <t>Digital Transformation, Program Mgmt</t>
        </is>
      </c>
      <c r="C40" s="89" t="inlineStr">
        <is>
          <t>Toronto; Canada Top 100</t>
        </is>
      </c>
      <c r="D40" s="89" t="inlineStr">
        <is>
          <t>Not yet applied</t>
        </is>
      </c>
    </row>
    <row r="41" ht="15" customHeight="1" s="44">
      <c r="A41" s="89" t="inlineStr">
        <is>
          <t>KPMG Canada</t>
        </is>
      </c>
      <c r="B41" s="89" t="inlineStr">
        <is>
          <t>Transformation Program Mgmt</t>
        </is>
      </c>
      <c r="C41" s="89" t="inlineStr">
        <is>
          <t>Toronto + national</t>
        </is>
      </c>
      <c r="D41" s="89" t="inlineStr">
        <is>
          <t>Not yet applied</t>
        </is>
      </c>
    </row>
    <row r="42" ht="15" customHeight="1" s="44">
      <c r="A42" s="89" t="inlineStr">
        <is>
          <t>PwC Canada</t>
        </is>
      </c>
      <c r="B42" s="89" t="inlineStr">
        <is>
          <t>Transformation Program Mgmt</t>
        </is>
      </c>
      <c r="C42" s="89" t="inlineStr">
        <is>
          <t>Toronto + national</t>
        </is>
      </c>
      <c r="D42" s="89" t="inlineStr">
        <is>
          <t>Not yet applied</t>
        </is>
      </c>
    </row>
    <row r="43" ht="15" customHeight="1" s="44">
      <c r="A43" s="87" t="inlineStr">
        <is>
          <t>Regulated / Public-Sector-Adjacent</t>
        </is>
      </c>
    </row>
    <row r="44" ht="15" customHeight="1" s="44">
      <c r="A44" s="89" t="inlineStr">
        <is>
          <t>Ontario Power Generation (OPG)</t>
        </is>
      </c>
      <c r="B44" s="89" t="inlineStr">
        <is>
          <t>Program Mgmt, Regulated Infrastructure</t>
        </is>
      </c>
      <c r="C44" s="89" t="inlineStr">
        <is>
          <t>Toronto/Ontario</t>
        </is>
      </c>
      <c r="D44" s="89" t="inlineStr">
        <is>
          <t>Not yet applied</t>
        </is>
      </c>
    </row>
    <row r="45" ht="15" customHeight="1" s="44">
      <c r="A45" s="89" t="inlineStr">
        <is>
          <t>Hydro One</t>
        </is>
      </c>
      <c r="B45" s="89" t="inlineStr">
        <is>
          <t>Program Mgmt, Regulated Utility</t>
        </is>
      </c>
      <c r="C45" s="89" t="inlineStr">
        <is>
          <t>Toronto HQ; job alerts already active per your inbox</t>
        </is>
      </c>
      <c r="D45" s="89" t="inlineStr">
        <is>
          <t>Not yet applied</t>
        </is>
      </c>
    </row>
    <row r="46" ht="15" customHeight="1" s="44">
      <c r="A46" s="88" t="inlineStr">
        <is>
          <t>Ontario Teachers' Pension Plan</t>
        </is>
      </c>
      <c r="B46" s="88" t="inlineStr">
        <is>
          <t>Program/Portfolio Mgmt</t>
        </is>
      </c>
      <c r="C46" s="88" t="inlineStr">
        <is>
          <t>Already applied - Manager, TBM role</t>
        </is>
      </c>
      <c r="D46" s="88" t="inlineStr">
        <is>
          <t>Already applied</t>
        </is>
      </c>
    </row>
    <row r="47" ht="15" customHeight="1" s="44">
      <c r="A47" s="89" t="inlineStr">
        <is>
          <t>OMERS</t>
        </is>
      </c>
      <c r="B47" s="89" t="inlineStr">
        <is>
          <t>Program Mgmt, Pension/Investment Tech</t>
        </is>
      </c>
      <c r="C47" s="89" t="inlineStr">
        <is>
          <t>Toronto HQ</t>
        </is>
      </c>
      <c r="D47" s="89" t="inlineStr">
        <is>
          <t>Not yet applied</t>
        </is>
      </c>
    </row>
  </sheetData>
  <mergeCells count="9">
    <mergeCell ref="A1:D1"/>
    <mergeCell ref="A37:D37"/>
    <mergeCell ref="A5:D5"/>
    <mergeCell ref="A22:D22"/>
    <mergeCell ref="A30:D30"/>
    <mergeCell ref="A25:D25"/>
    <mergeCell ref="A43:D43"/>
    <mergeCell ref="A19:D19"/>
    <mergeCell ref="A2:D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F104"/>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6796875" defaultRowHeight="15" zeroHeight="0" outlineLevelRow="0"/>
  <cols>
    <col width="6" customWidth="1" style="43" min="1" max="1"/>
    <col width="40" customWidth="1" style="43" min="2" max="2"/>
    <col width="20" customWidth="1" style="43" min="3" max="3"/>
    <col width="38" customWidth="1" style="43" min="4" max="4"/>
    <col width="14" customWidth="1" style="43" min="5" max="5"/>
    <col width="16" customWidth="1" style="43" min="6" max="6"/>
  </cols>
  <sheetData>
    <row r="1" ht="17.25" customHeight="1" s="44">
      <c r="A1" s="84" t="inlineStr">
        <is>
          <t>Canada's Top 100 Employers (2026) — Source: Mediacorp Canada Inc. / The Globe and Mail</t>
        </is>
      </c>
    </row>
    <row r="2" ht="15" customHeight="1" s="44">
      <c r="A2" s="90" t="inlineStr">
        <is>
          <t>Rows in grey are companies already in your Applications tab. "Relevant?" is a rough heuristic (software, financial services, banking, consulting, data, automation) — cross-reference against your own targeting.</t>
        </is>
      </c>
    </row>
    <row r="4" ht="15" customHeight="1" s="44">
      <c r="A4" s="91" t="inlineStr">
        <is>
          <t>#</t>
        </is>
      </c>
      <c r="B4" s="91" t="inlineStr">
        <is>
          <t>Company</t>
        </is>
      </c>
      <c r="C4" s="91" t="inlineStr">
        <is>
          <t>City / Province</t>
        </is>
      </c>
      <c r="D4" s="91" t="inlineStr">
        <is>
          <t>Industry</t>
        </is>
      </c>
      <c r="E4" s="91" t="inlineStr">
        <is>
          <t>Employees (FT)</t>
        </is>
      </c>
      <c r="F4" s="91" t="inlineStr">
        <is>
          <t>Tech/Data/Finance/PM Relevant?</t>
        </is>
      </c>
    </row>
    <row r="5" ht="15" customHeight="1" s="44">
      <c r="A5" s="92" t="n">
        <v>1</v>
      </c>
      <c r="B5" s="73" t="inlineStr">
        <is>
          <t>Alberta Blue Cross</t>
        </is>
      </c>
      <c r="C5" s="73" t="inlineStr">
        <is>
          <t>Edmonton, AB</t>
        </is>
      </c>
      <c r="D5" s="73" t="inlineStr">
        <is>
          <t>Health and medical insurance carriers</t>
        </is>
      </c>
      <c r="E5" s="92" t="n">
        <v>1388</v>
      </c>
      <c r="F5" s="73" t="inlineStr">
        <is>
          <t>Yes</t>
        </is>
      </c>
    </row>
    <row r="6" ht="15" customHeight="1" s="44">
      <c r="A6" s="92" t="n">
        <v>2</v>
      </c>
      <c r="B6" s="73" t="inlineStr">
        <is>
          <t>APTN</t>
        </is>
      </c>
      <c r="C6" s="73" t="inlineStr">
        <is>
          <t>Winnipeg, MB</t>
        </is>
      </c>
      <c r="D6" s="73" t="inlineStr">
        <is>
          <t>Media production and broadcasting</t>
        </is>
      </c>
      <c r="E6" s="92" t="n">
        <v>154</v>
      </c>
      <c r="F6" s="73" t="n"/>
    </row>
    <row r="7" ht="15" customHeight="1" s="44">
      <c r="A7" s="93" t="n">
        <v>3</v>
      </c>
      <c r="B7" s="94" t="inlineStr">
        <is>
          <t>AstraZeneca Canada Inc.</t>
        </is>
      </c>
      <c r="C7" s="94" t="inlineStr">
        <is>
          <t>Mississauga, ON</t>
        </is>
      </c>
      <c r="D7" s="94" t="inlineStr">
        <is>
          <t>Pharmaceutical manufacturing</t>
        </is>
      </c>
      <c r="E7" s="93" t="n">
        <v>2261</v>
      </c>
      <c r="F7" s="94" t="n"/>
    </row>
    <row r="8" ht="15" customHeight="1" s="44">
      <c r="A8" s="92" t="n">
        <v>4</v>
      </c>
      <c r="B8" s="73" t="inlineStr">
        <is>
          <t>Audiokinetic Inc.</t>
        </is>
      </c>
      <c r="C8" s="73" t="inlineStr">
        <is>
          <t>Montréal, QC</t>
        </is>
      </c>
      <c r="D8" s="73" t="inlineStr">
        <is>
          <t>Software developers</t>
        </is>
      </c>
      <c r="E8" s="92" t="n">
        <v>100</v>
      </c>
      <c r="F8" s="73" t="inlineStr">
        <is>
          <t>Yes</t>
        </is>
      </c>
    </row>
    <row r="9" ht="15" customHeight="1" s="44">
      <c r="A9" s="92" t="n">
        <v>5</v>
      </c>
      <c r="B9" s="73" t="inlineStr">
        <is>
          <t>Bank of Canada</t>
        </is>
      </c>
      <c r="C9" s="73" t="inlineStr">
        <is>
          <t>Ottawa, ON</t>
        </is>
      </c>
      <c r="D9" s="73" t="inlineStr">
        <is>
          <t>Central bank</t>
        </is>
      </c>
      <c r="E9" s="92" t="n">
        <v>2250</v>
      </c>
      <c r="F9" s="73" t="n"/>
    </row>
    <row r="10" ht="15" customHeight="1" s="44">
      <c r="A10" s="92" t="n">
        <v>6</v>
      </c>
      <c r="B10" s="73" t="inlineStr">
        <is>
          <t>BASF Canada Inc.</t>
        </is>
      </c>
      <c r="C10" s="73" t="inlineStr">
        <is>
          <t>Mississauga, ON</t>
        </is>
      </c>
      <c r="D10" s="73" t="inlineStr">
        <is>
          <t>Chemical manufacturing</t>
        </is>
      </c>
      <c r="E10" s="92" t="n">
        <v>1040</v>
      </c>
      <c r="F10" s="73" t="n"/>
    </row>
    <row r="11" ht="15" customHeight="1" s="44">
      <c r="A11" s="92" t="n">
        <v>7</v>
      </c>
      <c r="B11" s="73" t="inlineStr">
        <is>
          <t>BC Hydro</t>
        </is>
      </c>
      <c r="C11" s="73" t="inlineStr">
        <is>
          <t>Vancouver, BC</t>
        </is>
      </c>
      <c r="D11" s="73" t="inlineStr">
        <is>
          <t>Hydroelectric power generation</t>
        </is>
      </c>
      <c r="E11" s="92" t="n">
        <v>7837</v>
      </c>
      <c r="F11" s="73" t="n"/>
    </row>
    <row r="12" ht="15" customHeight="1" s="44">
      <c r="A12" s="92" t="n">
        <v>8</v>
      </c>
      <c r="B12" s="73" t="inlineStr">
        <is>
          <t>BC Public Service</t>
        </is>
      </c>
      <c r="C12" s="73" t="inlineStr">
        <is>
          <t>Victoria, BC</t>
        </is>
      </c>
      <c r="D12" s="73" t="inlineStr">
        <is>
          <t>Provincial government</t>
        </is>
      </c>
      <c r="E12" s="92" t="n">
        <v>38895</v>
      </c>
      <c r="F12" s="73" t="n"/>
    </row>
    <row r="13" ht="15" customHeight="1" s="44">
      <c r="A13" s="92" t="n">
        <v>9</v>
      </c>
      <c r="B13" s="73" t="inlineStr">
        <is>
          <t>BDO Canada LLP</t>
        </is>
      </c>
      <c r="C13" s="73" t="inlineStr">
        <is>
          <t>Toronto, ON</t>
        </is>
      </c>
      <c r="D13" s="73" t="inlineStr">
        <is>
          <t>Accounting</t>
        </is>
      </c>
      <c r="E13" s="92" t="n">
        <v>5032</v>
      </c>
      <c r="F13" s="73" t="n"/>
    </row>
    <row r="14" ht="15" customHeight="1" s="44">
      <c r="A14" s="92" t="n">
        <v>10</v>
      </c>
      <c r="B14" s="73" t="inlineStr">
        <is>
          <t>BHP Canada Inc.</t>
        </is>
      </c>
      <c r="C14" s="73" t="inlineStr">
        <is>
          <t>Saskatoon, SK</t>
        </is>
      </c>
      <c r="D14" s="73" t="inlineStr">
        <is>
          <t>Mining</t>
        </is>
      </c>
      <c r="E14" s="92" t="n">
        <v>549</v>
      </c>
      <c r="F14" s="73" t="n"/>
    </row>
    <row r="15" ht="15" customHeight="1" s="44">
      <c r="A15" s="92" t="n">
        <v>11</v>
      </c>
      <c r="B15" s="73" t="inlineStr">
        <is>
          <t>Bird Construction Inc.</t>
        </is>
      </c>
      <c r="C15" s="73" t="inlineStr">
        <is>
          <t>Calgary, AB</t>
        </is>
      </c>
      <c r="D15" s="73" t="inlineStr">
        <is>
          <t>Industrial/commercial/institutional building construction</t>
        </is>
      </c>
      <c r="E15" s="92" t="n">
        <v>2130</v>
      </c>
      <c r="F15" s="73" t="n"/>
    </row>
    <row r="16" ht="15" customHeight="1" s="44">
      <c r="A16" s="92" t="n">
        <v>12</v>
      </c>
      <c r="B16" s="73" t="inlineStr">
        <is>
          <t>Blake, Cassels &amp; Graydon LLP</t>
        </is>
      </c>
      <c r="C16" s="73" t="inlineStr">
        <is>
          <t>Toronto, ON</t>
        </is>
      </c>
      <c r="D16" s="73" t="inlineStr">
        <is>
          <t>Law firms</t>
        </is>
      </c>
      <c r="E16" s="92" t="n">
        <v>1420</v>
      </c>
      <c r="F16" s="73" t="n"/>
    </row>
    <row r="17" ht="15" customHeight="1" s="44">
      <c r="A17" s="92" t="n">
        <v>13</v>
      </c>
      <c r="B17" s="73" t="inlineStr">
        <is>
          <t>Boston Consulting Group Canada ULC</t>
        </is>
      </c>
      <c r="C17" s="73" t="inlineStr">
        <is>
          <t>Toronto, ON</t>
        </is>
      </c>
      <c r="D17" s="73" t="inlineStr">
        <is>
          <t>Management consulting</t>
        </is>
      </c>
      <c r="E17" s="92" t="n">
        <v>575</v>
      </c>
      <c r="F17" s="73" t="inlineStr">
        <is>
          <t>Yes</t>
        </is>
      </c>
    </row>
    <row r="18" ht="15" customHeight="1" s="44">
      <c r="A18" s="92" t="n">
        <v>14</v>
      </c>
      <c r="B18" s="73" t="inlineStr">
        <is>
          <t>British Columbia Investment Management Corp. (BCI)</t>
        </is>
      </c>
      <c r="C18" s="73" t="inlineStr">
        <is>
          <t>Victoria, BC</t>
        </is>
      </c>
      <c r="D18" s="73" t="inlineStr">
        <is>
          <t>Portfolio management</t>
        </is>
      </c>
      <c r="E18" s="92" t="n">
        <v>730</v>
      </c>
      <c r="F18" s="73" t="inlineStr">
        <is>
          <t>Yes</t>
        </is>
      </c>
    </row>
    <row r="19" ht="15" customHeight="1" s="44">
      <c r="A19" s="92" t="n">
        <v>15</v>
      </c>
      <c r="B19" s="73" t="inlineStr">
        <is>
          <t>Business Development Bank of Canada</t>
        </is>
      </c>
      <c r="C19" s="73" t="inlineStr">
        <is>
          <t>Montréal, QC</t>
        </is>
      </c>
      <c r="D19" s="73" t="inlineStr">
        <is>
          <t>Secondary market financing</t>
        </is>
      </c>
      <c r="E19" s="92" t="n">
        <v>2992</v>
      </c>
      <c r="F19" s="73" t="inlineStr">
        <is>
          <t>Yes</t>
        </is>
      </c>
    </row>
    <row r="20" ht="15" customHeight="1" s="44">
      <c r="A20" s="92" t="n">
        <v>16</v>
      </c>
      <c r="B20" s="73" t="inlineStr">
        <is>
          <t>Canada Energy Regulator</t>
        </is>
      </c>
      <c r="C20" s="73" t="inlineStr">
        <is>
          <t>Calgary, AB</t>
        </is>
      </c>
      <c r="D20" s="73" t="inlineStr">
        <is>
          <t>Federal government - energy regulation</t>
        </is>
      </c>
      <c r="E20" s="92" t="n">
        <v>576</v>
      </c>
      <c r="F20" s="73" t="n"/>
    </row>
    <row r="21" ht="15" customHeight="1" s="44">
      <c r="A21" s="92" t="n">
        <v>17</v>
      </c>
      <c r="B21" s="73" t="inlineStr">
        <is>
          <t>CBCL Limited</t>
        </is>
      </c>
      <c r="C21" s="73" t="inlineStr">
        <is>
          <t>Halifax, NS</t>
        </is>
      </c>
      <c r="D21" s="73" t="inlineStr">
        <is>
          <t>Engineering services</t>
        </is>
      </c>
      <c r="E21" s="92" t="n">
        <v>459</v>
      </c>
      <c r="F21" s="73" t="n"/>
    </row>
    <row r="22" ht="15" customHeight="1" s="44">
      <c r="A22" s="93" t="n">
        <v>18</v>
      </c>
      <c r="B22" s="94" t="inlineStr">
        <is>
          <t>CIBC</t>
        </is>
      </c>
      <c r="C22" s="94" t="inlineStr">
        <is>
          <t>Toronto, ON</t>
        </is>
      </c>
      <c r="D22" s="94" t="inlineStr">
        <is>
          <t>Banking</t>
        </is>
      </c>
      <c r="E22" s="93" t="n">
        <v>42280</v>
      </c>
      <c r="F22" s="94" t="inlineStr">
        <is>
          <t>Yes</t>
        </is>
      </c>
    </row>
    <row r="23" ht="15" customHeight="1" s="44">
      <c r="A23" s="92" t="n">
        <v>19</v>
      </c>
      <c r="B23" s="73" t="inlineStr">
        <is>
          <t>Clio</t>
        </is>
      </c>
      <c r="C23" s="73" t="inlineStr">
        <is>
          <t>Burnaby, BC</t>
        </is>
      </c>
      <c r="D23" s="73" t="inlineStr">
        <is>
          <t>Computer software</t>
        </is>
      </c>
      <c r="E23" s="92" t="n">
        <v>1128</v>
      </c>
      <c r="F23" s="73" t="inlineStr">
        <is>
          <t>Yes</t>
        </is>
      </c>
    </row>
    <row r="24" ht="15" customHeight="1" s="44">
      <c r="A24" s="92" t="n">
        <v>20</v>
      </c>
      <c r="B24" s="73" t="inlineStr">
        <is>
          <t>Co-operators Group Limited, The</t>
        </is>
      </c>
      <c r="C24" s="73" t="inlineStr">
        <is>
          <t>Guelph, ON</t>
        </is>
      </c>
      <c r="D24" s="73" t="inlineStr">
        <is>
          <t>Insurance</t>
        </is>
      </c>
      <c r="E24" s="92" t="n">
        <v>6595</v>
      </c>
      <c r="F24" s="73" t="inlineStr">
        <is>
          <t>Yes</t>
        </is>
      </c>
    </row>
    <row r="25" ht="15" customHeight="1" s="44">
      <c r="A25" s="92" t="n">
        <v>21</v>
      </c>
      <c r="B25" s="73" t="inlineStr">
        <is>
          <t>College of Physicians and Surgeons of Ontario</t>
        </is>
      </c>
      <c r="C25" s="73" t="inlineStr">
        <is>
          <t>Toronto, ON</t>
        </is>
      </c>
      <c r="D25" s="73" t="inlineStr">
        <is>
          <t>Professional organizations</t>
        </is>
      </c>
      <c r="E25" s="92" t="n">
        <v>357</v>
      </c>
      <c r="F25" s="73" t="n"/>
    </row>
    <row r="26" ht="15" customHeight="1" s="44">
      <c r="A26" s="92" t="n">
        <v>22</v>
      </c>
      <c r="B26" s="73" t="inlineStr">
        <is>
          <t>Creative Options Regina, Inc.</t>
        </is>
      </c>
      <c r="C26" s="73" t="inlineStr">
        <is>
          <t>Regina, SK</t>
        </is>
      </c>
      <c r="D26" s="73" t="inlineStr">
        <is>
          <t>Mental health support services</t>
        </is>
      </c>
      <c r="E26" s="92" t="n">
        <v>292</v>
      </c>
      <c r="F26" s="73" t="n"/>
    </row>
    <row r="27" ht="15" customHeight="1" s="44">
      <c r="A27" s="92" t="n">
        <v>23</v>
      </c>
      <c r="B27" s="73" t="inlineStr">
        <is>
          <t>Danone Canada</t>
        </is>
      </c>
      <c r="C27" s="73" t="inlineStr">
        <is>
          <t>Boucherville, QC</t>
        </is>
      </c>
      <c r="D27" s="73" t="inlineStr">
        <is>
          <t>Food manufacturing</t>
        </is>
      </c>
      <c r="E27" s="92" t="n">
        <v>572</v>
      </c>
      <c r="F27" s="73" t="n"/>
    </row>
    <row r="28" ht="15" customHeight="1" s="44">
      <c r="A28" s="92" t="n">
        <v>24</v>
      </c>
      <c r="B28" s="73" t="inlineStr">
        <is>
          <t>Dash Social</t>
        </is>
      </c>
      <c r="C28" s="73" t="inlineStr">
        <is>
          <t>Halifax, NS</t>
        </is>
      </c>
      <c r="D28" s="73" t="inlineStr">
        <is>
          <t>Software</t>
        </is>
      </c>
      <c r="E28" s="92" t="n">
        <v>225</v>
      </c>
      <c r="F28" s="73" t="inlineStr">
        <is>
          <t>Yes</t>
        </is>
      </c>
    </row>
    <row r="29" ht="15" customHeight="1" s="44">
      <c r="A29" s="92" t="n">
        <v>25</v>
      </c>
      <c r="B29" s="73" t="inlineStr">
        <is>
          <t>Dentons Canada LLP</t>
        </is>
      </c>
      <c r="C29" s="73" t="inlineStr">
        <is>
          <t>Calgary, AB</t>
        </is>
      </c>
      <c r="D29" s="73" t="inlineStr">
        <is>
          <t>Law firms</t>
        </is>
      </c>
      <c r="E29" s="92" t="n">
        <v>1391</v>
      </c>
      <c r="F29" s="73" t="n"/>
    </row>
    <row r="30" ht="15" customHeight="1" s="44">
      <c r="A30" s="92" t="n">
        <v>26</v>
      </c>
      <c r="B30" s="73" t="inlineStr">
        <is>
          <t>Desjardins Group / Mouvement Desjardins</t>
        </is>
      </c>
      <c r="C30" s="73" t="inlineStr">
        <is>
          <t>Lévis, QC</t>
        </is>
      </c>
      <c r="D30" s="73" t="inlineStr">
        <is>
          <t>Financial institutions</t>
        </is>
      </c>
      <c r="E30" s="92" t="n">
        <v>50908</v>
      </c>
      <c r="F30" s="73" t="inlineStr">
        <is>
          <t>Yes</t>
        </is>
      </c>
    </row>
    <row r="31" ht="15" customHeight="1" s="44">
      <c r="A31" s="92" t="n">
        <v>27</v>
      </c>
      <c r="B31" s="73" t="inlineStr">
        <is>
          <t>Diamond Schmitt Architects Inc.</t>
        </is>
      </c>
      <c r="C31" s="73" t="inlineStr">
        <is>
          <t>Toronto, ON</t>
        </is>
      </c>
      <c r="D31" s="73" t="inlineStr">
        <is>
          <t>Architecture</t>
        </is>
      </c>
      <c r="E31" s="92" t="n">
        <v>288</v>
      </c>
      <c r="F31" s="73" t="n"/>
    </row>
    <row r="32" ht="15" customHeight="1" s="44">
      <c r="A32" s="92" t="n">
        <v>28</v>
      </c>
      <c r="B32" s="73" t="inlineStr">
        <is>
          <t>Digital Extremes Ltd.</t>
        </is>
      </c>
      <c r="C32" s="73" t="inlineStr">
        <is>
          <t>London, ON</t>
        </is>
      </c>
      <c r="D32" s="73" t="inlineStr">
        <is>
          <t>Software publishers</t>
        </is>
      </c>
      <c r="E32" s="92" t="n">
        <v>450</v>
      </c>
      <c r="F32" s="73" t="inlineStr">
        <is>
          <t>Yes</t>
        </is>
      </c>
    </row>
    <row r="33" ht="15" customHeight="1" s="44">
      <c r="A33" s="92" t="n">
        <v>29</v>
      </c>
      <c r="B33" s="73" t="inlineStr">
        <is>
          <t>DP World (Canada) Inc.</t>
        </is>
      </c>
      <c r="C33" s="73" t="inlineStr">
        <is>
          <t>Burnaby, BC</t>
        </is>
      </c>
      <c r="D33" s="73" t="inlineStr">
        <is>
          <t>Deep sea freight transportation</t>
        </is>
      </c>
      <c r="E33" s="92" t="n">
        <v>382</v>
      </c>
      <c r="F33" s="73" t="n"/>
    </row>
    <row r="34" ht="15" customHeight="1" s="44">
      <c r="A34" s="92" t="n">
        <v>30</v>
      </c>
      <c r="B34" s="73" t="inlineStr">
        <is>
          <t>Emera Inc.</t>
        </is>
      </c>
      <c r="C34" s="73" t="inlineStr">
        <is>
          <t>Halifax, NS</t>
        </is>
      </c>
      <c r="D34" s="73" t="inlineStr">
        <is>
          <t>Electric power generation/distribution, gas distribution</t>
        </is>
      </c>
      <c r="E34" s="92" t="n">
        <v>2639</v>
      </c>
      <c r="F34" s="73" t="n"/>
    </row>
    <row r="35" ht="15" customHeight="1" s="44">
      <c r="A35" s="92" t="n">
        <v>31</v>
      </c>
      <c r="B35" s="73" t="inlineStr">
        <is>
          <t>Equinix, Inc.</t>
        </is>
      </c>
      <c r="C35" s="73" t="inlineStr">
        <is>
          <t>Toronto, ON</t>
        </is>
      </c>
      <c r="D35" s="73" t="inlineStr">
        <is>
          <t>Data centre services</t>
        </is>
      </c>
      <c r="E35" s="92" t="n">
        <v>535</v>
      </c>
      <c r="F35" s="73" t="inlineStr">
        <is>
          <t>Yes</t>
        </is>
      </c>
    </row>
    <row r="36" ht="15" customHeight="1" s="44">
      <c r="A36" s="92" t="n">
        <v>32</v>
      </c>
      <c r="B36" s="73" t="inlineStr">
        <is>
          <t>ETRO Construction Ltd.</t>
        </is>
      </c>
      <c r="C36" s="73" t="inlineStr">
        <is>
          <t>Burnaby, BC</t>
        </is>
      </c>
      <c r="D36" s="73" t="inlineStr">
        <is>
          <t>Construction management</t>
        </is>
      </c>
      <c r="E36" s="92" t="n">
        <v>140</v>
      </c>
      <c r="F36" s="73" t="n"/>
    </row>
    <row r="37" ht="15" customHeight="1" s="44">
      <c r="A37" s="92" t="n">
        <v>33</v>
      </c>
      <c r="B37" s="73" t="inlineStr">
        <is>
          <t>Export Development Canada</t>
        </is>
      </c>
      <c r="C37" s="73" t="inlineStr">
        <is>
          <t>Ottawa, ON</t>
        </is>
      </c>
      <c r="D37" s="73" t="inlineStr">
        <is>
          <t>International trade financing and support services</t>
        </is>
      </c>
      <c r="E37" s="92" t="n">
        <v>2084</v>
      </c>
      <c r="F37" s="73" t="inlineStr">
        <is>
          <t>Yes</t>
        </is>
      </c>
    </row>
    <row r="38" ht="15" customHeight="1" s="44">
      <c r="A38" s="93" t="n">
        <v>34</v>
      </c>
      <c r="B38" s="94" t="inlineStr">
        <is>
          <t>EY</t>
        </is>
      </c>
      <c r="C38" s="94" t="inlineStr">
        <is>
          <t>Toronto, ON</t>
        </is>
      </c>
      <c r="D38" s="94" t="inlineStr">
        <is>
          <t>Accounting</t>
        </is>
      </c>
      <c r="E38" s="93" t="n">
        <v>9000</v>
      </c>
      <c r="F38" s="94" t="n"/>
    </row>
    <row r="39" ht="15" customHeight="1" s="44">
      <c r="A39" s="92" t="n">
        <v>35</v>
      </c>
      <c r="B39" s="73" t="inlineStr">
        <is>
          <t>Fidelity Canada</t>
        </is>
      </c>
      <c r="C39" s="73" t="inlineStr">
        <is>
          <t>Toronto, ON</t>
        </is>
      </c>
      <c r="D39" s="73" t="inlineStr">
        <is>
          <t>Portfolio management</t>
        </is>
      </c>
      <c r="E39" s="92" t="n">
        <v>2336</v>
      </c>
      <c r="F39" s="73" t="inlineStr">
        <is>
          <t>Yes</t>
        </is>
      </c>
    </row>
    <row r="40" ht="15" customHeight="1" s="44">
      <c r="A40" s="92" t="n">
        <v>36</v>
      </c>
      <c r="B40" s="73" t="inlineStr">
        <is>
          <t>Ford Motor Company of Canada Ltd.</t>
        </is>
      </c>
      <c r="C40" s="73" t="inlineStr">
        <is>
          <t>Oakville, ON</t>
        </is>
      </c>
      <c r="D40" s="73" t="inlineStr">
        <is>
          <t>Automobile manufacturing</t>
        </is>
      </c>
      <c r="E40" s="92" t="n">
        <v>7294</v>
      </c>
      <c r="F40" s="73" t="n"/>
    </row>
    <row r="41" ht="15" customHeight="1" s="44">
      <c r="A41" s="92" t="n">
        <v>37</v>
      </c>
      <c r="B41" s="73" t="inlineStr">
        <is>
          <t>GHD Ltd.</t>
        </is>
      </c>
      <c r="C41" s="73" t="inlineStr">
        <is>
          <t>Waterloo, ON</t>
        </is>
      </c>
      <c r="D41" s="73" t="inlineStr">
        <is>
          <t>Engineering services</t>
        </is>
      </c>
      <c r="E41" s="92" t="n">
        <v>2051</v>
      </c>
      <c r="F41" s="73" t="n"/>
    </row>
    <row r="42" ht="15" customHeight="1" s="44">
      <c r="A42" s="92" t="n">
        <v>38</v>
      </c>
      <c r="B42" s="73" t="inlineStr">
        <is>
          <t>Gibson Energy Inc.</t>
        </is>
      </c>
      <c r="C42" s="73" t="inlineStr">
        <is>
          <t>Calgary, AB</t>
        </is>
      </c>
      <c r="D42" s="73" t="inlineStr">
        <is>
          <t>Oil and gas distribution</t>
        </is>
      </c>
      <c r="E42" s="92" t="n">
        <v>454</v>
      </c>
      <c r="F42" s="73" t="n"/>
    </row>
    <row r="43" ht="15" customHeight="1" s="44">
      <c r="A43" s="92" t="n">
        <v>39</v>
      </c>
      <c r="B43" s="73" t="inlineStr">
        <is>
          <t>Graham Construction</t>
        </is>
      </c>
      <c r="C43" s="73" t="inlineStr">
        <is>
          <t>Calgary, AB</t>
        </is>
      </c>
      <c r="D43" s="73" t="inlineStr">
        <is>
          <t>Industrial/commercial/institutional building construction</t>
        </is>
      </c>
      <c r="E43" s="92" t="n">
        <v>1989</v>
      </c>
      <c r="F43" s="73" t="n"/>
    </row>
    <row r="44" ht="15" customHeight="1" s="44">
      <c r="A44" s="92" t="n">
        <v>40</v>
      </c>
      <c r="B44" s="73" t="inlineStr">
        <is>
          <t>Hatch Ltd.</t>
        </is>
      </c>
      <c r="C44" s="73" t="inlineStr">
        <is>
          <t>Mississauga, ON</t>
        </is>
      </c>
      <c r="D44" s="73" t="inlineStr">
        <is>
          <t>Engineering services</t>
        </is>
      </c>
      <c r="E44" s="92" t="n">
        <v>4853</v>
      </c>
      <c r="F44" s="73" t="n"/>
    </row>
    <row r="45" ht="15" customHeight="1" s="44">
      <c r="A45" s="92" t="n">
        <v>41</v>
      </c>
      <c r="B45" s="73" t="inlineStr">
        <is>
          <t>Henkel Canada Corp.</t>
        </is>
      </c>
      <c r="C45" s="73" t="inlineStr">
        <is>
          <t>Mississauga, ON</t>
        </is>
      </c>
      <c r="D45" s="73" t="inlineStr">
        <is>
          <t>Consumer and industrial product manufacturing</t>
        </is>
      </c>
      <c r="E45" s="92" t="n">
        <v>440</v>
      </c>
      <c r="F45" s="73" t="n"/>
    </row>
    <row r="46" ht="15" customHeight="1" s="44">
      <c r="A46" s="92" t="n">
        <v>42</v>
      </c>
      <c r="B46" s="73" t="inlineStr">
        <is>
          <t>Hospital for Sick Children, The</t>
        </is>
      </c>
      <c r="C46" s="73" t="inlineStr">
        <is>
          <t>Toronto, ON</t>
        </is>
      </c>
      <c r="D46" s="73" t="inlineStr">
        <is>
          <t>Hospitals</t>
        </is>
      </c>
      <c r="E46" s="92" t="n">
        <v>6955</v>
      </c>
      <c r="F46" s="73" t="n"/>
    </row>
    <row r="47" ht="15" customHeight="1" s="44">
      <c r="A47" s="92" t="n">
        <v>43</v>
      </c>
      <c r="B47" s="73" t="inlineStr">
        <is>
          <t>IGM Financial Inc.</t>
        </is>
      </c>
      <c r="C47" s="73" t="inlineStr">
        <is>
          <t>Winnipeg, MB</t>
        </is>
      </c>
      <c r="D47" s="73" t="inlineStr">
        <is>
          <t>Financial services</t>
        </is>
      </c>
      <c r="E47" s="92" t="n">
        <v>3557</v>
      </c>
      <c r="F47" s="73" t="inlineStr">
        <is>
          <t>Yes</t>
        </is>
      </c>
    </row>
    <row r="48" ht="15" customHeight="1" s="44">
      <c r="A48" s="92" t="n">
        <v>44</v>
      </c>
      <c r="B48" s="73" t="inlineStr">
        <is>
          <t>Innovation, Science and Economic Development Canada</t>
        </is>
      </c>
      <c r="C48" s="73" t="inlineStr">
        <is>
          <t>Ottawa, ON</t>
        </is>
      </c>
      <c r="D48" s="73" t="inlineStr">
        <is>
          <t>Federal government - industry/economic development</t>
        </is>
      </c>
      <c r="E48" s="92" t="n">
        <v>6619</v>
      </c>
      <c r="F48" s="73" t="n"/>
    </row>
    <row r="49" ht="15" customHeight="1" s="44">
      <c r="A49" s="92" t="n">
        <v>45</v>
      </c>
      <c r="B49" s="73" t="inlineStr">
        <is>
          <t>Inter Pipeline Ltd.</t>
        </is>
      </c>
      <c r="C49" s="73" t="inlineStr">
        <is>
          <t>Calgary, AB</t>
        </is>
      </c>
      <c r="D49" s="73" t="inlineStr">
        <is>
          <t>Petroleum transportation, storage, NGL processing</t>
        </is>
      </c>
      <c r="E49" s="92" t="n">
        <v>1083</v>
      </c>
      <c r="F49" s="73" t="n"/>
    </row>
    <row r="50" ht="15" customHeight="1" s="44">
      <c r="A50" s="92" t="n">
        <v>46</v>
      </c>
      <c r="B50" s="73" t="inlineStr">
        <is>
          <t>Irving Oil</t>
        </is>
      </c>
      <c r="C50" s="73" t="inlineStr">
        <is>
          <t>Saint John, NB</t>
        </is>
      </c>
      <c r="D50" s="73" t="inlineStr">
        <is>
          <t>Petroleum refining, distribution and retail</t>
        </is>
      </c>
      <c r="E50" s="92" t="n">
        <v>3051</v>
      </c>
      <c r="F50" s="73" t="n"/>
    </row>
    <row r="51" ht="15" customHeight="1" s="44">
      <c r="A51" s="92" t="n">
        <v>47</v>
      </c>
      <c r="B51" s="73" t="inlineStr">
        <is>
          <t>Keurig Dr Pepper Canada</t>
        </is>
      </c>
      <c r="C51" s="73" t="inlineStr">
        <is>
          <t>Montréal, QC</t>
        </is>
      </c>
      <c r="D51" s="73" t="inlineStr">
        <is>
          <t>Coffee distribution and brewing equipment</t>
        </is>
      </c>
      <c r="E51" s="92" t="n">
        <v>1374</v>
      </c>
      <c r="F51" s="73" t="n"/>
    </row>
    <row r="52" ht="15" customHeight="1" s="44">
      <c r="A52" s="92" t="n">
        <v>48</v>
      </c>
      <c r="B52" s="73" t="inlineStr">
        <is>
          <t>Keyera Corp.</t>
        </is>
      </c>
      <c r="C52" s="73" t="inlineStr">
        <is>
          <t>Calgary, AB</t>
        </is>
      </c>
      <c r="D52" s="73" t="inlineStr">
        <is>
          <t>Crude petroleum and natural gas extraction</t>
        </is>
      </c>
      <c r="E52" s="92" t="n">
        <v>1182</v>
      </c>
      <c r="F52" s="73" t="n"/>
    </row>
    <row r="53" ht="15" customHeight="1" s="44">
      <c r="A53" s="92" t="n">
        <v>49</v>
      </c>
      <c r="B53" s="73" t="inlineStr">
        <is>
          <t>L'Oréal Canada Inc.</t>
        </is>
      </c>
      <c r="C53" s="73" t="inlineStr">
        <is>
          <t>Montréal, QC</t>
        </is>
      </c>
      <c r="D53" s="73" t="inlineStr">
        <is>
          <t>Cosmetics manufacturing</t>
        </is>
      </c>
      <c r="E53" s="92" t="n">
        <v>1585</v>
      </c>
      <c r="F53" s="73" t="n"/>
    </row>
    <row r="54" ht="15" customHeight="1" s="44">
      <c r="A54" s="92" t="n">
        <v>50</v>
      </c>
      <c r="B54" s="73" t="inlineStr">
        <is>
          <t>Labatt Breweries of Canada</t>
        </is>
      </c>
      <c r="C54" s="73" t="inlineStr">
        <is>
          <t>Toronto, ON</t>
        </is>
      </c>
      <c r="D54" s="73" t="inlineStr">
        <is>
          <t>Breweries</t>
        </is>
      </c>
      <c r="E54" s="92" t="n">
        <v>3374</v>
      </c>
      <c r="F54" s="73" t="n"/>
    </row>
    <row r="55" ht="15" customHeight="1" s="44">
      <c r="A55" s="92" t="n">
        <v>51</v>
      </c>
      <c r="B55" s="73" t="inlineStr">
        <is>
          <t>LBMX Inc.</t>
        </is>
      </c>
      <c r="C55" s="73" t="inlineStr">
        <is>
          <t>London, ON</t>
        </is>
      </c>
      <c r="D55" s="73" t="inlineStr">
        <is>
          <t>Computer software</t>
        </is>
      </c>
      <c r="E55" s="92" t="n">
        <v>134</v>
      </c>
      <c r="F55" s="73" t="inlineStr">
        <is>
          <t>Yes</t>
        </is>
      </c>
    </row>
    <row r="56" ht="15" customHeight="1" s="44">
      <c r="A56" s="92" t="n">
        <v>52</v>
      </c>
      <c r="B56" s="73" t="inlineStr">
        <is>
          <t>Lightspeed Commerce Inc.</t>
        </is>
      </c>
      <c r="C56" s="73" t="inlineStr">
        <is>
          <t>Montréal, QC</t>
        </is>
      </c>
      <c r="D56" s="73" t="inlineStr">
        <is>
          <t>Computer software</t>
        </is>
      </c>
      <c r="E56" s="92" t="n">
        <v>1217</v>
      </c>
      <c r="F56" s="73" t="inlineStr">
        <is>
          <t>Yes</t>
        </is>
      </c>
    </row>
    <row r="57" ht="15" customHeight="1" s="44">
      <c r="A57" s="92" t="n">
        <v>53</v>
      </c>
      <c r="B57" s="73" t="inlineStr">
        <is>
          <t>Loblaw Companies Ltd.</t>
        </is>
      </c>
      <c r="C57" s="73" t="inlineStr">
        <is>
          <t>Brampton, ON</t>
        </is>
      </c>
      <c r="D57" s="73" t="inlineStr">
        <is>
          <t>Supermarkets and grocery stores</t>
        </is>
      </c>
      <c r="E57" s="92" t="n">
        <v>29652</v>
      </c>
      <c r="F57" s="73" t="n"/>
    </row>
    <row r="58" ht="15" customHeight="1" s="44">
      <c r="A58" s="92" t="n">
        <v>54</v>
      </c>
      <c r="B58" s="73" t="inlineStr">
        <is>
          <t>Manulife Financial Corporation</t>
        </is>
      </c>
      <c r="C58" s="73" t="inlineStr">
        <is>
          <t>Toronto, ON</t>
        </is>
      </c>
      <c r="D58" s="73" t="inlineStr">
        <is>
          <t>Direct life insurance carriers</t>
        </is>
      </c>
      <c r="E58" s="92" t="n">
        <v>12221</v>
      </c>
      <c r="F58" s="73" t="inlineStr">
        <is>
          <t>Yes</t>
        </is>
      </c>
    </row>
    <row r="59" ht="15" customHeight="1" s="44">
      <c r="A59" s="92" t="n">
        <v>55</v>
      </c>
      <c r="B59" s="73" t="inlineStr">
        <is>
          <t>Mars Canada</t>
        </is>
      </c>
      <c r="C59" s="73" t="inlineStr">
        <is>
          <t>Bolton, ON</t>
        </is>
      </c>
      <c r="D59" s="73" t="inlineStr">
        <is>
          <t>Food manufacturing</t>
        </is>
      </c>
      <c r="E59" s="92" t="n">
        <v>1579</v>
      </c>
      <c r="F59" s="73" t="n"/>
    </row>
    <row r="60" ht="15" customHeight="1" s="44">
      <c r="A60" s="92" t="n">
        <v>56</v>
      </c>
      <c r="B60" s="73" t="inlineStr">
        <is>
          <t>Mawer Investment Management Ltd.</t>
        </is>
      </c>
      <c r="C60" s="73" t="inlineStr">
        <is>
          <t>Calgary, AB</t>
        </is>
      </c>
      <c r="D60" s="73" t="inlineStr">
        <is>
          <t>Financial planning and investment management</t>
        </is>
      </c>
      <c r="E60" s="92" t="n">
        <v>266</v>
      </c>
      <c r="F60" s="73" t="inlineStr">
        <is>
          <t>Yes</t>
        </is>
      </c>
    </row>
    <row r="61" ht="15" customHeight="1" s="44">
      <c r="A61" s="92" t="n">
        <v>57</v>
      </c>
      <c r="B61" s="73" t="inlineStr">
        <is>
          <t>Mazda Canada Inc.</t>
        </is>
      </c>
      <c r="C61" s="73" t="inlineStr">
        <is>
          <t>Richmond Hill, ON</t>
        </is>
      </c>
      <c r="D61" s="73" t="inlineStr">
        <is>
          <t>Automobile wholesale</t>
        </is>
      </c>
      <c r="E61" s="92" t="n">
        <v>183</v>
      </c>
      <c r="F61" s="73" t="n"/>
    </row>
    <row r="62" ht="15" customHeight="1" s="44">
      <c r="A62" s="92" t="n">
        <v>58</v>
      </c>
      <c r="B62" s="73" t="inlineStr">
        <is>
          <t>Medavie Inc.</t>
        </is>
      </c>
      <c r="C62" s="73" t="inlineStr">
        <is>
          <t>Moncton, NB</t>
        </is>
      </c>
      <c r="D62" s="73" t="inlineStr">
        <is>
          <t>Medical insurance and health services</t>
        </is>
      </c>
      <c r="E62" s="92" t="n">
        <v>6540</v>
      </c>
      <c r="F62" s="73" t="inlineStr">
        <is>
          <t>Yes</t>
        </is>
      </c>
    </row>
    <row r="63" ht="15" customHeight="1" s="44">
      <c r="A63" s="92" t="n">
        <v>59</v>
      </c>
      <c r="B63" s="73" t="inlineStr">
        <is>
          <t>Michelin North America (Canada) Inc.</t>
        </is>
      </c>
      <c r="C63" s="73" t="inlineStr">
        <is>
          <t>New Glasgow, NS</t>
        </is>
      </c>
      <c r="D63" s="73" t="inlineStr">
        <is>
          <t>Tire manufacturing</t>
        </is>
      </c>
      <c r="E63" s="92" t="n">
        <v>4534</v>
      </c>
      <c r="F63" s="73" t="n"/>
    </row>
    <row r="64" ht="15" customHeight="1" s="44">
      <c r="A64" s="92" t="n">
        <v>60</v>
      </c>
      <c r="B64" s="73" t="inlineStr">
        <is>
          <t>Nasdaq Verafin</t>
        </is>
      </c>
      <c r="C64" s="73" t="inlineStr">
        <is>
          <t>St. John's, NL</t>
        </is>
      </c>
      <c r="D64" s="73" t="inlineStr">
        <is>
          <t>Specialized financial software</t>
        </is>
      </c>
      <c r="E64" s="92" t="n">
        <v>1102</v>
      </c>
      <c r="F64" s="73" t="inlineStr">
        <is>
          <t>Yes</t>
        </is>
      </c>
    </row>
    <row r="65" ht="15" customHeight="1" s="44">
      <c r="A65" s="92" t="n">
        <v>61</v>
      </c>
      <c r="B65" s="73" t="inlineStr">
        <is>
          <t>Nestlé Canada Inc.</t>
        </is>
      </c>
      <c r="C65" s="73" t="inlineStr">
        <is>
          <t>Toronto, ON</t>
        </is>
      </c>
      <c r="D65" s="73" t="inlineStr">
        <is>
          <t>Food manufacturing</t>
        </is>
      </c>
      <c r="E65" s="92" t="n">
        <v>2378</v>
      </c>
      <c r="F65" s="73" t="n"/>
    </row>
    <row r="66" ht="15" customHeight="1" s="44">
      <c r="A66" s="92" t="n">
        <v>62</v>
      </c>
      <c r="B66" s="73" t="inlineStr">
        <is>
          <t>Novo Nordisk Canada Inc.</t>
        </is>
      </c>
      <c r="C66" s="73" t="inlineStr">
        <is>
          <t>Mississauga, ON</t>
        </is>
      </c>
      <c r="D66" s="73" t="inlineStr">
        <is>
          <t>Pharmaceuticals preparation manufacturing</t>
        </is>
      </c>
      <c r="E66" s="92" t="n">
        <v>430</v>
      </c>
      <c r="F66" s="73" t="n"/>
    </row>
    <row r="67" ht="15" customHeight="1" s="44">
      <c r="A67" s="92" t="n">
        <v>63</v>
      </c>
      <c r="B67" s="73" t="inlineStr">
        <is>
          <t>Office Interiors</t>
        </is>
      </c>
      <c r="C67" s="73" t="inlineStr">
        <is>
          <t>Dartmouth, NS</t>
        </is>
      </c>
      <c r="D67" s="73" t="inlineStr">
        <is>
          <t>Office furniture and equipment</t>
        </is>
      </c>
      <c r="E67" s="92" t="n">
        <v>89</v>
      </c>
      <c r="F67" s="73" t="n"/>
    </row>
    <row r="68" ht="15" customHeight="1" s="44">
      <c r="A68" s="92" t="n">
        <v>64</v>
      </c>
      <c r="B68" s="73" t="inlineStr">
        <is>
          <t>Plusgrade Inc.</t>
        </is>
      </c>
      <c r="C68" s="73" t="inlineStr">
        <is>
          <t>Montréal, QC</t>
        </is>
      </c>
      <c r="D68" s="73" t="inlineStr">
        <is>
          <t>Software publishers</t>
        </is>
      </c>
      <c r="E68" s="92" t="n">
        <v>613</v>
      </c>
      <c r="F68" s="73" t="inlineStr">
        <is>
          <t>Yes</t>
        </is>
      </c>
    </row>
    <row r="69" ht="15" customHeight="1" s="44">
      <c r="A69" s="92" t="n">
        <v>65</v>
      </c>
      <c r="B69" s="73" t="inlineStr">
        <is>
          <t>Pomerleau Inc.</t>
        </is>
      </c>
      <c r="C69" s="73" t="inlineStr">
        <is>
          <t>Montréal, QC</t>
        </is>
      </c>
      <c r="D69" s="73" t="inlineStr">
        <is>
          <t>Construction services</t>
        </is>
      </c>
      <c r="E69" s="92" t="n">
        <v>3610</v>
      </c>
      <c r="F69" s="73" t="n"/>
    </row>
    <row r="70" ht="15" customHeight="1" s="44">
      <c r="A70" s="92" t="n">
        <v>66</v>
      </c>
      <c r="B70" s="73" t="inlineStr">
        <is>
          <t>Procter &amp; Gamble Inc.</t>
        </is>
      </c>
      <c r="C70" s="73" t="inlineStr">
        <is>
          <t>Toronto, ON</t>
        </is>
      </c>
      <c r="D70" s="73" t="inlineStr">
        <is>
          <t>Consumer products manufacturing</t>
        </is>
      </c>
      <c r="E70" s="92" t="n">
        <v>1792</v>
      </c>
      <c r="F70" s="73" t="n"/>
    </row>
    <row r="71" ht="15" customHeight="1" s="44">
      <c r="A71" s="92" t="n">
        <v>67</v>
      </c>
      <c r="B71" s="73" t="inlineStr">
        <is>
          <t>Provincial Credit Union Ltd.</t>
        </is>
      </c>
      <c r="C71" s="73" t="inlineStr">
        <is>
          <t>Charlottetown, PE</t>
        </is>
      </c>
      <c r="D71" s="73" t="inlineStr">
        <is>
          <t>Credit unions</t>
        </is>
      </c>
      <c r="E71" s="92" t="n">
        <v>178</v>
      </c>
      <c r="F71" s="73" t="inlineStr">
        <is>
          <t>Yes</t>
        </is>
      </c>
    </row>
    <row r="72" ht="15" customHeight="1" s="44">
      <c r="A72" s="92" t="n">
        <v>68</v>
      </c>
      <c r="B72" s="73" t="inlineStr">
        <is>
          <t>Rio Tinto</t>
        </is>
      </c>
      <c r="C72" s="73" t="inlineStr">
        <is>
          <t>Montréal, QC</t>
        </is>
      </c>
      <c r="D72" s="73" t="inlineStr">
        <is>
          <t>Mining</t>
        </is>
      </c>
      <c r="E72" s="92" t="n">
        <v>11531</v>
      </c>
      <c r="F72" s="73" t="n"/>
    </row>
    <row r="73" ht="15" customHeight="1" s="44">
      <c r="A73" s="92" t="n">
        <v>69</v>
      </c>
      <c r="B73" s="73" t="inlineStr">
        <is>
          <t>Roche Canada</t>
        </is>
      </c>
      <c r="C73" s="73" t="inlineStr">
        <is>
          <t>Mississauga, ON</t>
        </is>
      </c>
      <c r="D73" s="73" t="inlineStr">
        <is>
          <t>Pharmaceutical manufacturing</t>
        </is>
      </c>
      <c r="E73" s="92" t="n">
        <v>1994</v>
      </c>
      <c r="F73" s="73" t="n"/>
    </row>
    <row r="74" ht="15" customHeight="1" s="44">
      <c r="A74" s="92" t="n">
        <v>70</v>
      </c>
      <c r="B74" s="73" t="inlineStr">
        <is>
          <t>Royal Bank of Canada</t>
        </is>
      </c>
      <c r="C74" s="73" t="inlineStr">
        <is>
          <t>Toronto, ON</t>
        </is>
      </c>
      <c r="D74" s="73" t="inlineStr">
        <is>
          <t>Banking</t>
        </is>
      </c>
      <c r="E74" s="92" t="n">
        <v>69126</v>
      </c>
      <c r="F74" s="73" t="inlineStr">
        <is>
          <t>Yes</t>
        </is>
      </c>
    </row>
    <row r="75" ht="15" customHeight="1" s="44">
      <c r="A75" s="92" t="n">
        <v>71</v>
      </c>
      <c r="B75" s="73" t="inlineStr">
        <is>
          <t>Samsung Electronics Canada Inc.</t>
        </is>
      </c>
      <c r="C75" s="73" t="inlineStr">
        <is>
          <t>Mississauga, ON</t>
        </is>
      </c>
      <c r="D75" s="73" t="inlineStr">
        <is>
          <t>Communications equipment manufacturing</t>
        </is>
      </c>
      <c r="E75" s="92" t="n">
        <v>710</v>
      </c>
      <c r="F75" s="73" t="n"/>
    </row>
    <row r="76" ht="15" customHeight="1" s="44">
      <c r="A76" s="92" t="n">
        <v>72</v>
      </c>
      <c r="B76" s="73" t="inlineStr">
        <is>
          <t>SAP Canada Inc.</t>
        </is>
      </c>
      <c r="C76" s="73" t="inlineStr">
        <is>
          <t>Vancouver, BC</t>
        </is>
      </c>
      <c r="D76" s="73" t="inlineStr">
        <is>
          <t>Custom computer programming services</t>
        </is>
      </c>
      <c r="E76" s="92" t="n">
        <v>3104</v>
      </c>
      <c r="F76" s="73" t="inlineStr">
        <is>
          <t>Yes</t>
        </is>
      </c>
    </row>
    <row r="77" ht="15" customHeight="1" s="44">
      <c r="A77" s="92" t="n">
        <v>73</v>
      </c>
      <c r="B77" s="73" t="inlineStr">
        <is>
          <t>SaskEnergy Incorporated</t>
        </is>
      </c>
      <c r="C77" s="73" t="inlineStr">
        <is>
          <t>Regina, SK</t>
        </is>
      </c>
      <c r="D77" s="73" t="inlineStr">
        <is>
          <t>Natural gas distribution</t>
        </is>
      </c>
      <c r="E77" s="92" t="n">
        <v>1150</v>
      </c>
      <c r="F77" s="73" t="n"/>
    </row>
    <row r="78" ht="15" customHeight="1" s="44">
      <c r="A78" s="92" t="n">
        <v>74</v>
      </c>
      <c r="B78" s="73" t="inlineStr">
        <is>
          <t>Schneider Electric Canada Inc.</t>
        </is>
      </c>
      <c r="C78" s="73" t="inlineStr">
        <is>
          <t>Mississauga, ON</t>
        </is>
      </c>
      <c r="D78" s="73" t="inlineStr">
        <is>
          <t>Industrial automation and controls</t>
        </is>
      </c>
      <c r="E78" s="92" t="n">
        <v>2225</v>
      </c>
      <c r="F78" s="73" t="inlineStr">
        <is>
          <t>Yes</t>
        </is>
      </c>
    </row>
    <row r="79" ht="15" customHeight="1" s="44">
      <c r="A79" s="93" t="n">
        <v>75</v>
      </c>
      <c r="B79" s="94" t="inlineStr">
        <is>
          <t>Scotiabank</t>
        </is>
      </c>
      <c r="C79" s="94" t="inlineStr">
        <is>
          <t>Toronto, ON</t>
        </is>
      </c>
      <c r="D79" s="94" t="inlineStr">
        <is>
          <t>Banking</t>
        </is>
      </c>
      <c r="E79" s="93" t="n">
        <v>41943</v>
      </c>
      <c r="F79" s="94" t="inlineStr">
        <is>
          <t>Yes</t>
        </is>
      </c>
    </row>
    <row r="80" ht="15" customHeight="1" s="44">
      <c r="A80" s="92" t="n">
        <v>76</v>
      </c>
      <c r="B80" s="73" t="inlineStr">
        <is>
          <t>Seaspan</t>
        </is>
      </c>
      <c r="C80" s="73" t="inlineStr">
        <is>
          <t>North Vancouver, BC</t>
        </is>
      </c>
      <c r="D80" s="73" t="inlineStr">
        <is>
          <t>Shipbuilding, repair and marine services</t>
        </is>
      </c>
      <c r="E80" s="92" t="n">
        <v>4986</v>
      </c>
      <c r="F80" s="73" t="n"/>
    </row>
    <row r="81" ht="15" customHeight="1" s="44">
      <c r="A81" s="92" t="n">
        <v>77</v>
      </c>
      <c r="B81" s="73" t="inlineStr">
        <is>
          <t>Second Harvest Canada</t>
        </is>
      </c>
      <c r="C81" s="73" t="inlineStr">
        <is>
          <t>Toronto, ON</t>
        </is>
      </c>
      <c r="D81" s="73" t="inlineStr">
        <is>
          <t>Community food services</t>
        </is>
      </c>
      <c r="E81" s="92" t="n">
        <v>118</v>
      </c>
      <c r="F81" s="73" t="n"/>
    </row>
    <row r="82" ht="15" customHeight="1" s="44">
      <c r="A82" s="92" t="n">
        <v>78</v>
      </c>
      <c r="B82" s="73" t="inlineStr">
        <is>
          <t>SEKISUI Diagnostics P.E.I. Inc.</t>
        </is>
      </c>
      <c r="C82" s="73" t="inlineStr">
        <is>
          <t>Charlottetown, PE</t>
        </is>
      </c>
      <c r="D82" s="73" t="inlineStr">
        <is>
          <t>Medical diagnostic products</t>
        </is>
      </c>
      <c r="E82" s="92" t="n">
        <v>197</v>
      </c>
      <c r="F82" s="73" t="n"/>
    </row>
    <row r="83" ht="15" customHeight="1" s="44">
      <c r="A83" s="92" t="n">
        <v>79</v>
      </c>
      <c r="B83" s="73" t="inlineStr">
        <is>
          <t>Shell Canada Limited</t>
        </is>
      </c>
      <c r="C83" s="73" t="inlineStr">
        <is>
          <t>Calgary, AB</t>
        </is>
      </c>
      <c r="D83" s="73" t="inlineStr">
        <is>
          <t>Oil and gas production and distribution</t>
        </is>
      </c>
      <c r="E83" s="92" t="n">
        <v>3468</v>
      </c>
      <c r="F83" s="73" t="n"/>
    </row>
    <row r="84" ht="15" customHeight="1" s="44">
      <c r="A84" s="92" t="n">
        <v>80</v>
      </c>
      <c r="B84" s="73" t="inlineStr">
        <is>
          <t>Simon Fraser University</t>
        </is>
      </c>
      <c r="C84" s="73" t="inlineStr">
        <is>
          <t>Burnaby, BC</t>
        </is>
      </c>
      <c r="D84" s="73" t="inlineStr">
        <is>
          <t>Post-secondary school, university</t>
        </is>
      </c>
      <c r="E84" s="92" t="n">
        <v>3534</v>
      </c>
      <c r="F84" s="73" t="n"/>
    </row>
    <row r="85" ht="15" customHeight="1" s="44">
      <c r="A85" s="92" t="n">
        <v>81</v>
      </c>
      <c r="B85" s="73" t="inlineStr">
        <is>
          <t>Smith Bros. &amp; Wilson</t>
        </is>
      </c>
      <c r="C85" s="73" t="inlineStr">
        <is>
          <t>Surrey, BC</t>
        </is>
      </c>
      <c r="D85" s="73" t="inlineStr">
        <is>
          <t>Construction</t>
        </is>
      </c>
      <c r="E85" s="92" t="n">
        <v>133</v>
      </c>
      <c r="F85" s="73" t="n"/>
    </row>
    <row r="86" ht="15" customHeight="1" s="44">
      <c r="A86" s="92" t="n">
        <v>82</v>
      </c>
      <c r="B86" s="73" t="inlineStr">
        <is>
          <t>Sobeys Inc.</t>
        </is>
      </c>
      <c r="C86" s="73" t="inlineStr">
        <is>
          <t>Mississauga, ON</t>
        </is>
      </c>
      <c r="D86" s="73" t="inlineStr">
        <is>
          <t>Supermarkets and grocery stores</t>
        </is>
      </c>
      <c r="E86" s="92" t="n">
        <v>43964</v>
      </c>
      <c r="F86" s="73" t="n"/>
    </row>
    <row r="87" ht="15" customHeight="1" s="44">
      <c r="A87" s="92" t="n">
        <v>83</v>
      </c>
      <c r="B87" s="73" t="inlineStr">
        <is>
          <t>StandardAero Ltd.</t>
        </is>
      </c>
      <c r="C87" s="73" t="inlineStr">
        <is>
          <t>Winnipeg, MB</t>
        </is>
      </c>
      <c r="D87" s="73" t="inlineStr">
        <is>
          <t>Aircraft engine maintenance services</t>
        </is>
      </c>
      <c r="E87" s="92" t="n">
        <v>2033</v>
      </c>
      <c r="F87" s="73" t="n"/>
    </row>
    <row r="88" ht="15" customHeight="1" s="44">
      <c r="A88" s="92" t="n">
        <v>84</v>
      </c>
      <c r="B88" s="73" t="inlineStr">
        <is>
          <t>Statistics Canada / Statistique Canada</t>
        </is>
      </c>
      <c r="C88" s="73" t="inlineStr">
        <is>
          <t>Ottawa, ON</t>
        </is>
      </c>
      <c r="D88" s="73" t="inlineStr">
        <is>
          <t>Federal government - national statistics agency</t>
        </is>
      </c>
      <c r="E88" s="92" t="n">
        <v>6010</v>
      </c>
      <c r="F88" s="73" t="n"/>
    </row>
    <row r="89" ht="15" customHeight="1" s="44">
      <c r="A89" s="92" t="n">
        <v>85</v>
      </c>
      <c r="B89" s="73" t="inlineStr">
        <is>
          <t>Stryker Canada ULC</t>
        </is>
      </c>
      <c r="C89" s="73" t="inlineStr">
        <is>
          <t>Waterdown, ON</t>
        </is>
      </c>
      <c r="D89" s="73" t="inlineStr">
        <is>
          <t>Medical equipment and supplies wholesalers</t>
        </is>
      </c>
      <c r="E89" s="92" t="n">
        <v>814</v>
      </c>
      <c r="F89" s="73" t="n"/>
    </row>
    <row r="90" ht="15" customHeight="1" s="44">
      <c r="A90" s="92" t="n">
        <v>86</v>
      </c>
      <c r="B90" s="73" t="inlineStr">
        <is>
          <t>Teck Resources Limited</t>
        </is>
      </c>
      <c r="C90" s="73" t="inlineStr">
        <is>
          <t>Vancouver, BC</t>
        </is>
      </c>
      <c r="D90" s="73" t="inlineStr">
        <is>
          <t>Mining</t>
        </is>
      </c>
      <c r="E90" s="92" t="n">
        <v>4134</v>
      </c>
      <c r="F90" s="73" t="n"/>
    </row>
    <row r="91" ht="15" customHeight="1" s="44">
      <c r="A91" s="92" t="n">
        <v>87</v>
      </c>
      <c r="B91" s="73" t="inlineStr">
        <is>
          <t>Thales Canada Inc.</t>
        </is>
      </c>
      <c r="C91" s="73" t="inlineStr">
        <is>
          <t>Ottawa, ON</t>
        </is>
      </c>
      <c r="D91" s="73" t="inlineStr">
        <is>
          <t>Aerospace systems</t>
        </is>
      </c>
      <c r="E91" s="92" t="n">
        <v>1368</v>
      </c>
      <c r="F91" s="73" t="inlineStr">
        <is>
          <t>Yes</t>
        </is>
      </c>
    </row>
    <row r="92" ht="15" customHeight="1" s="44">
      <c r="A92" s="93" t="n">
        <v>88</v>
      </c>
      <c r="B92" s="94" t="inlineStr">
        <is>
          <t>TMX Group Limited</t>
        </is>
      </c>
      <c r="C92" s="94" t="inlineStr">
        <is>
          <t>Toronto, ON</t>
        </is>
      </c>
      <c r="D92" s="94" t="inlineStr">
        <is>
          <t>Stock exchanges</t>
        </is>
      </c>
      <c r="E92" s="93" t="n">
        <v>1550</v>
      </c>
      <c r="F92" s="94" t="inlineStr">
        <is>
          <t>Yes</t>
        </is>
      </c>
    </row>
    <row r="93" ht="15" customHeight="1" s="44">
      <c r="A93" s="92" t="n">
        <v>89</v>
      </c>
      <c r="B93" s="73" t="inlineStr">
        <is>
          <t>Toyota Motor Manufacturing Canada Inc. (TMMC)</t>
        </is>
      </c>
      <c r="C93" s="73" t="inlineStr">
        <is>
          <t>Cambridge, ON</t>
        </is>
      </c>
      <c r="D93" s="73" t="inlineStr">
        <is>
          <t>Automobile manufacturing</t>
        </is>
      </c>
      <c r="E93" s="92" t="n">
        <v>8500</v>
      </c>
      <c r="F93" s="73" t="n"/>
    </row>
    <row r="94" ht="15" customHeight="1" s="44">
      <c r="A94" s="92" t="n">
        <v>90</v>
      </c>
      <c r="B94" s="73" t="inlineStr">
        <is>
          <t>UAP Inc.</t>
        </is>
      </c>
      <c r="C94" s="73" t="inlineStr">
        <is>
          <t>Montréal, QC</t>
        </is>
      </c>
      <c r="D94" s="73" t="inlineStr">
        <is>
          <t>Motor vehicle supplies and new parts</t>
        </is>
      </c>
      <c r="E94" s="92" t="n">
        <v>5106</v>
      </c>
      <c r="F94" s="73" t="n"/>
    </row>
    <row r="95" ht="15" customHeight="1" s="44">
      <c r="A95" s="92" t="n">
        <v>91</v>
      </c>
      <c r="B95" s="73" t="inlineStr">
        <is>
          <t>United Way British Columbia</t>
        </is>
      </c>
      <c r="C95" s="73" t="inlineStr">
        <is>
          <t>Burnaby, BC</t>
        </is>
      </c>
      <c r="D95" s="73" t="inlineStr">
        <is>
          <t>Charitable organizations</t>
        </is>
      </c>
      <c r="E95" s="92" t="n">
        <v>200</v>
      </c>
      <c r="F95" s="73" t="n"/>
    </row>
    <row r="96" ht="15" customHeight="1" s="44">
      <c r="A96" s="92" t="n">
        <v>92</v>
      </c>
      <c r="B96" s="73" t="inlineStr">
        <is>
          <t>Université de Montréal</t>
        </is>
      </c>
      <c r="C96" s="73" t="inlineStr">
        <is>
          <t>Montréal, QC</t>
        </is>
      </c>
      <c r="D96" s="73" t="inlineStr">
        <is>
          <t>Post-secondary school, university</t>
        </is>
      </c>
      <c r="E96" s="92" t="n">
        <v>6091</v>
      </c>
      <c r="F96" s="73" t="n"/>
    </row>
    <row r="97" ht="15" customHeight="1" s="44">
      <c r="A97" s="92" t="n">
        <v>93</v>
      </c>
      <c r="B97" s="73" t="inlineStr">
        <is>
          <t>University of New Brunswick (UNB)</t>
        </is>
      </c>
      <c r="C97" s="73" t="inlineStr">
        <is>
          <t>Fredericton, NB</t>
        </is>
      </c>
      <c r="D97" s="73" t="inlineStr">
        <is>
          <t>Post-secondary school, university</t>
        </is>
      </c>
      <c r="E97" s="92" t="n">
        <v>1909</v>
      </c>
      <c r="F97" s="73" t="n"/>
    </row>
    <row r="98" ht="15" customHeight="1" s="44">
      <c r="A98" s="92" t="n">
        <v>94</v>
      </c>
      <c r="B98" s="73" t="inlineStr">
        <is>
          <t>Vale Base Metals</t>
        </is>
      </c>
      <c r="C98" s="73" t="inlineStr">
        <is>
          <t>St. John's, NL</t>
        </is>
      </c>
      <c r="D98" s="73" t="inlineStr">
        <is>
          <t>Mining</t>
        </is>
      </c>
      <c r="E98" s="92" t="n">
        <v>7081</v>
      </c>
      <c r="F98" s="73" t="n"/>
    </row>
    <row r="99" ht="15" customHeight="1" s="44">
      <c r="A99" s="92" t="n">
        <v>95</v>
      </c>
      <c r="B99" s="73" t="inlineStr">
        <is>
          <t>Vancouver City Savings Credit Union (Vancity)</t>
        </is>
      </c>
      <c r="C99" s="73" t="inlineStr">
        <is>
          <t>Vancouver, BC</t>
        </is>
      </c>
      <c r="D99" s="73" t="inlineStr">
        <is>
          <t>Credit unions</t>
        </is>
      </c>
      <c r="E99" s="92" t="n">
        <v>2235</v>
      </c>
      <c r="F99" s="73" t="inlineStr">
        <is>
          <t>Yes</t>
        </is>
      </c>
    </row>
    <row r="100" ht="15" customHeight="1" s="44">
      <c r="A100" s="92" t="n">
        <v>96</v>
      </c>
      <c r="B100" s="73" t="inlineStr">
        <is>
          <t>Vancouver Coastal Health</t>
        </is>
      </c>
      <c r="C100" s="73" t="inlineStr">
        <is>
          <t>Vancouver, BC</t>
        </is>
      </c>
      <c r="D100" s="73" t="inlineStr">
        <is>
          <t>Hospitals</t>
        </is>
      </c>
      <c r="E100" s="92" t="n">
        <v>15790</v>
      </c>
      <c r="F100" s="73" t="n"/>
    </row>
    <row r="101" ht="15" customHeight="1" s="44">
      <c r="A101" s="92" t="n">
        <v>97</v>
      </c>
      <c r="B101" s="73" t="inlineStr">
        <is>
          <t>West Fraser Timber Co. Ltd.</t>
        </is>
      </c>
      <c r="C101" s="73" t="inlineStr">
        <is>
          <t>Vancouver, BC</t>
        </is>
      </c>
      <c r="D101" s="73" t="inlineStr">
        <is>
          <t>Sawmills</t>
        </is>
      </c>
      <c r="E101" s="92" t="n">
        <v>5224</v>
      </c>
      <c r="F101" s="73" t="n"/>
    </row>
    <row r="102" ht="15" customHeight="1" s="44">
      <c r="A102" s="92" t="n">
        <v>98</v>
      </c>
      <c r="B102" s="73" t="inlineStr">
        <is>
          <t>World Vision Canada</t>
        </is>
      </c>
      <c r="C102" s="73" t="inlineStr">
        <is>
          <t>Mississauga, ON</t>
        </is>
      </c>
      <c r="D102" s="73" t="inlineStr">
        <is>
          <t>Charitable organizations</t>
        </is>
      </c>
      <c r="E102" s="92" t="n">
        <v>427</v>
      </c>
      <c r="F102" s="73" t="n"/>
    </row>
    <row r="103" ht="15" customHeight="1" s="44">
      <c r="A103" s="92" t="n">
        <v>99</v>
      </c>
      <c r="B103" s="73" t="inlineStr">
        <is>
          <t>WSP Canada Inc.</t>
        </is>
      </c>
      <c r="C103" s="73" t="inlineStr">
        <is>
          <t>Montréal, QC</t>
        </is>
      </c>
      <c r="D103" s="73" t="inlineStr">
        <is>
          <t>Engineering services</t>
        </is>
      </c>
      <c r="E103" s="92" t="n">
        <v>11482</v>
      </c>
      <c r="F103" s="73" t="n"/>
    </row>
    <row r="104" ht="15" customHeight="1" s="44">
      <c r="A104" s="92" t="n">
        <v>100</v>
      </c>
      <c r="B104" s="73" t="inlineStr">
        <is>
          <t>Yukon, Government of</t>
        </is>
      </c>
      <c r="C104" s="73" t="inlineStr">
        <is>
          <t>Whitehorse, YT</t>
        </is>
      </c>
      <c r="D104" s="73" t="inlineStr">
        <is>
          <t>Territorial government</t>
        </is>
      </c>
      <c r="E104" s="92" t="n">
        <v>5976</v>
      </c>
      <c r="F104" s="73" t="n"/>
    </row>
  </sheetData>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E29"/>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6796875" defaultRowHeight="15" zeroHeight="0" outlineLevelRow="0"/>
  <cols>
    <col width="22" customWidth="1" style="43" min="1" max="1"/>
    <col width="32" customWidth="1" style="43" min="2" max="2"/>
    <col width="50" customWidth="1" style="43" min="3" max="3"/>
    <col width="32" customWidth="1" style="43" min="4" max="4"/>
    <col width="16" customWidth="1" style="43" min="5" max="5"/>
  </cols>
  <sheetData>
    <row r="1" ht="17.25" customHeight="1" s="44">
      <c r="A1" s="84" t="inlineStr">
        <is>
          <t>Notable AI Companies (Frontier &amp; Applied AI) — Compiled List</t>
        </is>
      </c>
    </row>
    <row r="2" ht="15" customHeight="1" s="44">
      <c r="A2" s="90" t="inlineStr">
        <is>
          <t>Rows in grey are companies already in your Applications tab. Mostly US/global HQ—confirm remote policy, Canada presence, and sponsorship before applying. Cohere is Canadian-founded (Toronto).</t>
        </is>
      </c>
    </row>
    <row r="4" ht="15" customHeight="1" s="44">
      <c r="A4" s="91" t="inlineStr">
        <is>
          <t>Company</t>
        </is>
      </c>
      <c r="B4" s="91" t="inlineStr">
        <is>
          <t>Primary Focus</t>
        </is>
      </c>
      <c r="C4" s="91" t="inlineStr">
        <is>
          <t>Why Notable</t>
        </is>
      </c>
      <c r="D4" s="91" t="inlineStr">
        <is>
          <t>Canada Presence</t>
        </is>
      </c>
      <c r="E4" s="91" t="inlineStr">
        <is>
          <t>Status</t>
        </is>
      </c>
    </row>
    <row r="5" ht="15" customHeight="1" s="44">
      <c r="A5" s="94" t="inlineStr">
        <is>
          <t>OpenAI</t>
        </is>
      </c>
      <c r="B5" s="94" t="inlineStr">
        <is>
          <t>Foundation models, agents, enterprise AI</t>
        </is>
      </c>
      <c r="C5" s="94" t="inlineStr">
        <is>
          <t>One of the defining companies of generative AI</t>
        </is>
      </c>
      <c r="D5" s="94" t="inlineStr">
        <is>
          <t>No known CA office; remote roles vary</t>
        </is>
      </c>
      <c r="E5" s="94" t="inlineStr">
        <is>
          <t>Already applied</t>
        </is>
      </c>
    </row>
    <row r="6" ht="15" customHeight="1" s="44">
      <c r="A6" s="94" t="inlineStr">
        <is>
          <t>Anthropic</t>
        </is>
      </c>
      <c r="B6" s="94" t="inlineStr">
        <is>
          <t>Claude, enterprise AI, AI safety</t>
        </is>
      </c>
      <c r="C6" s="94" t="inlineStr">
        <is>
          <t>Major frontier-model company; reported valuation reached $965B in 2026</t>
        </is>
      </c>
      <c r="D6" s="94" t="inlineStr">
        <is>
          <t>No known CA office</t>
        </is>
      </c>
      <c r="E6" s="94" t="inlineStr">
        <is>
          <t>Already applied</t>
        </is>
      </c>
    </row>
    <row r="7" ht="15" customHeight="1" s="44">
      <c r="A7" s="73" t="inlineStr">
        <is>
          <t>Mistral AI</t>
        </is>
      </c>
      <c r="B7" s="73" t="inlineStr">
        <is>
          <t>Foundation models</t>
        </is>
      </c>
      <c r="C7" s="73" t="inlineStr">
        <is>
          <t>Leading European frontier-model company</t>
        </is>
      </c>
      <c r="D7" s="73" t="inlineStr">
        <is>
          <t>No known CA presence</t>
        </is>
      </c>
      <c r="E7" s="73" t="inlineStr">
        <is>
          <t>Not yet applied</t>
        </is>
      </c>
    </row>
    <row r="8" ht="15" customHeight="1" s="44">
      <c r="A8" s="73" t="inlineStr">
        <is>
          <t>Cohere</t>
        </is>
      </c>
      <c r="B8" s="73" t="inlineStr">
        <is>
          <t>Enterprise LLMs</t>
        </is>
      </c>
      <c r="C8" s="73" t="inlineStr">
        <is>
          <t>Canadian-founded; particularly relevant for Toronto</t>
        </is>
      </c>
      <c r="D8" s="73" t="inlineStr">
        <is>
          <t>Toronto HQ</t>
        </is>
      </c>
      <c r="E8" s="73" t="inlineStr">
        <is>
          <t>Not yet applied</t>
        </is>
      </c>
    </row>
    <row r="9" ht="15" customHeight="1" s="44">
      <c r="A9" s="73" t="inlineStr">
        <is>
          <t>Perplexity</t>
        </is>
      </c>
      <c r="B9" s="73" t="inlineStr">
        <is>
          <t>AI search/answer engine</t>
        </is>
      </c>
      <c r="C9" s="73" t="inlineStr">
        <is>
          <t>Major AI-native challenger in search</t>
        </is>
      </c>
      <c r="D9" s="73" t="inlineStr">
        <is>
          <t>No known CA office</t>
        </is>
      </c>
      <c r="E9" s="73" t="inlineStr">
        <is>
          <t>Not yet applied</t>
        </is>
      </c>
    </row>
    <row r="10" ht="15" customHeight="1" s="44">
      <c r="A10" s="73" t="inlineStr">
        <is>
          <t>xAI</t>
        </is>
      </c>
      <c r="B10" s="73" t="inlineStr">
        <is>
          <t>Foundation models/Grok</t>
        </is>
      </c>
      <c r="C10" s="73" t="inlineStr">
        <is>
          <t>Large frontier AI laboratory</t>
        </is>
      </c>
      <c r="D10" s="73" t="inlineStr">
        <is>
          <t>No known CA office</t>
        </is>
      </c>
      <c r="E10" s="73" t="inlineStr">
        <is>
          <t>Not yet applied</t>
        </is>
      </c>
    </row>
    <row r="11" ht="15" customHeight="1" s="44">
      <c r="A11" s="73" t="inlineStr">
        <is>
          <t>Safe Superintelligence</t>
        </is>
      </c>
      <c r="B11" s="73" t="inlineStr">
        <is>
          <t>Advanced AI research</t>
        </is>
      </c>
      <c r="C11" s="73" t="inlineStr">
        <is>
          <t>Founded by Ilya Sutskever; Nvidia recently committed a major investment</t>
        </is>
      </c>
      <c r="D11" s="73" t="inlineStr">
        <is>
          <t>No known CA office</t>
        </is>
      </c>
      <c r="E11" s="73" t="inlineStr">
        <is>
          <t>Not yet applied</t>
        </is>
      </c>
    </row>
    <row r="12" ht="15" customHeight="1" s="44">
      <c r="A12" s="73" t="inlineStr">
        <is>
          <t>Thinking Machines Lab</t>
        </is>
      </c>
      <c r="B12" s="73" t="inlineStr">
        <is>
          <t>Frontier AI</t>
        </is>
      </c>
      <c r="C12" s="73" t="inlineStr">
        <is>
          <t>Founded by former OpenAI CTO Mira Murati</t>
        </is>
      </c>
      <c r="D12" s="73" t="inlineStr">
        <is>
          <t>No known CA office</t>
        </is>
      </c>
      <c r="E12" s="73" t="inlineStr">
        <is>
          <t>Not yet applied</t>
        </is>
      </c>
    </row>
    <row r="13" ht="15" customHeight="1" s="44">
      <c r="A13" s="94" t="inlineStr">
        <is>
          <t>Glean</t>
        </is>
      </c>
      <c r="B13" s="94" t="inlineStr">
        <is>
          <t>Enterprise search &amp; agents</t>
        </is>
      </c>
      <c r="C13" s="94" t="inlineStr">
        <is>
          <t>Particularly relevant to enterprise AI</t>
        </is>
      </c>
      <c r="D13" s="94" t="inlineStr">
        <is>
          <t>No known CA office; Mountain View HQ</t>
        </is>
      </c>
      <c r="E13" s="94" t="inlineStr">
        <is>
          <t>Already applied</t>
        </is>
      </c>
    </row>
    <row r="14" ht="15" customHeight="1" s="44">
      <c r="A14" s="94" t="inlineStr">
        <is>
          <t>Harvey</t>
        </is>
      </c>
      <c r="B14" s="94" t="inlineStr">
        <is>
          <t>Legal/professional-services AI</t>
        </is>
      </c>
      <c r="C14" s="94" t="inlineStr">
        <is>
          <t>Strong example of vertical enterprise AI</t>
        </is>
      </c>
      <c r="D14" s="94" t="inlineStr">
        <is>
          <t>No known CA office</t>
        </is>
      </c>
      <c r="E14" s="94" t="inlineStr">
        <is>
          <t>Already applied</t>
        </is>
      </c>
    </row>
    <row r="15" ht="15" customHeight="1" s="44">
      <c r="A15" s="73" t="inlineStr">
        <is>
          <t>Sierra</t>
        </is>
      </c>
      <c r="B15" s="73" t="inlineStr">
        <is>
          <t>AI customer-service agents</t>
        </is>
      </c>
      <c r="C15" s="73" t="inlineStr">
        <is>
          <t>Enterprise agent platform</t>
        </is>
      </c>
      <c r="D15" s="73" t="inlineStr">
        <is>
          <t>No known CA office</t>
        </is>
      </c>
      <c r="E15" s="73" t="inlineStr">
        <is>
          <t>Not yet applied</t>
        </is>
      </c>
    </row>
    <row r="16" ht="15" customHeight="1" s="44">
      <c r="A16" s="73" t="inlineStr">
        <is>
          <t>Writer</t>
        </is>
      </c>
      <c r="B16" s="73" t="inlineStr">
        <is>
          <t>Enterprise generative AI</t>
        </is>
      </c>
      <c r="C16" s="73" t="inlineStr">
        <is>
          <t>Enterprise AI platform and agents</t>
        </is>
      </c>
      <c r="D16" s="73" t="inlineStr">
        <is>
          <t>No known CA office</t>
        </is>
      </c>
      <c r="E16" s="73" t="inlineStr">
        <is>
          <t>Not yet applied</t>
        </is>
      </c>
    </row>
    <row r="17" ht="15" customHeight="1" s="44">
      <c r="A17" s="73" t="inlineStr">
        <is>
          <t>ElevenLabs</t>
        </is>
      </c>
      <c r="B17" s="73" t="inlineStr">
        <is>
          <t>Voice AI</t>
        </is>
      </c>
      <c r="C17" s="73" t="inlineStr">
        <is>
          <t>Passed $500M ARR in 2026</t>
        </is>
      </c>
      <c r="D17" s="73" t="inlineStr">
        <is>
          <t>No known CA office</t>
        </is>
      </c>
      <c r="E17" s="73" t="inlineStr">
        <is>
          <t>Not yet applied</t>
        </is>
      </c>
    </row>
    <row r="18" ht="15" customHeight="1" s="44">
      <c r="A18" s="73" t="inlineStr">
        <is>
          <t>Cursor / Anysphere</t>
        </is>
      </c>
      <c r="B18" s="73" t="inlineStr">
        <is>
          <t>AI coding</t>
        </is>
      </c>
      <c r="C18" s="73" t="inlineStr">
        <is>
          <t>One of the leading AI coding companies</t>
        </is>
      </c>
      <c r="D18" s="73" t="inlineStr">
        <is>
          <t>No known CA office</t>
        </is>
      </c>
      <c r="E18" s="73" t="inlineStr">
        <is>
          <t>Not yet applied</t>
        </is>
      </c>
    </row>
    <row r="19" ht="15" customHeight="1" s="44">
      <c r="A19" s="73" t="inlineStr">
        <is>
          <t>Cognition</t>
        </is>
      </c>
      <c r="B19" s="73" t="inlineStr">
        <is>
          <t>Autonomous coding agents</t>
        </is>
      </c>
      <c r="C19" s="73" t="inlineStr">
        <is>
          <t>Developer of Devin</t>
        </is>
      </c>
      <c r="D19" s="73" t="inlineStr">
        <is>
          <t>No known CA office</t>
        </is>
      </c>
      <c r="E19" s="73" t="inlineStr">
        <is>
          <t>Not yet applied</t>
        </is>
      </c>
    </row>
    <row r="20" ht="15" customHeight="1" s="44">
      <c r="A20" s="73" t="inlineStr">
        <is>
          <t>Lovable</t>
        </is>
      </c>
      <c r="B20" s="73" t="inlineStr">
        <is>
          <t>AI software creation</t>
        </is>
      </c>
      <c r="C20" s="73" t="inlineStr">
        <is>
          <t>Rapid-growth European AI coding company; recently valued at $13.3B</t>
        </is>
      </c>
      <c r="D20" s="73" t="inlineStr">
        <is>
          <t>No known CA presence (EU-based)</t>
        </is>
      </c>
      <c r="E20" s="73" t="inlineStr">
        <is>
          <t>Not yet applied</t>
        </is>
      </c>
    </row>
    <row r="21" ht="15" customHeight="1" s="44">
      <c r="A21" s="73" t="inlineStr">
        <is>
          <t>Hugging Face</t>
        </is>
      </c>
      <c r="B21" s="73" t="inlineStr">
        <is>
          <t>Models/open-source AI ecosystem</t>
        </is>
      </c>
      <c r="C21" s="73" t="inlineStr">
        <is>
          <t>Critical AI developer/model platform</t>
        </is>
      </c>
      <c r="D21" s="73" t="inlineStr">
        <is>
          <t>No known CA office</t>
        </is>
      </c>
      <c r="E21" s="73" t="inlineStr">
        <is>
          <t>Not yet applied</t>
        </is>
      </c>
    </row>
    <row r="22" ht="15" customHeight="1" s="44">
      <c r="A22" s="94" t="inlineStr">
        <is>
          <t>Scale AI</t>
        </is>
      </c>
      <c r="B22" s="94" t="inlineStr">
        <is>
          <t>AI data/infrastructure</t>
        </is>
      </c>
      <c r="C22" s="94" t="inlineStr">
        <is>
          <t>Major AI infrastructure and model-evaluation company</t>
        </is>
      </c>
      <c r="D22" s="94" t="inlineStr">
        <is>
          <t>No known CA office</t>
        </is>
      </c>
      <c r="E22" s="94" t="inlineStr">
        <is>
          <t>Already applied</t>
        </is>
      </c>
    </row>
    <row r="23" ht="15" customHeight="1" s="44">
      <c r="A23" s="73" t="inlineStr">
        <is>
          <t>Runway</t>
        </is>
      </c>
      <c r="B23" s="73" t="inlineStr">
        <is>
          <t>Generative video</t>
        </is>
      </c>
      <c r="C23" s="73" t="inlineStr">
        <is>
          <t>Leading generative-media company</t>
        </is>
      </c>
      <c r="D23" s="73" t="inlineStr">
        <is>
          <t>No known CA office</t>
        </is>
      </c>
      <c r="E23" s="73" t="inlineStr">
        <is>
          <t>Not yet applied</t>
        </is>
      </c>
    </row>
    <row r="24" ht="15" customHeight="1" s="44">
      <c r="A24" s="73" t="inlineStr">
        <is>
          <t>Synthesia</t>
        </is>
      </c>
      <c r="B24" s="73" t="inlineStr">
        <is>
          <t>Enterprise AI video</t>
        </is>
      </c>
      <c r="C24" s="73" t="inlineStr">
        <is>
          <t>Enterprise generative video</t>
        </is>
      </c>
      <c r="D24" s="73" t="inlineStr">
        <is>
          <t>No known CA office (UK-based)</t>
        </is>
      </c>
      <c r="E24" s="73" t="inlineStr">
        <is>
          <t>Not yet applied</t>
        </is>
      </c>
    </row>
    <row r="25" ht="15" customHeight="1" s="44">
      <c r="A25" s="73" t="inlineStr">
        <is>
          <t>Abridge</t>
        </is>
      </c>
      <c r="B25" s="73" t="inlineStr">
        <is>
          <t>Healthcare AI</t>
        </is>
      </c>
      <c r="C25" s="73" t="inlineStr">
        <is>
          <t>AI clinical documentation</t>
        </is>
      </c>
      <c r="D25" s="73" t="inlineStr">
        <is>
          <t>No known CA office</t>
        </is>
      </c>
      <c r="E25" s="73" t="inlineStr">
        <is>
          <t>Not yet applied</t>
        </is>
      </c>
    </row>
    <row r="26" ht="15" customHeight="1" s="44">
      <c r="A26" s="73" t="inlineStr">
        <is>
          <t>Hippocratic AI</t>
        </is>
      </c>
      <c r="B26" s="73" t="inlineStr">
        <is>
          <t>Healthcare AI agents</t>
        </is>
      </c>
      <c r="C26" s="73" t="inlineStr">
        <is>
          <t>Healthcare-focused agentic AI</t>
        </is>
      </c>
      <c r="D26" s="73" t="inlineStr">
        <is>
          <t>No known CA office</t>
        </is>
      </c>
      <c r="E26" s="73" t="inlineStr">
        <is>
          <t>Not yet applied</t>
        </is>
      </c>
    </row>
    <row r="27" ht="15" customHeight="1" s="44">
      <c r="A27" s="73" t="inlineStr">
        <is>
          <t>Figure</t>
        </is>
      </c>
      <c r="B27" s="73" t="inlineStr">
        <is>
          <t>Humanoid robotics</t>
        </is>
      </c>
      <c r="C27" s="73" t="inlineStr">
        <is>
          <t>AI + robotics</t>
        </is>
      </c>
      <c r="D27" s="73" t="inlineStr">
        <is>
          <t>No known CA office</t>
        </is>
      </c>
      <c r="E27" s="73" t="inlineStr">
        <is>
          <t>Not yet applied</t>
        </is>
      </c>
    </row>
    <row r="28" ht="15" customHeight="1" s="44">
      <c r="A28" s="73" t="inlineStr">
        <is>
          <t>Physical Intelligence</t>
        </is>
      </c>
      <c r="B28" s="73" t="inlineStr">
        <is>
          <t>Robotics foundation models</t>
        </is>
      </c>
      <c r="C28" s="73" t="inlineStr">
        <is>
          <t>Frontier physical/robotics AI</t>
        </is>
      </c>
      <c r="D28" s="73" t="inlineStr">
        <is>
          <t>No known CA office</t>
        </is>
      </c>
      <c r="E28" s="73" t="inlineStr">
        <is>
          <t>Not yet applied</t>
        </is>
      </c>
    </row>
    <row r="29" ht="15" customHeight="1" s="44">
      <c r="A29" s="73" t="inlineStr">
        <is>
          <t>World Labs</t>
        </is>
      </c>
      <c r="B29" s="73" t="inlineStr">
        <is>
          <t>Spatial/world models</t>
        </is>
      </c>
      <c r="C29" s="73" t="inlineStr">
        <is>
          <t>Founded by AI researcher Fei-Fei Li</t>
        </is>
      </c>
      <c r="D29" s="73" t="inlineStr">
        <is>
          <t>No known CA office</t>
        </is>
      </c>
      <c r="E29" s="73" t="inlineStr">
        <is>
          <t>Not yet applied</t>
        </is>
      </c>
    </row>
  </sheetData>
  <mergeCells count="2">
    <mergeCell ref="A2:E2"/>
    <mergeCell ref="A1:E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L210"/>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2" customWidth="1" style="43" min="1" max="1"/>
    <col width="12" customWidth="1" style="43" min="2" max="2"/>
    <col width="14" customWidth="1" style="43" min="3" max="3"/>
    <col width="12" customWidth="1" style="43" min="4" max="4"/>
    <col width="14" customWidth="1" style="43" min="5" max="5"/>
    <col width="10" customWidth="1" style="43" min="6" max="6"/>
    <col width="18" customWidth="1" style="43" min="7" max="7"/>
    <col width="14" customWidth="1" style="43" min="8" max="8"/>
    <col width="10" customWidth="1" style="43" min="9" max="10"/>
    <col width="16" customWidth="1" style="43" min="11" max="11"/>
    <col width="30" customWidth="1" style="43" min="12" max="12"/>
  </cols>
  <sheetData>
    <row r="1" ht="15" customHeight="1" s="44">
      <c r="A1" s="46" t="inlineStr">
        <is>
          <t>Company</t>
        </is>
      </c>
      <c r="B1" s="46" t="inlineStr">
        <is>
          <t>Submissions</t>
        </is>
      </c>
      <c r="C1" s="46" t="inlineStr">
        <is>
          <t>Avg Fit Score (%)</t>
        </is>
      </c>
      <c r="D1" s="46" t="inlineStr">
        <is>
          <t>Sponsorship</t>
        </is>
      </c>
      <c r="E1" s="46" t="inlineStr">
        <is>
          <t>Country</t>
        </is>
      </c>
      <c r="F1" s="46" t="inlineStr">
        <is>
          <t>Rejected</t>
        </is>
      </c>
      <c r="G1" s="46" t="inlineStr">
        <is>
          <t>Interviewing/Screening</t>
        </is>
      </c>
      <c r="H1" s="46" t="inlineStr">
        <is>
          <t>Applied/Pending</t>
        </is>
      </c>
      <c r="I1" s="46" t="inlineStr">
        <is>
          <t>Ghosted</t>
        </is>
      </c>
      <c r="J1" s="46" t="inlineStr">
        <is>
          <t>Closed</t>
        </is>
      </c>
      <c r="K1" s="46" t="inlineStr">
        <is>
          <t>Avg Days to Reject</t>
        </is>
      </c>
      <c r="L1" s="46" t="inlineStr">
        <is>
          <t>Salary Mentions (from Notes)</t>
        </is>
      </c>
    </row>
    <row r="2" ht="15" customHeight="1" s="44">
      <c r="A2" s="62" t="inlineStr">
        <is>
          <t>eBay</t>
        </is>
      </c>
      <c r="B2" s="62" t="n">
        <v>24</v>
      </c>
      <c r="C2" s="62" t="n">
        <v>67.09999999999999</v>
      </c>
      <c r="D2" s="62" t="inlineStr">
        <is>
          <t>No</t>
        </is>
      </c>
      <c r="E2" s="62" t="inlineStr">
        <is>
          <t>Canada</t>
        </is>
      </c>
      <c r="F2" s="62" t="n">
        <v>20</v>
      </c>
      <c r="G2" s="62" t="n">
        <v>1</v>
      </c>
      <c r="H2" s="62" t="n">
        <v>2</v>
      </c>
      <c r="I2" s="62" t="n">
        <v>1</v>
      </c>
      <c r="J2" s="62" t="n">
        <v>0</v>
      </c>
      <c r="K2" s="62" t="n">
        <v>16.5</v>
      </c>
      <c r="L2" s="64" t="inlineStr">
        <is>
          <t>$160-170K; $74,000</t>
        </is>
      </c>
    </row>
    <row r="3" ht="15" customHeight="1" s="44">
      <c r="A3" s="62" t="inlineStr">
        <is>
          <t>S.i. Systems</t>
        </is>
      </c>
      <c r="B3" s="62" t="n">
        <v>16</v>
      </c>
      <c r="C3" s="62" t="n">
        <v>61.2</v>
      </c>
      <c r="D3" s="62" t="inlineStr">
        <is>
          <t>No</t>
        </is>
      </c>
      <c r="E3" s="62" t="inlineStr">
        <is>
          <t>Canada</t>
        </is>
      </c>
      <c r="F3" s="62" t="n">
        <v>8</v>
      </c>
      <c r="G3" s="62" t="n">
        <v>0</v>
      </c>
      <c r="H3" s="62" t="n">
        <v>7</v>
      </c>
      <c r="I3" s="62" t="n">
        <v>0</v>
      </c>
      <c r="J3" s="62" t="n">
        <v>1</v>
      </c>
      <c r="K3" s="62" t="n">
        <v>30.4</v>
      </c>
      <c r="L3" s="64" t="n"/>
    </row>
    <row r="4" ht="15" customHeight="1" s="44">
      <c r="A4" s="62" t="inlineStr">
        <is>
          <t>Manulife</t>
        </is>
      </c>
      <c r="B4" s="62" t="n">
        <v>10</v>
      </c>
      <c r="C4" s="62" t="n">
        <v>72.8</v>
      </c>
      <c r="D4" s="62" t="inlineStr">
        <is>
          <t>No</t>
        </is>
      </c>
      <c r="E4" s="62" t="inlineStr">
        <is>
          <t>Canada</t>
        </is>
      </c>
      <c r="F4" s="62" t="n">
        <v>7</v>
      </c>
      <c r="G4" s="62" t="n">
        <v>0</v>
      </c>
      <c r="H4" s="62" t="n">
        <v>3</v>
      </c>
      <c r="I4" s="62" t="n">
        <v>0</v>
      </c>
      <c r="J4" s="62" t="n">
        <v>0</v>
      </c>
      <c r="K4" s="62" t="n">
        <v>50.3</v>
      </c>
      <c r="L4" s="64" t="n"/>
    </row>
    <row r="5" ht="15" customHeight="1" s="44">
      <c r="A5" s="62" t="inlineStr">
        <is>
          <t>RBC</t>
        </is>
      </c>
      <c r="B5" s="62" t="n">
        <v>10</v>
      </c>
      <c r="C5" s="62" t="n">
        <v>75</v>
      </c>
      <c r="D5" s="62" t="inlineStr">
        <is>
          <t>No</t>
        </is>
      </c>
      <c r="E5" s="62" t="inlineStr">
        <is>
          <t>Canada</t>
        </is>
      </c>
      <c r="F5" s="62" t="n">
        <v>0</v>
      </c>
      <c r="G5" s="62" t="n">
        <v>0</v>
      </c>
      <c r="H5" s="62" t="n">
        <v>8</v>
      </c>
      <c r="I5" s="62" t="n">
        <v>2</v>
      </c>
      <c r="J5" s="62" t="n">
        <v>0</v>
      </c>
      <c r="K5" s="62" t="n"/>
      <c r="L5" s="64" t="n"/>
    </row>
    <row r="6" ht="15" customHeight="1" s="44">
      <c r="A6" s="62" t="inlineStr">
        <is>
          <t>Anthropic</t>
        </is>
      </c>
      <c r="B6" s="62" t="n">
        <v>8</v>
      </c>
      <c r="C6" s="62" t="n">
        <v>59.5</v>
      </c>
      <c r="D6" s="62" t="inlineStr">
        <is>
          <t>Yes</t>
        </is>
      </c>
      <c r="E6" s="62" t="inlineStr">
        <is>
          <t>US</t>
        </is>
      </c>
      <c r="F6" s="62" t="n">
        <v>5</v>
      </c>
      <c r="G6" s="62" t="n">
        <v>0</v>
      </c>
      <c r="H6" s="62" t="n">
        <v>3</v>
      </c>
      <c r="I6" s="62" t="n">
        <v>0</v>
      </c>
      <c r="J6" s="62" t="n">
        <v>0</v>
      </c>
      <c r="K6" s="62" t="n"/>
      <c r="L6" s="64" t="n"/>
    </row>
    <row r="7" ht="15" customHeight="1" s="44">
      <c r="A7" s="62" t="inlineStr">
        <is>
          <t>Walmart</t>
        </is>
      </c>
      <c r="B7" s="62" t="n">
        <v>8</v>
      </c>
      <c r="C7" s="62" t="n">
        <v>69.5</v>
      </c>
      <c r="D7" s="62" t="inlineStr">
        <is>
          <t>Yes</t>
        </is>
      </c>
      <c r="E7" s="62" t="inlineStr">
        <is>
          <t>US</t>
        </is>
      </c>
      <c r="F7" s="62" t="n">
        <v>2</v>
      </c>
      <c r="G7" s="62" t="n">
        <v>0</v>
      </c>
      <c r="H7" s="62" t="n">
        <v>5</v>
      </c>
      <c r="I7" s="62" t="n">
        <v>1</v>
      </c>
      <c r="J7" s="62" t="n">
        <v>0</v>
      </c>
      <c r="K7" s="62" t="n"/>
      <c r="L7" s="64" t="n"/>
    </row>
    <row r="8" ht="15" customHeight="1" s="44">
      <c r="A8" s="62" t="inlineStr">
        <is>
          <t>SI Systems (contract)</t>
        </is>
      </c>
      <c r="B8" s="62" t="n">
        <v>8</v>
      </c>
      <c r="C8" s="62" t="n"/>
      <c r="D8" s="62" t="inlineStr">
        <is>
          <t>Unknown</t>
        </is>
      </c>
      <c r="E8" s="62" t="n"/>
      <c r="F8" s="62" t="n">
        <v>5</v>
      </c>
      <c r="G8" s="62" t="n">
        <v>0</v>
      </c>
      <c r="H8" s="62" t="n">
        <v>3</v>
      </c>
      <c r="I8" s="62" t="n">
        <v>0</v>
      </c>
      <c r="J8" s="62" t="n">
        <v>0</v>
      </c>
      <c r="K8" s="62" t="n"/>
      <c r="L8" s="64" t="n"/>
    </row>
    <row r="9" ht="15" customHeight="1" s="44">
      <c r="A9" s="62" t="inlineStr">
        <is>
          <t>TELUS</t>
        </is>
      </c>
      <c r="B9" s="62" t="n">
        <v>7</v>
      </c>
      <c r="C9" s="62" t="n">
        <v>65.7</v>
      </c>
      <c r="D9" s="62" t="inlineStr">
        <is>
          <t>No</t>
        </is>
      </c>
      <c r="E9" s="62" t="inlineStr">
        <is>
          <t>Canada</t>
        </is>
      </c>
      <c r="F9" s="62" t="n">
        <v>7</v>
      </c>
      <c r="G9" s="62" t="n">
        <v>0</v>
      </c>
      <c r="H9" s="62" t="n">
        <v>0</v>
      </c>
      <c r="I9" s="62" t="n">
        <v>0</v>
      </c>
      <c r="J9" s="62" t="n">
        <v>0</v>
      </c>
      <c r="K9" s="62" t="n">
        <v>37.7</v>
      </c>
      <c r="L9" s="64" t="n"/>
    </row>
    <row r="10" ht="15" customHeight="1" s="44">
      <c r="A10" s="62" t="inlineStr">
        <is>
          <t>McKesson</t>
        </is>
      </c>
      <c r="B10" s="62" t="n">
        <v>6</v>
      </c>
      <c r="C10" s="62" t="n">
        <v>77.5</v>
      </c>
      <c r="D10" s="62" t="inlineStr">
        <is>
          <t>No</t>
        </is>
      </c>
      <c r="E10" s="62" t="inlineStr">
        <is>
          <t>Canada</t>
        </is>
      </c>
      <c r="F10" s="62" t="n">
        <v>3</v>
      </c>
      <c r="G10" s="62" t="n">
        <v>0</v>
      </c>
      <c r="H10" s="62" t="n">
        <v>3</v>
      </c>
      <c r="I10" s="62" t="n">
        <v>0</v>
      </c>
      <c r="J10" s="62" t="n">
        <v>0</v>
      </c>
      <c r="K10" s="62" t="n">
        <v>36</v>
      </c>
      <c r="L10" s="64" t="n"/>
    </row>
    <row r="11" ht="15" customHeight="1" s="44">
      <c r="A11" s="62" t="inlineStr">
        <is>
          <t>Google</t>
        </is>
      </c>
      <c r="B11" s="62" t="n">
        <v>6</v>
      </c>
      <c r="C11" s="62" t="n">
        <v>56.8</v>
      </c>
      <c r="D11" s="62" t="inlineStr">
        <is>
          <t>No/Yes</t>
        </is>
      </c>
      <c r="E11" s="62" t="inlineStr">
        <is>
          <t>Canada/US</t>
        </is>
      </c>
      <c r="F11" s="62" t="n">
        <v>0</v>
      </c>
      <c r="G11" s="62" t="n">
        <v>2</v>
      </c>
      <c r="H11" s="62" t="n">
        <v>3</v>
      </c>
      <c r="I11" s="62" t="n">
        <v>1</v>
      </c>
      <c r="J11" s="62" t="n">
        <v>0</v>
      </c>
      <c r="K11" s="62" t="n"/>
      <c r="L11" s="64" t="inlineStr">
        <is>
          <t>$240,000-$333,000</t>
        </is>
      </c>
    </row>
    <row r="12" ht="15" customHeight="1" s="44">
      <c r="A12" s="62" t="inlineStr">
        <is>
          <t>Sanofi</t>
        </is>
      </c>
      <c r="B12" s="62" t="n">
        <v>6</v>
      </c>
      <c r="C12" s="62" t="n">
        <v>55</v>
      </c>
      <c r="D12" s="62" t="inlineStr">
        <is>
          <t>No</t>
        </is>
      </c>
      <c r="E12" s="62" t="inlineStr">
        <is>
          <t>Canada</t>
        </is>
      </c>
      <c r="F12" s="62" t="n">
        <v>2</v>
      </c>
      <c r="G12" s="62" t="n">
        <v>0</v>
      </c>
      <c r="H12" s="62" t="n">
        <v>3</v>
      </c>
      <c r="I12" s="62" t="n">
        <v>0</v>
      </c>
      <c r="J12" s="62" t="n">
        <v>1</v>
      </c>
      <c r="K12" s="62" t="n">
        <v>12</v>
      </c>
      <c r="L12" s="64" t="n"/>
    </row>
    <row r="13" ht="15" customHeight="1" s="44">
      <c r="A13" s="62" t="inlineStr">
        <is>
          <t>Loblaw Digital</t>
        </is>
      </c>
      <c r="B13" s="62" t="n">
        <v>5</v>
      </c>
      <c r="C13" s="62" t="n">
        <v>75.8</v>
      </c>
      <c r="D13" s="62" t="inlineStr">
        <is>
          <t>No</t>
        </is>
      </c>
      <c r="E13" s="62" t="inlineStr">
        <is>
          <t>Canada</t>
        </is>
      </c>
      <c r="F13" s="62" t="n">
        <v>5</v>
      </c>
      <c r="G13" s="62" t="n">
        <v>0</v>
      </c>
      <c r="H13" s="62" t="n">
        <v>0</v>
      </c>
      <c r="I13" s="62" t="n">
        <v>0</v>
      </c>
      <c r="J13" s="62" t="n">
        <v>0</v>
      </c>
      <c r="K13" s="62" t="n">
        <v>20.8</v>
      </c>
      <c r="L13" s="64" t="n"/>
    </row>
    <row r="14" ht="15" customHeight="1" s="44">
      <c r="A14" s="62" t="inlineStr">
        <is>
          <t>ServiceNow</t>
        </is>
      </c>
      <c r="B14" s="62" t="n">
        <v>5</v>
      </c>
      <c r="C14" s="62" t="n">
        <v>60.4</v>
      </c>
      <c r="D14" s="62" t="inlineStr">
        <is>
          <t>No/Yes</t>
        </is>
      </c>
      <c r="E14" s="62" t="inlineStr">
        <is>
          <t>Canada/US</t>
        </is>
      </c>
      <c r="F14" s="62" t="n">
        <v>3</v>
      </c>
      <c r="G14" s="62" t="n">
        <v>0</v>
      </c>
      <c r="H14" s="62" t="n">
        <v>2</v>
      </c>
      <c r="I14" s="62" t="n">
        <v>0</v>
      </c>
      <c r="J14" s="62" t="n">
        <v>0</v>
      </c>
      <c r="K14" s="62" t="n">
        <v>2.7</v>
      </c>
      <c r="L14" s="64" t="n"/>
    </row>
    <row r="15" ht="15" customHeight="1" s="44">
      <c r="A15" s="62" t="inlineStr">
        <is>
          <t>Wayfair</t>
        </is>
      </c>
      <c r="B15" s="62" t="n">
        <v>5</v>
      </c>
      <c r="C15" s="62" t="n">
        <v>80</v>
      </c>
      <c r="D15" s="62" t="inlineStr">
        <is>
          <t>Yes</t>
        </is>
      </c>
      <c r="E15" s="62" t="inlineStr">
        <is>
          <t>US</t>
        </is>
      </c>
      <c r="F15" s="62" t="n">
        <v>0</v>
      </c>
      <c r="G15" s="62" t="n">
        <v>0</v>
      </c>
      <c r="H15" s="62" t="n">
        <v>5</v>
      </c>
      <c r="I15" s="62" t="n">
        <v>0</v>
      </c>
      <c r="J15" s="62" t="n">
        <v>0</v>
      </c>
      <c r="K15" s="62" t="n"/>
      <c r="L15" s="64" t="n"/>
    </row>
    <row r="16" ht="15" customHeight="1" s="44">
      <c r="A16" s="62" t="inlineStr">
        <is>
          <t>NVIDIA</t>
        </is>
      </c>
      <c r="B16" s="62" t="n">
        <v>5</v>
      </c>
      <c r="C16" s="62" t="n">
        <v>65</v>
      </c>
      <c r="D16" s="62" t="inlineStr">
        <is>
          <t>Yes</t>
        </is>
      </c>
      <c r="E16" s="62" t="inlineStr">
        <is>
          <t>US</t>
        </is>
      </c>
      <c r="F16" s="62" t="n">
        <v>4</v>
      </c>
      <c r="G16" s="62" t="n">
        <v>0</v>
      </c>
      <c r="H16" s="62" t="n">
        <v>1</v>
      </c>
      <c r="I16" s="62" t="n">
        <v>0</v>
      </c>
      <c r="J16" s="62" t="n">
        <v>0</v>
      </c>
      <c r="K16" s="62" t="n">
        <v>16</v>
      </c>
      <c r="L16" s="64" t="n"/>
    </row>
    <row r="17" ht="15" customHeight="1" s="44">
      <c r="A17" s="62" t="inlineStr">
        <is>
          <t>DeepMind</t>
        </is>
      </c>
      <c r="B17" s="62" t="n">
        <v>4</v>
      </c>
      <c r="C17" s="62" t="n"/>
      <c r="D17" s="62" t="inlineStr">
        <is>
          <t>Unknown</t>
        </is>
      </c>
      <c r="E17" s="62" t="n"/>
      <c r="F17" s="62" t="n">
        <v>4</v>
      </c>
      <c r="G17" s="62" t="n">
        <v>0</v>
      </c>
      <c r="H17" s="62" t="n">
        <v>0</v>
      </c>
      <c r="I17" s="62" t="n">
        <v>0</v>
      </c>
      <c r="J17" s="62" t="n">
        <v>0</v>
      </c>
      <c r="K17" s="62" t="n"/>
      <c r="L17" s="64" t="n"/>
    </row>
    <row r="18" ht="15" customHeight="1" s="44">
      <c r="A18" s="62" t="inlineStr">
        <is>
          <t>Affirm</t>
        </is>
      </c>
      <c r="B18" s="62" t="n">
        <v>4</v>
      </c>
      <c r="C18" s="62" t="n">
        <v>65</v>
      </c>
      <c r="D18" s="62" t="inlineStr">
        <is>
          <t>No/Yes</t>
        </is>
      </c>
      <c r="E18" s="62" t="inlineStr">
        <is>
          <t>Canada/US</t>
        </is>
      </c>
      <c r="F18" s="62" t="n">
        <v>1</v>
      </c>
      <c r="G18" s="62" t="n">
        <v>0</v>
      </c>
      <c r="H18" s="62" t="n">
        <v>3</v>
      </c>
      <c r="I18" s="62" t="n">
        <v>0</v>
      </c>
      <c r="J18" s="62" t="n">
        <v>0</v>
      </c>
      <c r="K18" s="62" t="n"/>
      <c r="L18" s="64" t="n"/>
    </row>
    <row r="19" ht="15" customHeight="1" s="44">
      <c r="A19" s="62" t="inlineStr">
        <is>
          <t>Capco</t>
        </is>
      </c>
      <c r="B19" s="62" t="n">
        <v>4</v>
      </c>
      <c r="C19" s="62" t="n">
        <v>71.5</v>
      </c>
      <c r="D19" s="62" t="inlineStr">
        <is>
          <t>No</t>
        </is>
      </c>
      <c r="E19" s="62" t="inlineStr">
        <is>
          <t>Canada</t>
        </is>
      </c>
      <c r="F19" s="62" t="n">
        <v>4</v>
      </c>
      <c r="G19" s="62" t="n">
        <v>0</v>
      </c>
      <c r="H19" s="62" t="n">
        <v>0</v>
      </c>
      <c r="I19" s="62" t="n">
        <v>0</v>
      </c>
      <c r="J19" s="62" t="n">
        <v>0</v>
      </c>
      <c r="K19" s="62" t="n"/>
      <c r="L19" s="64" t="n"/>
    </row>
    <row r="20" ht="15" customHeight="1" s="44">
      <c r="A20" s="62" t="inlineStr">
        <is>
          <t>Uber</t>
        </is>
      </c>
      <c r="B20" s="62" t="n">
        <v>4</v>
      </c>
      <c r="C20" s="62" t="n">
        <v>64.3</v>
      </c>
      <c r="D20" s="62" t="inlineStr">
        <is>
          <t>No/Yes</t>
        </is>
      </c>
      <c r="E20" s="62" t="inlineStr">
        <is>
          <t>Canada/US</t>
        </is>
      </c>
      <c r="F20" s="62" t="n">
        <v>4</v>
      </c>
      <c r="G20" s="62" t="n">
        <v>0</v>
      </c>
      <c r="H20" s="62" t="n">
        <v>0</v>
      </c>
      <c r="I20" s="62" t="n">
        <v>0</v>
      </c>
      <c r="J20" s="62" t="n">
        <v>0</v>
      </c>
      <c r="K20" s="62" t="n">
        <v>3</v>
      </c>
      <c r="L20" s="64" t="n"/>
    </row>
    <row r="21" ht="15" customHeight="1" s="44">
      <c r="A21" s="62" t="inlineStr">
        <is>
          <t>AMD</t>
        </is>
      </c>
      <c r="B21" s="62" t="n">
        <v>4</v>
      </c>
      <c r="C21" s="62" t="n">
        <v>78</v>
      </c>
      <c r="D21" s="62" t="inlineStr">
        <is>
          <t>Yes</t>
        </is>
      </c>
      <c r="E21" s="62" t="inlineStr">
        <is>
          <t>US</t>
        </is>
      </c>
      <c r="F21" s="62" t="n">
        <v>3</v>
      </c>
      <c r="G21" s="62" t="n">
        <v>0</v>
      </c>
      <c r="H21" s="62" t="n">
        <v>1</v>
      </c>
      <c r="I21" s="62" t="n">
        <v>0</v>
      </c>
      <c r="J21" s="62" t="n">
        <v>0</v>
      </c>
      <c r="K21" s="62" t="n">
        <v>23.5</v>
      </c>
      <c r="L21" s="64" t="n"/>
    </row>
    <row r="22" ht="15" customHeight="1" s="44">
      <c r="A22" s="62" t="inlineStr">
        <is>
          <t>Stripe</t>
        </is>
      </c>
      <c r="B22" s="62" t="n">
        <v>4</v>
      </c>
      <c r="C22" s="62" t="n">
        <v>40</v>
      </c>
      <c r="D22" s="62" t="inlineStr">
        <is>
          <t>Yes</t>
        </is>
      </c>
      <c r="E22" s="62" t="inlineStr">
        <is>
          <t>US</t>
        </is>
      </c>
      <c r="F22" s="62" t="n">
        <v>4</v>
      </c>
      <c r="G22" s="62" t="n">
        <v>0</v>
      </c>
      <c r="H22" s="62" t="n">
        <v>0</v>
      </c>
      <c r="I22" s="62" t="n">
        <v>0</v>
      </c>
      <c r="J22" s="62" t="n">
        <v>0</v>
      </c>
      <c r="K22" s="62" t="n">
        <v>0</v>
      </c>
      <c r="L22" s="64" t="n"/>
    </row>
    <row r="23" ht="15" customHeight="1" s="44">
      <c r="A23" s="62" t="inlineStr">
        <is>
          <t>Netflix</t>
        </is>
      </c>
      <c r="B23" s="62" t="n">
        <v>4</v>
      </c>
      <c r="C23" s="62" t="n">
        <v>77.8</v>
      </c>
      <c r="D23" s="62" t="inlineStr">
        <is>
          <t>Yes</t>
        </is>
      </c>
      <c r="E23" s="62" t="inlineStr">
        <is>
          <t>US</t>
        </is>
      </c>
      <c r="F23" s="62" t="n">
        <v>0</v>
      </c>
      <c r="G23" s="62" t="n">
        <v>0</v>
      </c>
      <c r="H23" s="62" t="n">
        <v>3</v>
      </c>
      <c r="I23" s="62" t="n">
        <v>1</v>
      </c>
      <c r="J23" s="62" t="n">
        <v>0</v>
      </c>
      <c r="K23" s="62" t="n"/>
      <c r="L23" s="64" t="n"/>
    </row>
    <row r="24" ht="15" customHeight="1" s="44">
      <c r="A24" s="62" t="inlineStr">
        <is>
          <t>Scale AI</t>
        </is>
      </c>
      <c r="B24" s="62" t="n">
        <v>4</v>
      </c>
      <c r="C24" s="62" t="n">
        <v>66.5</v>
      </c>
      <c r="D24" s="62" t="inlineStr">
        <is>
          <t>Yes</t>
        </is>
      </c>
      <c r="E24" s="62" t="inlineStr">
        <is>
          <t>US</t>
        </is>
      </c>
      <c r="F24" s="62" t="n">
        <v>2</v>
      </c>
      <c r="G24" s="62" t="n">
        <v>0</v>
      </c>
      <c r="H24" s="62" t="n">
        <v>2</v>
      </c>
      <c r="I24" s="62" t="n">
        <v>0</v>
      </c>
      <c r="J24" s="62" t="n">
        <v>0</v>
      </c>
      <c r="K24" s="62" t="n">
        <v>1</v>
      </c>
      <c r="L24" s="64" t="n"/>
    </row>
    <row r="25" ht="15" customHeight="1" s="44">
      <c r="A25" s="62" t="inlineStr">
        <is>
          <t>ProCom Services</t>
        </is>
      </c>
      <c r="B25" s="62" t="n">
        <v>4</v>
      </c>
      <c r="C25" s="62" t="n"/>
      <c r="D25" s="62" t="inlineStr">
        <is>
          <t>Unknown</t>
        </is>
      </c>
      <c r="E25" s="62" t="n"/>
      <c r="F25" s="62" t="n">
        <v>0</v>
      </c>
      <c r="G25" s="62" t="n">
        <v>4</v>
      </c>
      <c r="H25" s="62" t="n">
        <v>0</v>
      </c>
      <c r="I25" s="62" t="n">
        <v>0</v>
      </c>
      <c r="J25" s="62" t="n">
        <v>0</v>
      </c>
      <c r="K25" s="62" t="n"/>
      <c r="L25" s="64" t="n"/>
    </row>
    <row r="26" ht="15" customHeight="1" s="44">
      <c r="A26" s="62" t="inlineStr">
        <is>
          <t>Client Connections</t>
        </is>
      </c>
      <c r="B26" s="62" t="n">
        <v>4</v>
      </c>
      <c r="C26" s="62" t="n"/>
      <c r="D26" s="62" t="inlineStr">
        <is>
          <t>Unknown</t>
        </is>
      </c>
      <c r="E26" s="62" t="n"/>
      <c r="F26" s="62" t="n">
        <v>0</v>
      </c>
      <c r="G26" s="62" t="n">
        <v>0</v>
      </c>
      <c r="H26" s="62" t="n">
        <v>4</v>
      </c>
      <c r="I26" s="62" t="n">
        <v>0</v>
      </c>
      <c r="J26" s="62" t="n">
        <v>0</v>
      </c>
      <c r="K26" s="62" t="n"/>
      <c r="L26" s="64" t="n"/>
    </row>
    <row r="27" ht="15" customHeight="1" s="44">
      <c r="A27" s="62" t="inlineStr">
        <is>
          <t>Microsoft</t>
        </is>
      </c>
      <c r="B27" s="62" t="n">
        <v>4</v>
      </c>
      <c r="C27" s="62" t="n">
        <v>70.7</v>
      </c>
      <c r="D27" s="62" t="inlineStr">
        <is>
          <t>No/Yes</t>
        </is>
      </c>
      <c r="E27" s="62" t="inlineStr">
        <is>
          <t>Canada/US</t>
        </is>
      </c>
      <c r="F27" s="62" t="n">
        <v>0</v>
      </c>
      <c r="G27" s="62" t="n">
        <v>0</v>
      </c>
      <c r="H27" s="62" t="n">
        <v>4</v>
      </c>
      <c r="I27" s="62" t="n">
        <v>0</v>
      </c>
      <c r="J27" s="62" t="n">
        <v>0</v>
      </c>
      <c r="K27" s="62" t="n"/>
      <c r="L27" s="64" t="n"/>
    </row>
    <row r="28" ht="15" customHeight="1" s="44">
      <c r="A28" s="62" t="inlineStr">
        <is>
          <t>OpenText</t>
        </is>
      </c>
      <c r="B28" s="62" t="n">
        <v>4</v>
      </c>
      <c r="C28" s="62" t="n">
        <v>50</v>
      </c>
      <c r="D28" s="62" t="inlineStr">
        <is>
          <t>No</t>
        </is>
      </c>
      <c r="E28" s="62" t="inlineStr">
        <is>
          <t>Canada</t>
        </is>
      </c>
      <c r="F28" s="62" t="n">
        <v>1</v>
      </c>
      <c r="G28" s="62" t="n">
        <v>0</v>
      </c>
      <c r="H28" s="62" t="n">
        <v>3</v>
      </c>
      <c r="I28" s="62" t="n">
        <v>0</v>
      </c>
      <c r="J28" s="62" t="n">
        <v>0</v>
      </c>
      <c r="K28" s="62" t="n">
        <v>18</v>
      </c>
      <c r="L28" s="64" t="n"/>
    </row>
    <row r="29" ht="15" customHeight="1" s="44">
      <c r="A29" s="62" t="inlineStr">
        <is>
          <t>OMERS / Oxford Properties</t>
        </is>
      </c>
      <c r="B29" s="62" t="n">
        <v>3</v>
      </c>
      <c r="C29" s="62" t="n">
        <v>81</v>
      </c>
      <c r="D29" s="62" t="inlineStr">
        <is>
          <t>No</t>
        </is>
      </c>
      <c r="E29" s="62" t="inlineStr">
        <is>
          <t>Canada</t>
        </is>
      </c>
      <c r="F29" s="62" t="n">
        <v>2</v>
      </c>
      <c r="G29" s="62" t="n">
        <v>0</v>
      </c>
      <c r="H29" s="62" t="n">
        <v>1</v>
      </c>
      <c r="I29" s="62" t="n">
        <v>0</v>
      </c>
      <c r="J29" s="62" t="n">
        <v>0</v>
      </c>
      <c r="K29" s="62" t="n"/>
      <c r="L29" s="64" t="n"/>
    </row>
    <row r="30" ht="15" customHeight="1" s="44">
      <c r="A30" s="62" t="inlineStr">
        <is>
          <t>Databricks</t>
        </is>
      </c>
      <c r="B30" s="62" t="n">
        <v>3</v>
      </c>
      <c r="C30" s="62" t="n"/>
      <c r="D30" s="62" t="inlineStr">
        <is>
          <t>Unknown</t>
        </is>
      </c>
      <c r="E30" s="62" t="n"/>
      <c r="F30" s="62" t="n">
        <v>3</v>
      </c>
      <c r="G30" s="62" t="n">
        <v>0</v>
      </c>
      <c r="H30" s="62" t="n">
        <v>0</v>
      </c>
      <c r="I30" s="62" t="n">
        <v>0</v>
      </c>
      <c r="J30" s="62" t="n">
        <v>0</v>
      </c>
      <c r="K30" s="62" t="n"/>
      <c r="L30" s="64" t="n"/>
    </row>
    <row r="31" ht="15" customHeight="1" s="44">
      <c r="A31" s="62" t="inlineStr">
        <is>
          <t>Lyft</t>
        </is>
      </c>
      <c r="B31" s="62" t="n">
        <v>3</v>
      </c>
      <c r="C31" s="62" t="n">
        <v>55</v>
      </c>
      <c r="D31" s="62" t="inlineStr">
        <is>
          <t>No</t>
        </is>
      </c>
      <c r="E31" s="62" t="inlineStr">
        <is>
          <t>Canada</t>
        </is>
      </c>
      <c r="F31" s="62" t="n">
        <v>3</v>
      </c>
      <c r="G31" s="62" t="n">
        <v>0</v>
      </c>
      <c r="H31" s="62" t="n">
        <v>0</v>
      </c>
      <c r="I31" s="62" t="n">
        <v>0</v>
      </c>
      <c r="J31" s="62" t="n">
        <v>0</v>
      </c>
      <c r="K31" s="62" t="n">
        <v>9</v>
      </c>
      <c r="L31" s="64" t="n"/>
    </row>
    <row r="32" ht="15" customHeight="1" s="44">
      <c r="A32" s="62" t="inlineStr">
        <is>
          <t>Compass</t>
        </is>
      </c>
      <c r="B32" s="62" t="n">
        <v>3</v>
      </c>
      <c r="C32" s="62" t="n">
        <v>69.3</v>
      </c>
      <c r="D32" s="62" t="inlineStr">
        <is>
          <t>Yes</t>
        </is>
      </c>
      <c r="E32" s="62" t="inlineStr">
        <is>
          <t>US</t>
        </is>
      </c>
      <c r="F32" s="62" t="n">
        <v>3</v>
      </c>
      <c r="G32" s="62" t="n">
        <v>0</v>
      </c>
      <c r="H32" s="62" t="n">
        <v>0</v>
      </c>
      <c r="I32" s="62" t="n">
        <v>0</v>
      </c>
      <c r="J32" s="62" t="n">
        <v>0</v>
      </c>
      <c r="K32" s="62" t="n">
        <v>2</v>
      </c>
      <c r="L32" s="64" t="inlineStr">
        <is>
          <t>$173,430-$192,700</t>
        </is>
      </c>
    </row>
    <row r="33" ht="15" customHeight="1" s="44">
      <c r="A33" s="62" t="inlineStr">
        <is>
          <t>EY</t>
        </is>
      </c>
      <c r="B33" s="62" t="n">
        <v>3</v>
      </c>
      <c r="C33" s="62" t="n">
        <v>72</v>
      </c>
      <c r="D33" s="62" t="inlineStr">
        <is>
          <t>Yes</t>
        </is>
      </c>
      <c r="E33" s="62" t="inlineStr">
        <is>
          <t>US</t>
        </is>
      </c>
      <c r="F33" s="62" t="n">
        <v>0</v>
      </c>
      <c r="G33" s="62" t="n">
        <v>0</v>
      </c>
      <c r="H33" s="62" t="n">
        <v>1</v>
      </c>
      <c r="I33" s="62" t="n">
        <v>2</v>
      </c>
      <c r="J33" s="62" t="n">
        <v>0</v>
      </c>
      <c r="K33" s="62" t="n"/>
      <c r="L33" s="64" t="n"/>
    </row>
    <row r="34" ht="15" customHeight="1" s="44">
      <c r="A34" s="62" t="inlineStr">
        <is>
          <t>Walmart Canada</t>
        </is>
      </c>
      <c r="B34" s="62" t="n">
        <v>3</v>
      </c>
      <c r="C34" s="62" t="n">
        <v>73.3</v>
      </c>
      <c r="D34" s="62" t="inlineStr">
        <is>
          <t>No</t>
        </is>
      </c>
      <c r="E34" s="62" t="inlineStr">
        <is>
          <t>Canada</t>
        </is>
      </c>
      <c r="F34" s="62" t="n">
        <v>2</v>
      </c>
      <c r="G34" s="62" t="n">
        <v>0</v>
      </c>
      <c r="H34" s="62" t="n">
        <v>0</v>
      </c>
      <c r="I34" s="62" t="n">
        <v>1</v>
      </c>
      <c r="J34" s="62" t="n">
        <v>0</v>
      </c>
      <c r="K34" s="62" t="n">
        <v>26.5</v>
      </c>
      <c r="L34" s="64" t="n"/>
    </row>
    <row r="35" ht="15" customHeight="1" s="44">
      <c r="A35" s="62" t="inlineStr">
        <is>
          <t>(Indeed)</t>
        </is>
      </c>
      <c r="B35" s="62" t="n">
        <v>3</v>
      </c>
      <c r="C35" s="62" t="n">
        <v>70</v>
      </c>
      <c r="D35" s="62" t="inlineStr">
        <is>
          <t>No</t>
        </is>
      </c>
      <c r="E35" s="62" t="inlineStr">
        <is>
          <t>Canada</t>
        </is>
      </c>
      <c r="F35" s="62" t="n">
        <v>0</v>
      </c>
      <c r="G35" s="62" t="n">
        <v>0</v>
      </c>
      <c r="H35" s="62" t="n">
        <v>3</v>
      </c>
      <c r="I35" s="62" t="n">
        <v>0</v>
      </c>
      <c r="J35" s="62" t="n">
        <v>0</v>
      </c>
      <c r="K35" s="62" t="n"/>
      <c r="L35" s="64" t="n"/>
    </row>
    <row r="36" ht="15" customHeight="1" s="44">
      <c r="A36" s="62" t="inlineStr">
        <is>
          <t>OpenAI</t>
        </is>
      </c>
      <c r="B36" s="62" t="n">
        <v>3</v>
      </c>
      <c r="C36" s="62" t="n">
        <v>42.5</v>
      </c>
      <c r="D36" s="62" t="inlineStr">
        <is>
          <t>Yes</t>
        </is>
      </c>
      <c r="E36" s="62" t="inlineStr">
        <is>
          <t>US</t>
        </is>
      </c>
      <c r="F36" s="62" t="n">
        <v>1</v>
      </c>
      <c r="G36" s="62" t="n">
        <v>0</v>
      </c>
      <c r="H36" s="62" t="n">
        <v>2</v>
      </c>
      <c r="I36" s="62" t="n">
        <v>0</v>
      </c>
      <c r="J36" s="62" t="n">
        <v>0</v>
      </c>
      <c r="K36" s="62" t="n">
        <v>55</v>
      </c>
      <c r="L36" s="64" t="n"/>
    </row>
    <row r="37" ht="15" customHeight="1" s="44">
      <c r="A37" s="62" t="inlineStr">
        <is>
          <t>Headway</t>
        </is>
      </c>
      <c r="B37" s="62" t="n">
        <v>3</v>
      </c>
      <c r="C37" s="62" t="n">
        <v>68.3</v>
      </c>
      <c r="D37" s="62" t="inlineStr">
        <is>
          <t>Yes</t>
        </is>
      </c>
      <c r="E37" s="62" t="inlineStr">
        <is>
          <t>US</t>
        </is>
      </c>
      <c r="F37" s="62" t="n">
        <v>2</v>
      </c>
      <c r="G37" s="62" t="n">
        <v>0</v>
      </c>
      <c r="H37" s="62" t="n">
        <v>1</v>
      </c>
      <c r="I37" s="62" t="n">
        <v>0</v>
      </c>
      <c r="J37" s="62" t="n">
        <v>0</v>
      </c>
      <c r="K37" s="62" t="n">
        <v>11</v>
      </c>
      <c r="L37" s="64" t="n"/>
    </row>
    <row r="38" ht="15" customHeight="1" s="44">
      <c r="A38" s="62" t="inlineStr">
        <is>
          <t>Vector Institute</t>
        </is>
      </c>
      <c r="B38" s="62" t="n">
        <v>3</v>
      </c>
      <c r="C38" s="62" t="n">
        <v>75</v>
      </c>
      <c r="D38" s="62" t="inlineStr">
        <is>
          <t>No</t>
        </is>
      </c>
      <c r="E38" s="62" t="inlineStr">
        <is>
          <t>Canada</t>
        </is>
      </c>
      <c r="F38" s="62" t="n">
        <v>0</v>
      </c>
      <c r="G38" s="62" t="n">
        <v>1</v>
      </c>
      <c r="H38" s="62" t="n">
        <v>1</v>
      </c>
      <c r="I38" s="62" t="n">
        <v>0</v>
      </c>
      <c r="J38" s="62" t="n">
        <v>1</v>
      </c>
      <c r="K38" s="62" t="n"/>
      <c r="L38" s="64" t="n"/>
    </row>
    <row r="39" ht="15" customHeight="1" s="44">
      <c r="A39" s="62" t="inlineStr">
        <is>
          <t>Moneris</t>
        </is>
      </c>
      <c r="B39" s="62" t="n">
        <v>3</v>
      </c>
      <c r="C39" s="62" t="n">
        <v>80</v>
      </c>
      <c r="D39" s="62" t="inlineStr">
        <is>
          <t>No</t>
        </is>
      </c>
      <c r="E39" s="62" t="inlineStr">
        <is>
          <t>Canada</t>
        </is>
      </c>
      <c r="F39" s="62" t="n">
        <v>2</v>
      </c>
      <c r="G39" s="62" t="n">
        <v>0</v>
      </c>
      <c r="H39" s="62" t="n">
        <v>1</v>
      </c>
      <c r="I39" s="62" t="n">
        <v>0</v>
      </c>
      <c r="J39" s="62" t="n">
        <v>0</v>
      </c>
      <c r="K39" s="62" t="n">
        <v>6</v>
      </c>
      <c r="L39" s="64" t="n"/>
    </row>
    <row r="40" ht="15" customHeight="1" s="44">
      <c r="A40" s="62" t="inlineStr">
        <is>
          <t>Guidewire Software</t>
        </is>
      </c>
      <c r="B40" s="62" t="n">
        <v>3</v>
      </c>
      <c r="C40" s="62" t="n">
        <v>60</v>
      </c>
      <c r="D40" s="62" t="inlineStr">
        <is>
          <t>No</t>
        </is>
      </c>
      <c r="E40" s="62" t="inlineStr">
        <is>
          <t>Canada</t>
        </is>
      </c>
      <c r="F40" s="62" t="n">
        <v>0</v>
      </c>
      <c r="G40" s="62" t="n">
        <v>0</v>
      </c>
      <c r="H40" s="62" t="n">
        <v>3</v>
      </c>
      <c r="I40" s="62" t="n">
        <v>0</v>
      </c>
      <c r="J40" s="62" t="n">
        <v>0</v>
      </c>
      <c r="K40" s="62" t="n"/>
      <c r="L40" s="64" t="n"/>
    </row>
    <row r="41" ht="15" customHeight="1" s="44">
      <c r="A41" s="62" t="inlineStr">
        <is>
          <t>BEUMER Group</t>
        </is>
      </c>
      <c r="B41" s="62" t="n">
        <v>3</v>
      </c>
      <c r="C41" s="62" t="n">
        <v>72</v>
      </c>
      <c r="D41" s="62" t="inlineStr">
        <is>
          <t>No</t>
        </is>
      </c>
      <c r="E41" s="62" t="inlineStr">
        <is>
          <t>Canada</t>
        </is>
      </c>
      <c r="F41" s="62" t="n">
        <v>0</v>
      </c>
      <c r="G41" s="62" t="n">
        <v>0</v>
      </c>
      <c r="H41" s="62" t="n">
        <v>3</v>
      </c>
      <c r="I41" s="62" t="n">
        <v>0</v>
      </c>
      <c r="J41" s="62" t="n">
        <v>0</v>
      </c>
      <c r="K41" s="62" t="n"/>
      <c r="L41" s="64" t="n"/>
    </row>
    <row r="42" ht="15" customHeight="1" s="44">
      <c r="A42" s="62" t="inlineStr">
        <is>
          <t>Moody's</t>
        </is>
      </c>
      <c r="B42" s="62" t="n">
        <v>3</v>
      </c>
      <c r="C42" s="62" t="n">
        <v>58.5</v>
      </c>
      <c r="D42" s="62" t="inlineStr">
        <is>
          <t>No/Yes</t>
        </is>
      </c>
      <c r="E42" s="62" t="inlineStr">
        <is>
          <t>Canada/US</t>
        </is>
      </c>
      <c r="F42" s="62" t="n">
        <v>0</v>
      </c>
      <c r="G42" s="62" t="n">
        <v>0</v>
      </c>
      <c r="H42" s="62" t="n">
        <v>3</v>
      </c>
      <c r="I42" s="62" t="n">
        <v>0</v>
      </c>
      <c r="J42" s="62" t="n">
        <v>0</v>
      </c>
      <c r="K42" s="62" t="n"/>
      <c r="L42" s="64" t="n"/>
    </row>
    <row r="43" ht="15" customHeight="1" s="44">
      <c r="A43" s="62" t="inlineStr">
        <is>
          <t>Coupang</t>
        </is>
      </c>
      <c r="B43" s="62" t="n">
        <v>3</v>
      </c>
      <c r="C43" s="62" t="n">
        <v>80</v>
      </c>
      <c r="D43" s="62" t="inlineStr">
        <is>
          <t>Yes</t>
        </is>
      </c>
      <c r="E43" s="62" t="inlineStr">
        <is>
          <t>US</t>
        </is>
      </c>
      <c r="F43" s="62" t="n">
        <v>0</v>
      </c>
      <c r="G43" s="62" t="n">
        <v>0</v>
      </c>
      <c r="H43" s="62" t="n">
        <v>3</v>
      </c>
      <c r="I43" s="62" t="n">
        <v>0</v>
      </c>
      <c r="J43" s="62" t="n">
        <v>0</v>
      </c>
      <c r="K43" s="62" t="n"/>
      <c r="L43" s="64" t="n"/>
    </row>
    <row r="44" ht="15" customHeight="1" s="44">
      <c r="A44" s="62" t="inlineStr">
        <is>
          <t>OLG (Ontario Lottery and Gaming Corporation)</t>
        </is>
      </c>
      <c r="B44" s="62" t="n">
        <v>2</v>
      </c>
      <c r="C44" s="62" t="n">
        <v>79</v>
      </c>
      <c r="D44" s="62" t="inlineStr">
        <is>
          <t>No</t>
        </is>
      </c>
      <c r="E44" s="62" t="inlineStr">
        <is>
          <t>Canada</t>
        </is>
      </c>
      <c r="F44" s="62" t="n">
        <v>2</v>
      </c>
      <c r="G44" s="62" t="n">
        <v>0</v>
      </c>
      <c r="H44" s="62" t="n">
        <v>0</v>
      </c>
      <c r="I44" s="62" t="n">
        <v>0</v>
      </c>
      <c r="J44" s="62" t="n">
        <v>0</v>
      </c>
      <c r="K44" s="62" t="n"/>
      <c r="L44" s="64" t="n"/>
    </row>
    <row r="45" ht="15" customHeight="1" s="44">
      <c r="A45" s="62" t="inlineStr">
        <is>
          <t>Five9</t>
        </is>
      </c>
      <c r="B45" s="62" t="n">
        <v>2</v>
      </c>
      <c r="C45" s="62" t="n"/>
      <c r="D45" s="62" t="inlineStr">
        <is>
          <t>Unknown</t>
        </is>
      </c>
      <c r="E45" s="62" t="n"/>
      <c r="F45" s="62" t="n">
        <v>2</v>
      </c>
      <c r="G45" s="62" t="n">
        <v>0</v>
      </c>
      <c r="H45" s="62" t="n">
        <v>0</v>
      </c>
      <c r="I45" s="62" t="n">
        <v>0</v>
      </c>
      <c r="J45" s="62" t="n">
        <v>0</v>
      </c>
      <c r="K45" s="62" t="n"/>
      <c r="L45" s="64" t="n"/>
    </row>
    <row r="46" ht="15" customHeight="1" s="44">
      <c r="A46" s="62" t="inlineStr">
        <is>
          <t>Zip</t>
        </is>
      </c>
      <c r="B46" s="62" t="n">
        <v>2</v>
      </c>
      <c r="C46" s="62" t="n">
        <v>42.5</v>
      </c>
      <c r="D46" s="62" t="inlineStr">
        <is>
          <t>No</t>
        </is>
      </c>
      <c r="E46" s="62" t="inlineStr">
        <is>
          <t>Canada</t>
        </is>
      </c>
      <c r="F46" s="62" t="n">
        <v>0</v>
      </c>
      <c r="G46" s="62" t="n">
        <v>0</v>
      </c>
      <c r="H46" s="62" t="n">
        <v>1</v>
      </c>
      <c r="I46" s="62" t="n">
        <v>0</v>
      </c>
      <c r="J46" s="62" t="n">
        <v>1</v>
      </c>
      <c r="K46" s="62" t="n"/>
      <c r="L46" s="64" t="n"/>
    </row>
    <row r="47" ht="15" customHeight="1" s="44">
      <c r="A47" s="62" t="inlineStr">
        <is>
          <t>Hydro One</t>
        </is>
      </c>
      <c r="B47" s="62" t="n">
        <v>2</v>
      </c>
      <c r="C47" s="62" t="n">
        <v>50</v>
      </c>
      <c r="D47" s="62" t="inlineStr">
        <is>
          <t>No</t>
        </is>
      </c>
      <c r="E47" s="62" t="inlineStr">
        <is>
          <t>Canada</t>
        </is>
      </c>
      <c r="F47" s="62" t="n">
        <v>1</v>
      </c>
      <c r="G47" s="62" t="n">
        <v>0</v>
      </c>
      <c r="H47" s="62" t="n">
        <v>1</v>
      </c>
      <c r="I47" s="62" t="n">
        <v>0</v>
      </c>
      <c r="J47" s="62" t="n">
        <v>0</v>
      </c>
      <c r="K47" s="62" t="n">
        <v>178</v>
      </c>
      <c r="L47" s="64" t="n"/>
    </row>
    <row r="48" ht="15" customHeight="1" s="44">
      <c r="A48" s="62" t="inlineStr">
        <is>
          <t>Figma</t>
        </is>
      </c>
      <c r="B48" s="62" t="n">
        <v>2</v>
      </c>
      <c r="C48" s="62" t="n">
        <v>66</v>
      </c>
      <c r="D48" s="62" t="inlineStr">
        <is>
          <t>Yes</t>
        </is>
      </c>
      <c r="E48" s="62" t="inlineStr">
        <is>
          <t>US</t>
        </is>
      </c>
      <c r="F48" s="62" t="n">
        <v>2</v>
      </c>
      <c r="G48" s="62" t="n">
        <v>0</v>
      </c>
      <c r="H48" s="62" t="n">
        <v>0</v>
      </c>
      <c r="I48" s="62" t="n">
        <v>0</v>
      </c>
      <c r="J48" s="62" t="n">
        <v>0</v>
      </c>
      <c r="K48" s="62" t="n"/>
      <c r="L48" s="64" t="inlineStr">
        <is>
          <t>$122K-$260K</t>
        </is>
      </c>
    </row>
    <row r="49" ht="15" customHeight="1" s="44">
      <c r="A49" s="62" t="inlineStr">
        <is>
          <t>Appian</t>
        </is>
      </c>
      <c r="B49" s="62" t="n">
        <v>2</v>
      </c>
      <c r="C49" s="62" t="n">
        <v>58</v>
      </c>
      <c r="D49" s="62" t="inlineStr">
        <is>
          <t>Yes</t>
        </is>
      </c>
      <c r="E49" s="62" t="inlineStr">
        <is>
          <t>US</t>
        </is>
      </c>
      <c r="F49" s="62" t="n">
        <v>2</v>
      </c>
      <c r="G49" s="62" t="n">
        <v>0</v>
      </c>
      <c r="H49" s="62" t="n">
        <v>0</v>
      </c>
      <c r="I49" s="62" t="n">
        <v>0</v>
      </c>
      <c r="J49" s="62" t="n">
        <v>0</v>
      </c>
      <c r="K49" s="62" t="n">
        <v>158</v>
      </c>
      <c r="L49" s="64" t="n"/>
    </row>
    <row r="50" ht="15" customHeight="1" s="44">
      <c r="A50" s="62" t="inlineStr">
        <is>
          <t>Morgan Stanley</t>
        </is>
      </c>
      <c r="B50" s="62" t="n">
        <v>2</v>
      </c>
      <c r="C50" s="62" t="n">
        <v>60</v>
      </c>
      <c r="D50" s="62" t="inlineStr">
        <is>
          <t>Yes</t>
        </is>
      </c>
      <c r="E50" s="62" t="inlineStr">
        <is>
          <t>US</t>
        </is>
      </c>
      <c r="F50" s="62" t="n">
        <v>0</v>
      </c>
      <c r="G50" s="62" t="n">
        <v>0</v>
      </c>
      <c r="H50" s="62" t="n">
        <v>2</v>
      </c>
      <c r="I50" s="62" t="n">
        <v>0</v>
      </c>
      <c r="J50" s="62" t="n">
        <v>0</v>
      </c>
      <c r="K50" s="62" t="n"/>
      <c r="L50" s="64" t="n"/>
    </row>
    <row r="51" ht="15" customHeight="1" s="44">
      <c r="A51" s="62" t="inlineStr">
        <is>
          <t>Slalom</t>
        </is>
      </c>
      <c r="B51" s="62" t="n">
        <v>2</v>
      </c>
      <c r="C51" s="62" t="n">
        <v>85</v>
      </c>
      <c r="D51" s="62" t="inlineStr">
        <is>
          <t>No</t>
        </is>
      </c>
      <c r="E51" s="62" t="inlineStr">
        <is>
          <t>Canada</t>
        </is>
      </c>
      <c r="F51" s="62" t="n">
        <v>1</v>
      </c>
      <c r="G51" s="62" t="n">
        <v>0</v>
      </c>
      <c r="H51" s="62" t="n">
        <v>1</v>
      </c>
      <c r="I51" s="62" t="n">
        <v>0</v>
      </c>
      <c r="J51" s="62" t="n">
        <v>0</v>
      </c>
      <c r="K51" s="62" t="n">
        <v>43</v>
      </c>
      <c r="L51" s="64" t="n"/>
    </row>
    <row r="52" ht="15" customHeight="1" s="44">
      <c r="A52" s="62" t="inlineStr">
        <is>
          <t>PepsiCo</t>
        </is>
      </c>
      <c r="B52" s="62" t="n">
        <v>2</v>
      </c>
      <c r="C52" s="62" t="n">
        <v>75</v>
      </c>
      <c r="D52" s="62" t="inlineStr">
        <is>
          <t>No</t>
        </is>
      </c>
      <c r="E52" s="62" t="inlineStr">
        <is>
          <t>Canada</t>
        </is>
      </c>
      <c r="F52" s="62" t="n">
        <v>0</v>
      </c>
      <c r="G52" s="62" t="n">
        <v>0</v>
      </c>
      <c r="H52" s="62" t="n">
        <v>2</v>
      </c>
      <c r="I52" s="62" t="n">
        <v>0</v>
      </c>
      <c r="J52" s="62" t="n">
        <v>0</v>
      </c>
      <c r="K52" s="62" t="n"/>
      <c r="L52" s="64" t="n"/>
    </row>
    <row r="53" ht="15" customHeight="1" s="44">
      <c r="A53" s="62" t="inlineStr">
        <is>
          <t>Romet Limited</t>
        </is>
      </c>
      <c r="B53" s="62" t="n">
        <v>2</v>
      </c>
      <c r="C53" s="62" t="n">
        <v>50</v>
      </c>
      <c r="D53" s="62" t="inlineStr">
        <is>
          <t>No</t>
        </is>
      </c>
      <c r="E53" s="62" t="inlineStr">
        <is>
          <t>Canada</t>
        </is>
      </c>
      <c r="F53" s="62" t="n">
        <v>1</v>
      </c>
      <c r="G53" s="62" t="n">
        <v>0</v>
      </c>
      <c r="H53" s="62" t="n">
        <v>1</v>
      </c>
      <c r="I53" s="62" t="n">
        <v>0</v>
      </c>
      <c r="J53" s="62" t="n">
        <v>0</v>
      </c>
      <c r="K53" s="62" t="n">
        <v>19</v>
      </c>
      <c r="L53" s="64" t="n"/>
    </row>
    <row r="54" ht="15" customHeight="1" s="44">
      <c r="A54" s="62" t="inlineStr">
        <is>
          <t>Domaine</t>
        </is>
      </c>
      <c r="B54" s="62" t="n">
        <v>2</v>
      </c>
      <c r="C54" s="62" t="n">
        <v>35</v>
      </c>
      <c r="D54" s="62" t="inlineStr">
        <is>
          <t>No</t>
        </is>
      </c>
      <c r="E54" s="62" t="inlineStr">
        <is>
          <t>Canada</t>
        </is>
      </c>
      <c r="F54" s="62" t="n">
        <v>1</v>
      </c>
      <c r="G54" s="62" t="n">
        <v>0</v>
      </c>
      <c r="H54" s="62" t="n">
        <v>1</v>
      </c>
      <c r="I54" s="62" t="n">
        <v>0</v>
      </c>
      <c r="J54" s="62" t="n">
        <v>0</v>
      </c>
      <c r="K54" s="62" t="n">
        <v>2</v>
      </c>
      <c r="L54" s="64" t="n"/>
    </row>
    <row r="55" ht="15" customHeight="1" s="44">
      <c r="A55" s="62" t="inlineStr">
        <is>
          <t>Thomson Reuters</t>
        </is>
      </c>
      <c r="B55" s="62" t="n">
        <v>2</v>
      </c>
      <c r="C55" s="62" t="n">
        <v>71.5</v>
      </c>
      <c r="D55" s="62" t="inlineStr">
        <is>
          <t>No/Yes</t>
        </is>
      </c>
      <c r="E55" s="62" t="inlineStr">
        <is>
          <t>Canada/US</t>
        </is>
      </c>
      <c r="F55" s="62" t="n">
        <v>1</v>
      </c>
      <c r="G55" s="62" t="n">
        <v>0</v>
      </c>
      <c r="H55" s="62" t="n">
        <v>1</v>
      </c>
      <c r="I55" s="62" t="n">
        <v>0</v>
      </c>
      <c r="J55" s="62" t="n">
        <v>0</v>
      </c>
      <c r="K55" s="62" t="n">
        <v>17</v>
      </c>
      <c r="L55" s="64" t="n"/>
    </row>
    <row r="56" ht="15" customHeight="1" s="44">
      <c r="A56" s="62" t="inlineStr">
        <is>
          <t>Waterloo Regional Health Network (WRHN)</t>
        </is>
      </c>
      <c r="B56" s="62" t="n">
        <v>2</v>
      </c>
      <c r="C56" s="62" t="n">
        <v>70</v>
      </c>
      <c r="D56" s="62" t="inlineStr">
        <is>
          <t>No</t>
        </is>
      </c>
      <c r="E56" s="62" t="inlineStr">
        <is>
          <t>Canada</t>
        </is>
      </c>
      <c r="F56" s="62" t="n">
        <v>0</v>
      </c>
      <c r="G56" s="62" t="n">
        <v>0</v>
      </c>
      <c r="H56" s="62" t="n">
        <v>2</v>
      </c>
      <c r="I56" s="62" t="n">
        <v>0</v>
      </c>
      <c r="J56" s="62" t="n">
        <v>0</v>
      </c>
      <c r="K56" s="62" t="n"/>
      <c r="L56" s="64" t="n"/>
    </row>
    <row r="57" ht="15" customHeight="1" s="44">
      <c r="A57" s="62" t="inlineStr">
        <is>
          <t>Retell AI</t>
        </is>
      </c>
      <c r="B57" s="62" t="n">
        <v>2</v>
      </c>
      <c r="C57" s="62" t="n">
        <v>45</v>
      </c>
      <c r="D57" s="62" t="inlineStr">
        <is>
          <t>Yes</t>
        </is>
      </c>
      <c r="E57" s="62" t="inlineStr">
        <is>
          <t>US</t>
        </is>
      </c>
      <c r="F57" s="62" t="n">
        <v>0</v>
      </c>
      <c r="G57" s="62" t="n">
        <v>0</v>
      </c>
      <c r="H57" s="62" t="n">
        <v>2</v>
      </c>
      <c r="I57" s="62" t="n">
        <v>0</v>
      </c>
      <c r="J57" s="62" t="n">
        <v>0</v>
      </c>
      <c r="K57" s="62" t="n"/>
      <c r="L57" s="64" t="n"/>
    </row>
    <row r="58" ht="15" customHeight="1" s="44">
      <c r="A58" s="62" t="inlineStr">
        <is>
          <t>S.i. Systems (staffing agency)</t>
        </is>
      </c>
      <c r="B58" s="62" t="n">
        <v>2</v>
      </c>
      <c r="C58" s="62" t="n">
        <v>57.5</v>
      </c>
      <c r="D58" s="62" t="inlineStr">
        <is>
          <t>No</t>
        </is>
      </c>
      <c r="E58" s="62" t="inlineStr">
        <is>
          <t>Canada</t>
        </is>
      </c>
      <c r="F58" s="62" t="n">
        <v>1</v>
      </c>
      <c r="G58" s="62" t="n">
        <v>0</v>
      </c>
      <c r="H58" s="62" t="n">
        <v>1</v>
      </c>
      <c r="I58" s="62" t="n">
        <v>0</v>
      </c>
      <c r="J58" s="62" t="n">
        <v>0</v>
      </c>
      <c r="K58" s="62" t="n">
        <v>0</v>
      </c>
      <c r="L58" s="64" t="n"/>
    </row>
    <row r="59" ht="15" customHeight="1" s="44">
      <c r="A59" s="62" t="inlineStr">
        <is>
          <t>Shopify</t>
        </is>
      </c>
      <c r="B59" s="62" t="n">
        <v>2</v>
      </c>
      <c r="C59" s="62" t="n">
        <v>50</v>
      </c>
      <c r="D59" s="62" t="inlineStr">
        <is>
          <t>No</t>
        </is>
      </c>
      <c r="E59" s="62" t="inlineStr">
        <is>
          <t>Canada</t>
        </is>
      </c>
      <c r="F59" s="62" t="n">
        <v>1</v>
      </c>
      <c r="G59" s="62" t="n">
        <v>0</v>
      </c>
      <c r="H59" s="62" t="n">
        <v>1</v>
      </c>
      <c r="I59" s="62" t="n">
        <v>0</v>
      </c>
      <c r="J59" s="62" t="n">
        <v>0</v>
      </c>
      <c r="K59" s="62" t="n">
        <v>6</v>
      </c>
      <c r="L59" s="64" t="n"/>
    </row>
    <row r="60" ht="15" customHeight="1" s="44">
      <c r="A60" s="62" t="inlineStr">
        <is>
          <t>Procom / Client Connections</t>
        </is>
      </c>
      <c r="B60" s="62" t="n">
        <v>2</v>
      </c>
      <c r="C60" s="62" t="n">
        <v>35</v>
      </c>
      <c r="D60" s="62" t="inlineStr">
        <is>
          <t>No</t>
        </is>
      </c>
      <c r="E60" s="62" t="inlineStr">
        <is>
          <t>Canada</t>
        </is>
      </c>
      <c r="F60" s="62" t="n">
        <v>0</v>
      </c>
      <c r="G60" s="62" t="n">
        <v>0</v>
      </c>
      <c r="H60" s="62" t="n">
        <v>2</v>
      </c>
      <c r="I60" s="62" t="n">
        <v>0</v>
      </c>
      <c r="J60" s="62" t="n">
        <v>0</v>
      </c>
      <c r="K60" s="62" t="n"/>
      <c r="L60" s="64" t="n"/>
    </row>
    <row r="61" ht="15" customHeight="1" s="44">
      <c r="A61" s="62" t="inlineStr">
        <is>
          <t>GitHub</t>
        </is>
      </c>
      <c r="B61" s="62" t="n">
        <v>2</v>
      </c>
      <c r="C61" s="62" t="n">
        <v>73</v>
      </c>
      <c r="D61" s="62" t="inlineStr">
        <is>
          <t>Yes</t>
        </is>
      </c>
      <c r="E61" s="62" t="inlineStr">
        <is>
          <t>US</t>
        </is>
      </c>
      <c r="F61" s="62" t="n">
        <v>1</v>
      </c>
      <c r="G61" s="62" t="n">
        <v>0</v>
      </c>
      <c r="H61" s="62" t="n">
        <v>1</v>
      </c>
      <c r="I61" s="62" t="n">
        <v>0</v>
      </c>
      <c r="J61" s="62" t="n">
        <v>0</v>
      </c>
      <c r="K61" s="62" t="n">
        <v>23</v>
      </c>
      <c r="L61" s="64" t="n"/>
    </row>
    <row r="62" ht="15" customHeight="1" s="44">
      <c r="A62" s="62" t="inlineStr">
        <is>
          <t>Glean</t>
        </is>
      </c>
      <c r="B62" s="62" t="n">
        <v>2</v>
      </c>
      <c r="C62" s="62" t="n">
        <v>61</v>
      </c>
      <c r="D62" s="62" t="inlineStr">
        <is>
          <t>Yes</t>
        </is>
      </c>
      <c r="E62" s="62" t="inlineStr">
        <is>
          <t>US</t>
        </is>
      </c>
      <c r="F62" s="62" t="n">
        <v>1</v>
      </c>
      <c r="G62" s="62" t="n">
        <v>0</v>
      </c>
      <c r="H62" s="62" t="n">
        <v>1</v>
      </c>
      <c r="I62" s="62" t="n">
        <v>0</v>
      </c>
      <c r="J62" s="62" t="n">
        <v>0</v>
      </c>
      <c r="K62" s="62" t="n">
        <v>35</v>
      </c>
      <c r="L62" s="64" t="n"/>
    </row>
    <row r="63" ht="15" customHeight="1" s="44">
      <c r="A63" s="62" t="inlineStr">
        <is>
          <t>Plaid</t>
        </is>
      </c>
      <c r="B63" s="62" t="n">
        <v>2</v>
      </c>
      <c r="C63" s="62" t="n">
        <v>71.5</v>
      </c>
      <c r="D63" s="62" t="inlineStr">
        <is>
          <t>Yes</t>
        </is>
      </c>
      <c r="E63" s="62" t="inlineStr">
        <is>
          <t>US</t>
        </is>
      </c>
      <c r="F63" s="62" t="n">
        <v>0</v>
      </c>
      <c r="G63" s="62" t="n">
        <v>0</v>
      </c>
      <c r="H63" s="62" t="n">
        <v>2</v>
      </c>
      <c r="I63" s="62" t="n">
        <v>0</v>
      </c>
      <c r="J63" s="62" t="n">
        <v>0</v>
      </c>
      <c r="K63" s="62" t="n"/>
      <c r="L63" s="64" t="n"/>
    </row>
    <row r="64" ht="15" customHeight="1" s="44">
      <c r="A64" s="62" t="inlineStr">
        <is>
          <t>Deloitte</t>
        </is>
      </c>
      <c r="B64" s="62" t="n">
        <v>2</v>
      </c>
      <c r="C64" s="62" t="n">
        <v>78</v>
      </c>
      <c r="D64" s="62" t="inlineStr">
        <is>
          <t>No</t>
        </is>
      </c>
      <c r="E64" s="62" t="inlineStr">
        <is>
          <t>Canada</t>
        </is>
      </c>
      <c r="F64" s="62" t="n">
        <v>2</v>
      </c>
      <c r="G64" s="62" t="n">
        <v>0</v>
      </c>
      <c r="H64" s="62" t="n">
        <v>0</v>
      </c>
      <c r="I64" s="62" t="n">
        <v>0</v>
      </c>
      <c r="J64" s="62" t="n">
        <v>0</v>
      </c>
      <c r="K64" s="62" t="n">
        <v>19</v>
      </c>
      <c r="L64" s="64" t="n"/>
    </row>
    <row r="65" ht="15" customHeight="1" s="44">
      <c r="A65" s="62" t="inlineStr">
        <is>
          <t>Tenstorrent</t>
        </is>
      </c>
      <c r="B65" s="62" t="n">
        <v>2</v>
      </c>
      <c r="C65" s="62" t="n">
        <v>76</v>
      </c>
      <c r="D65" s="62" t="inlineStr">
        <is>
          <t>No</t>
        </is>
      </c>
      <c r="E65" s="62" t="inlineStr">
        <is>
          <t>Canada</t>
        </is>
      </c>
      <c r="F65" s="62" t="n">
        <v>0</v>
      </c>
      <c r="G65" s="62" t="n">
        <v>0</v>
      </c>
      <c r="H65" s="62" t="n">
        <v>2</v>
      </c>
      <c r="I65" s="62" t="n">
        <v>0</v>
      </c>
      <c r="J65" s="62" t="n">
        <v>0</v>
      </c>
      <c r="K65" s="62" t="n"/>
      <c r="L65" s="64" t="n"/>
    </row>
    <row r="66" ht="15" customHeight="1" s="44">
      <c r="A66" s="62" t="inlineStr">
        <is>
          <t>Xplor Technologies</t>
        </is>
      </c>
      <c r="B66" s="62" t="n">
        <v>2</v>
      </c>
      <c r="C66" s="62" t="n">
        <v>80.5</v>
      </c>
      <c r="D66" s="62" t="inlineStr">
        <is>
          <t>No/Yes</t>
        </is>
      </c>
      <c r="E66" s="62" t="inlineStr">
        <is>
          <t>Canada/US</t>
        </is>
      </c>
      <c r="F66" s="62" t="n">
        <v>1</v>
      </c>
      <c r="G66" s="62" t="n">
        <v>0</v>
      </c>
      <c r="H66" s="62" t="n">
        <v>0</v>
      </c>
      <c r="I66" s="62" t="n">
        <v>0</v>
      </c>
      <c r="J66" s="62" t="n">
        <v>1</v>
      </c>
      <c r="K66" s="62" t="n">
        <v>2</v>
      </c>
      <c r="L66" s="64" t="n"/>
    </row>
    <row r="67" ht="15" customHeight="1" s="44">
      <c r="A67" s="62" t="inlineStr">
        <is>
          <t>Writer</t>
        </is>
      </c>
      <c r="B67" s="62" t="n">
        <v>2</v>
      </c>
      <c r="C67" s="62" t="n">
        <v>43.5</v>
      </c>
      <c r="D67" s="62" t="inlineStr">
        <is>
          <t>Yes</t>
        </is>
      </c>
      <c r="E67" s="62" t="inlineStr">
        <is>
          <t>US</t>
        </is>
      </c>
      <c r="F67" s="62" t="n">
        <v>1</v>
      </c>
      <c r="G67" s="62" t="n">
        <v>0</v>
      </c>
      <c r="H67" s="62" t="n">
        <v>1</v>
      </c>
      <c r="I67" s="62" t="n">
        <v>0</v>
      </c>
      <c r="J67" s="62" t="n">
        <v>0</v>
      </c>
      <c r="K67" s="62" t="n">
        <v>8</v>
      </c>
      <c r="L67" s="64" t="n"/>
    </row>
    <row r="68" ht="15" customHeight="1" s="44">
      <c r="A68" s="62" t="inlineStr">
        <is>
          <t>Xplore Inc.</t>
        </is>
      </c>
      <c r="B68" s="62" t="n">
        <v>2</v>
      </c>
      <c r="C68" s="62" t="n">
        <v>66.5</v>
      </c>
      <c r="D68" s="62" t="inlineStr">
        <is>
          <t>No</t>
        </is>
      </c>
      <c r="E68" s="62" t="inlineStr">
        <is>
          <t>Canada</t>
        </is>
      </c>
      <c r="F68" s="62" t="n">
        <v>0</v>
      </c>
      <c r="G68" s="62" t="n">
        <v>0</v>
      </c>
      <c r="H68" s="62" t="n">
        <v>2</v>
      </c>
      <c r="I68" s="62" t="n">
        <v>0</v>
      </c>
      <c r="J68" s="62" t="n">
        <v>0</v>
      </c>
      <c r="K68" s="62" t="n"/>
      <c r="L68" s="64" t="inlineStr">
        <is>
          <t>$60</t>
        </is>
      </c>
    </row>
    <row r="69" ht="15" customHeight="1" s="44">
      <c r="A69" s="62" t="inlineStr">
        <is>
          <t>Legora</t>
        </is>
      </c>
      <c r="B69" s="62" t="n">
        <v>2</v>
      </c>
      <c r="C69" s="62" t="n">
        <v>47.5</v>
      </c>
      <c r="D69" s="62" t="inlineStr">
        <is>
          <t>No</t>
        </is>
      </c>
      <c r="E69" s="62" t="inlineStr">
        <is>
          <t>Canada</t>
        </is>
      </c>
      <c r="F69" s="62" t="n">
        <v>1</v>
      </c>
      <c r="G69" s="62" t="n">
        <v>0</v>
      </c>
      <c r="H69" s="62" t="n">
        <v>1</v>
      </c>
      <c r="I69" s="62" t="n">
        <v>0</v>
      </c>
      <c r="J69" s="62" t="n">
        <v>0</v>
      </c>
      <c r="K69" s="62" t="n">
        <v>2</v>
      </c>
      <c r="L69" s="64" t="n"/>
    </row>
    <row r="70" ht="15" customHeight="1" s="44">
      <c r="A70" s="62" t="inlineStr">
        <is>
          <t>Scotiabank</t>
        </is>
      </c>
      <c r="B70" s="62" t="n">
        <v>2</v>
      </c>
      <c r="C70" s="62" t="n">
        <v>85</v>
      </c>
      <c r="D70" s="62" t="inlineStr">
        <is>
          <t>No</t>
        </is>
      </c>
      <c r="E70" s="62" t="inlineStr">
        <is>
          <t>Canada</t>
        </is>
      </c>
      <c r="F70" s="62" t="n">
        <v>0</v>
      </c>
      <c r="G70" s="62" t="n">
        <v>0</v>
      </c>
      <c r="H70" s="62" t="n">
        <v>2</v>
      </c>
      <c r="I70" s="62" t="n">
        <v>0</v>
      </c>
      <c r="J70" s="62" t="n">
        <v>0</v>
      </c>
      <c r="K70" s="62" t="n"/>
      <c r="L70" s="64" t="n"/>
    </row>
    <row r="71" ht="15" customHeight="1" s="44">
      <c r="A71" s="62" t="inlineStr">
        <is>
          <t>Circular Materials</t>
        </is>
      </c>
      <c r="B71" s="62" t="n">
        <v>2</v>
      </c>
      <c r="C71" s="62" t="n">
        <v>72</v>
      </c>
      <c r="D71" s="62" t="inlineStr">
        <is>
          <t>No</t>
        </is>
      </c>
      <c r="E71" s="62" t="inlineStr">
        <is>
          <t>Canada</t>
        </is>
      </c>
      <c r="F71" s="62" t="n">
        <v>0</v>
      </c>
      <c r="G71" s="62" t="n">
        <v>0</v>
      </c>
      <c r="H71" s="62" t="n">
        <v>2</v>
      </c>
      <c r="I71" s="62" t="n">
        <v>0</v>
      </c>
      <c r="J71" s="62" t="n">
        <v>0</v>
      </c>
      <c r="K71" s="62" t="n"/>
      <c r="L71" s="64" t="n"/>
    </row>
    <row r="72" ht="15" customHeight="1" s="44">
      <c r="A72" s="62" t="inlineStr">
        <is>
          <t>Raise (staffing agency)</t>
        </is>
      </c>
      <c r="B72" s="62" t="n">
        <v>2</v>
      </c>
      <c r="C72" s="62" t="n">
        <v>44</v>
      </c>
      <c r="D72" s="62" t="inlineStr">
        <is>
          <t>No</t>
        </is>
      </c>
      <c r="E72" s="62" t="inlineStr">
        <is>
          <t>Canada</t>
        </is>
      </c>
      <c r="F72" s="62" t="n">
        <v>1</v>
      </c>
      <c r="G72" s="62" t="n">
        <v>0</v>
      </c>
      <c r="H72" s="62" t="n">
        <v>1</v>
      </c>
      <c r="I72" s="62" t="n">
        <v>0</v>
      </c>
      <c r="J72" s="62" t="n">
        <v>0</v>
      </c>
      <c r="K72" s="62" t="n">
        <v>1</v>
      </c>
      <c r="L72" s="64" t="n"/>
    </row>
    <row r="73" ht="15" customHeight="1" s="44">
      <c r="A73" s="62" t="inlineStr">
        <is>
          <t>Cambium Learning Group</t>
        </is>
      </c>
      <c r="B73" s="62" t="n">
        <v>2</v>
      </c>
      <c r="C73" s="62" t="n"/>
      <c r="D73" s="62" t="inlineStr">
        <is>
          <t>Yes</t>
        </is>
      </c>
      <c r="E73" s="62" t="inlineStr">
        <is>
          <t>US</t>
        </is>
      </c>
      <c r="F73" s="62" t="n">
        <v>1</v>
      </c>
      <c r="G73" s="62" t="n">
        <v>0</v>
      </c>
      <c r="H73" s="62" t="n">
        <v>1</v>
      </c>
      <c r="I73" s="62" t="n">
        <v>0</v>
      </c>
      <c r="J73" s="62" t="n">
        <v>0</v>
      </c>
      <c r="K73" s="62" t="n">
        <v>0</v>
      </c>
      <c r="L73" s="64" t="n"/>
    </row>
    <row r="74" ht="15" customHeight="1" s="44">
      <c r="A74" s="62" t="inlineStr">
        <is>
          <t>(Raise/staffing)</t>
        </is>
      </c>
      <c r="B74" s="62" t="n">
        <v>2</v>
      </c>
      <c r="C74" s="62" t="n"/>
      <c r="D74" s="62" t="inlineStr">
        <is>
          <t>Unknown</t>
        </is>
      </c>
      <c r="E74" s="62" t="n"/>
      <c r="F74" s="62" t="n">
        <v>2</v>
      </c>
      <c r="G74" s="62" t="n">
        <v>0</v>
      </c>
      <c r="H74" s="62" t="n">
        <v>0</v>
      </c>
      <c r="I74" s="62" t="n">
        <v>0</v>
      </c>
      <c r="J74" s="62" t="n">
        <v>0</v>
      </c>
      <c r="K74" s="62" t="n"/>
      <c r="L74" s="64" t="n"/>
    </row>
    <row r="75" ht="15" customHeight="1" s="44">
      <c r="A75" s="62" t="inlineStr">
        <is>
          <t>Dutch</t>
        </is>
      </c>
      <c r="B75" s="62" t="n">
        <v>2</v>
      </c>
      <c r="C75" s="62" t="n"/>
      <c r="D75" s="62" t="inlineStr">
        <is>
          <t>No</t>
        </is>
      </c>
      <c r="E75" s="62" t="inlineStr">
        <is>
          <t>Canada</t>
        </is>
      </c>
      <c r="F75" s="62" t="n">
        <v>2</v>
      </c>
      <c r="G75" s="62" t="n">
        <v>0</v>
      </c>
      <c r="H75" s="62" t="n">
        <v>0</v>
      </c>
      <c r="I75" s="62" t="n">
        <v>0</v>
      </c>
      <c r="J75" s="62" t="n">
        <v>0</v>
      </c>
      <c r="K75" s="62" t="n">
        <v>4</v>
      </c>
      <c r="L75" s="64" t="n"/>
    </row>
    <row r="76" ht="15" customHeight="1" s="44">
      <c r="A76" s="62" t="inlineStr">
        <is>
          <t>Create Music Group</t>
        </is>
      </c>
      <c r="B76" s="62" t="n">
        <v>2</v>
      </c>
      <c r="C76" s="62" t="n"/>
      <c r="D76" s="62" t="inlineStr">
        <is>
          <t>No</t>
        </is>
      </c>
      <c r="E76" s="62" t="inlineStr">
        <is>
          <t>Canada</t>
        </is>
      </c>
      <c r="F76" s="62" t="n">
        <v>0</v>
      </c>
      <c r="G76" s="62" t="n">
        <v>0</v>
      </c>
      <c r="H76" s="62" t="n">
        <v>2</v>
      </c>
      <c r="I76" s="62" t="n">
        <v>0</v>
      </c>
      <c r="J76" s="62" t="n">
        <v>0</v>
      </c>
      <c r="K76" s="62" t="n"/>
      <c r="L76" s="64" t="inlineStr">
        <is>
          <t>$180,000-$200,000</t>
        </is>
      </c>
    </row>
    <row r="77" ht="15" customHeight="1" s="44">
      <c r="A77" s="62" t="inlineStr">
        <is>
          <t>Electronic Arts</t>
        </is>
      </c>
      <c r="B77" s="62" t="n">
        <v>2</v>
      </c>
      <c r="C77" s="62" t="n">
        <v>68</v>
      </c>
      <c r="D77" s="62" t="inlineStr">
        <is>
          <t>No</t>
        </is>
      </c>
      <c r="E77" s="62" t="inlineStr">
        <is>
          <t>Canada</t>
        </is>
      </c>
      <c r="F77" s="62" t="n">
        <v>0</v>
      </c>
      <c r="G77" s="62" t="n">
        <v>0</v>
      </c>
      <c r="H77" s="62" t="n">
        <v>2</v>
      </c>
      <c r="I77" s="62" t="n">
        <v>0</v>
      </c>
      <c r="J77" s="62" t="n">
        <v>0</v>
      </c>
      <c r="K77" s="62" t="n"/>
      <c r="L77" s="64" t="n"/>
    </row>
    <row r="78" ht="15" customHeight="1" s="44">
      <c r="A78" s="62" t="inlineStr">
        <is>
          <t>Nordstrom</t>
        </is>
      </c>
      <c r="B78" s="62" t="n">
        <v>2</v>
      </c>
      <c r="C78" s="62" t="n">
        <v>72</v>
      </c>
      <c r="D78" s="62" t="inlineStr">
        <is>
          <t>Yes</t>
        </is>
      </c>
      <c r="E78" s="62" t="inlineStr">
        <is>
          <t>US</t>
        </is>
      </c>
      <c r="F78" s="62" t="n">
        <v>2</v>
      </c>
      <c r="G78" s="62" t="n">
        <v>0</v>
      </c>
      <c r="H78" s="62" t="n">
        <v>0</v>
      </c>
      <c r="I78" s="62" t="n">
        <v>0</v>
      </c>
      <c r="J78" s="62" t="n">
        <v>0</v>
      </c>
      <c r="K78" s="62" t="n">
        <v>2</v>
      </c>
      <c r="L78" s="64" t="n"/>
    </row>
    <row r="79" ht="15" customHeight="1" s="44">
      <c r="A79" s="62" t="inlineStr">
        <is>
          <t>Apple</t>
        </is>
      </c>
      <c r="B79" s="62" t="n">
        <v>2</v>
      </c>
      <c r="C79" s="62" t="n">
        <v>74</v>
      </c>
      <c r="D79" s="62" t="inlineStr">
        <is>
          <t>Yes</t>
        </is>
      </c>
      <c r="E79" s="62" t="inlineStr">
        <is>
          <t>US</t>
        </is>
      </c>
      <c r="F79" s="62" t="n">
        <v>0</v>
      </c>
      <c r="G79" s="62" t="n">
        <v>0</v>
      </c>
      <c r="H79" s="62" t="n">
        <v>2</v>
      </c>
      <c r="I79" s="62" t="n">
        <v>0</v>
      </c>
      <c r="J79" s="62" t="n">
        <v>0</v>
      </c>
      <c r="K79" s="62" t="n"/>
      <c r="L79" s="64" t="n"/>
    </row>
    <row r="80" ht="15" customHeight="1" s="44">
      <c r="A80" s="62" t="inlineStr">
        <is>
          <t>Mitacs</t>
        </is>
      </c>
      <c r="B80" s="62" t="n">
        <v>2</v>
      </c>
      <c r="C80" s="62" t="n">
        <v>78</v>
      </c>
      <c r="D80" s="62" t="inlineStr">
        <is>
          <t>No</t>
        </is>
      </c>
      <c r="E80" s="62" t="inlineStr">
        <is>
          <t>Canada</t>
        </is>
      </c>
      <c r="F80" s="62" t="n">
        <v>0</v>
      </c>
      <c r="G80" s="62" t="n">
        <v>0</v>
      </c>
      <c r="H80" s="62" t="n">
        <v>2</v>
      </c>
      <c r="I80" s="62" t="n">
        <v>0</v>
      </c>
      <c r="J80" s="62" t="n">
        <v>0</v>
      </c>
      <c r="K80" s="62" t="n"/>
      <c r="L80" s="64" t="n"/>
    </row>
    <row r="81" ht="15" customHeight="1" s="44">
      <c r="A81" s="62" t="inlineStr">
        <is>
          <t>Decagon</t>
        </is>
      </c>
      <c r="B81" s="62" t="n">
        <v>2</v>
      </c>
      <c r="C81" s="62" t="n"/>
      <c r="D81" s="62" t="inlineStr">
        <is>
          <t>Unknown</t>
        </is>
      </c>
      <c r="E81" s="62" t="inlineStr">
        <is>
          <t>US</t>
        </is>
      </c>
      <c r="F81" s="62" t="n">
        <v>0</v>
      </c>
      <c r="G81" s="62" t="n">
        <v>0</v>
      </c>
      <c r="H81" s="62" t="n">
        <v>2</v>
      </c>
      <c r="I81" s="62" t="n">
        <v>0</v>
      </c>
      <c r="J81" s="62" t="n">
        <v>0</v>
      </c>
      <c r="K81" s="62" t="n"/>
      <c r="L81" s="64" t="n"/>
    </row>
    <row r="82" ht="15" customHeight="1" s="44">
      <c r="A82" s="62" t="inlineStr">
        <is>
          <t>Equifax</t>
        </is>
      </c>
      <c r="B82" s="62" t="n">
        <v>1</v>
      </c>
      <c r="C82" s="62" t="n">
        <v>82</v>
      </c>
      <c r="D82" s="62" t="inlineStr">
        <is>
          <t>No</t>
        </is>
      </c>
      <c r="E82" s="62" t="inlineStr">
        <is>
          <t>Canada</t>
        </is>
      </c>
      <c r="F82" s="62" t="n">
        <v>1</v>
      </c>
      <c r="G82" s="62" t="n">
        <v>0</v>
      </c>
      <c r="H82" s="62" t="n">
        <v>0</v>
      </c>
      <c r="I82" s="62" t="n">
        <v>0</v>
      </c>
      <c r="J82" s="62" t="n">
        <v>0</v>
      </c>
      <c r="K82" s="62" t="n"/>
      <c r="L82" s="64" t="n"/>
    </row>
    <row r="83" ht="15" customHeight="1" s="44">
      <c r="A83" s="62" t="inlineStr">
        <is>
          <t>PlayStation Global</t>
        </is>
      </c>
      <c r="B83" s="62" t="n">
        <v>1</v>
      </c>
      <c r="C83" s="62" t="n"/>
      <c r="D83" s="62" t="inlineStr">
        <is>
          <t>Unknown</t>
        </is>
      </c>
      <c r="E83" s="62" t="n"/>
      <c r="F83" s="62" t="n">
        <v>1</v>
      </c>
      <c r="G83" s="62" t="n">
        <v>0</v>
      </c>
      <c r="H83" s="62" t="n">
        <v>0</v>
      </c>
      <c r="I83" s="62" t="n">
        <v>0</v>
      </c>
      <c r="J83" s="62" t="n">
        <v>0</v>
      </c>
      <c r="K83" s="62" t="n"/>
      <c r="L83" s="64" t="n"/>
    </row>
    <row r="84" ht="15" customHeight="1" s="44">
      <c r="A84" s="62" t="inlineStr">
        <is>
          <t>SoFi</t>
        </is>
      </c>
      <c r="B84" s="62" t="n">
        <v>1</v>
      </c>
      <c r="C84" s="62" t="n"/>
      <c r="D84" s="62" t="inlineStr">
        <is>
          <t>Unknown</t>
        </is>
      </c>
      <c r="E84" s="62" t="n"/>
      <c r="F84" s="62" t="n">
        <v>1</v>
      </c>
      <c r="G84" s="62" t="n">
        <v>0</v>
      </c>
      <c r="H84" s="62" t="n">
        <v>0</v>
      </c>
      <c r="I84" s="62" t="n">
        <v>0</v>
      </c>
      <c r="J84" s="62" t="n">
        <v>0</v>
      </c>
      <c r="K84" s="62" t="n"/>
      <c r="L84" s="64" t="n"/>
    </row>
    <row r="85" ht="15" customHeight="1" s="44">
      <c r="A85" s="62" t="inlineStr">
        <is>
          <t>TELUS Digital</t>
        </is>
      </c>
      <c r="B85" s="62" t="n">
        <v>1</v>
      </c>
      <c r="C85" s="62" t="n"/>
      <c r="D85" s="62" t="inlineStr">
        <is>
          <t>Unknown</t>
        </is>
      </c>
      <c r="E85" s="62" t="n"/>
      <c r="F85" s="62" t="n">
        <v>1</v>
      </c>
      <c r="G85" s="62" t="n">
        <v>0</v>
      </c>
      <c r="H85" s="62" t="n">
        <v>0</v>
      </c>
      <c r="I85" s="62" t="n">
        <v>0</v>
      </c>
      <c r="J85" s="62" t="n">
        <v>0</v>
      </c>
      <c r="K85" s="62" t="n"/>
      <c r="L85" s="64" t="n"/>
    </row>
    <row r="86" ht="15" customHeight="1" s="44">
      <c r="A86" s="62" t="inlineStr">
        <is>
          <t>Upstart</t>
        </is>
      </c>
      <c r="B86" s="62" t="n">
        <v>1</v>
      </c>
      <c r="C86" s="62" t="n"/>
      <c r="D86" s="62" t="inlineStr">
        <is>
          <t>Unknown</t>
        </is>
      </c>
      <c r="E86" s="62" t="n"/>
      <c r="F86" s="62" t="n">
        <v>1</v>
      </c>
      <c r="G86" s="62" t="n">
        <v>0</v>
      </c>
      <c r="H86" s="62" t="n">
        <v>0</v>
      </c>
      <c r="I86" s="62" t="n">
        <v>0</v>
      </c>
      <c r="J86" s="62" t="n">
        <v>0</v>
      </c>
      <c r="K86" s="62" t="n"/>
      <c r="L86" s="64" t="n"/>
    </row>
    <row r="87" ht="15" customHeight="1" s="44">
      <c r="A87" s="62" t="inlineStr">
        <is>
          <t>MongoDB</t>
        </is>
      </c>
      <c r="B87" s="62" t="n">
        <v>1</v>
      </c>
      <c r="C87" s="62" t="n"/>
      <c r="D87" s="62" t="inlineStr">
        <is>
          <t>Unknown</t>
        </is>
      </c>
      <c r="E87" s="62" t="n"/>
      <c r="F87" s="62" t="n">
        <v>1</v>
      </c>
      <c r="G87" s="62" t="n">
        <v>0</v>
      </c>
      <c r="H87" s="62" t="n">
        <v>0</v>
      </c>
      <c r="I87" s="62" t="n">
        <v>0</v>
      </c>
      <c r="J87" s="62" t="n">
        <v>0</v>
      </c>
      <c r="K87" s="62" t="n"/>
      <c r="L87" s="64" t="n"/>
    </row>
    <row r="88" ht="15" customHeight="1" s="44">
      <c r="A88" s="62" t="inlineStr">
        <is>
          <t>Charles River Associates</t>
        </is>
      </c>
      <c r="B88" s="62" t="n">
        <v>1</v>
      </c>
      <c r="C88" s="62" t="n"/>
      <c r="D88" s="62" t="inlineStr">
        <is>
          <t>Unknown</t>
        </is>
      </c>
      <c r="E88" s="62" t="n"/>
      <c r="F88" s="62" t="n">
        <v>1</v>
      </c>
      <c r="G88" s="62" t="n">
        <v>0</v>
      </c>
      <c r="H88" s="62" t="n">
        <v>0</v>
      </c>
      <c r="I88" s="62" t="n">
        <v>0</v>
      </c>
      <c r="J88" s="62" t="n">
        <v>0</v>
      </c>
      <c r="K88" s="62" t="n"/>
      <c r="L88" s="64" t="n"/>
    </row>
    <row r="89" ht="15" customHeight="1" s="44">
      <c r="A89" s="62" t="inlineStr">
        <is>
          <t>Maven Clinic</t>
        </is>
      </c>
      <c r="B89" s="62" t="n">
        <v>1</v>
      </c>
      <c r="C89" s="62" t="n"/>
      <c r="D89" s="62" t="inlineStr">
        <is>
          <t>Unknown</t>
        </is>
      </c>
      <c r="E89" s="62" t="n"/>
      <c r="F89" s="62" t="n">
        <v>1</v>
      </c>
      <c r="G89" s="62" t="n">
        <v>0</v>
      </c>
      <c r="H89" s="62" t="n">
        <v>0</v>
      </c>
      <c r="I89" s="62" t="n">
        <v>0</v>
      </c>
      <c r="J89" s="62" t="n">
        <v>0</v>
      </c>
      <c r="K89" s="62" t="n"/>
      <c r="L89" s="64" t="n"/>
    </row>
    <row r="90" ht="15" customHeight="1" s="44">
      <c r="A90" s="62" t="inlineStr">
        <is>
          <t>Cohere</t>
        </is>
      </c>
      <c r="B90" s="62" t="n">
        <v>1</v>
      </c>
      <c r="C90" s="62" t="n"/>
      <c r="D90" s="62" t="inlineStr">
        <is>
          <t>No</t>
        </is>
      </c>
      <c r="E90" s="62" t="inlineStr">
        <is>
          <t>Canada</t>
        </is>
      </c>
      <c r="F90" s="62" t="n">
        <v>1</v>
      </c>
      <c r="G90" s="62" t="n">
        <v>0</v>
      </c>
      <c r="H90" s="62" t="n">
        <v>0</v>
      </c>
      <c r="I90" s="62" t="n">
        <v>0</v>
      </c>
      <c r="J90" s="62" t="n">
        <v>0</v>
      </c>
      <c r="K90" s="62" t="n">
        <v>126</v>
      </c>
      <c r="L90" s="64" t="n"/>
    </row>
    <row r="91" ht="15" customHeight="1" s="44">
      <c r="A91" s="62" t="inlineStr">
        <is>
          <t>Robinhood</t>
        </is>
      </c>
      <c r="B91" s="62" t="n">
        <v>1</v>
      </c>
      <c r="C91" s="62" t="n"/>
      <c r="D91" s="62" t="inlineStr">
        <is>
          <t>Unknown</t>
        </is>
      </c>
      <c r="E91" s="62" t="n"/>
      <c r="F91" s="62" t="n">
        <v>1</v>
      </c>
      <c r="G91" s="62" t="n">
        <v>0</v>
      </c>
      <c r="H91" s="62" t="n">
        <v>0</v>
      </c>
      <c r="I91" s="62" t="n">
        <v>0</v>
      </c>
      <c r="J91" s="62" t="n">
        <v>0</v>
      </c>
      <c r="K91" s="62" t="n"/>
      <c r="L91" s="64" t="n"/>
    </row>
    <row r="92" ht="15" customHeight="1" s="44">
      <c r="A92" s="62" t="inlineStr">
        <is>
          <t>Clutch Technologies Inc.</t>
        </is>
      </c>
      <c r="B92" s="62" t="n">
        <v>1</v>
      </c>
      <c r="C92" s="62" t="n"/>
      <c r="D92" s="62" t="inlineStr">
        <is>
          <t>Unknown</t>
        </is>
      </c>
      <c r="E92" s="62" t="n"/>
      <c r="F92" s="62" t="n">
        <v>1</v>
      </c>
      <c r="G92" s="62" t="n">
        <v>0</v>
      </c>
      <c r="H92" s="62" t="n">
        <v>0</v>
      </c>
      <c r="I92" s="62" t="n">
        <v>0</v>
      </c>
      <c r="J92" s="62" t="n">
        <v>0</v>
      </c>
      <c r="K92" s="62" t="n"/>
      <c r="L92" s="64" t="n"/>
    </row>
    <row r="93" ht="15" customHeight="1" s="44">
      <c r="A93" s="62" t="inlineStr">
        <is>
          <t>Dropbox</t>
        </is>
      </c>
      <c r="B93" s="62" t="n">
        <v>1</v>
      </c>
      <c r="C93" s="62" t="n"/>
      <c r="D93" s="62" t="inlineStr">
        <is>
          <t>Unknown</t>
        </is>
      </c>
      <c r="E93" s="62" t="n"/>
      <c r="F93" s="62" t="n">
        <v>1</v>
      </c>
      <c r="G93" s="62" t="n">
        <v>0</v>
      </c>
      <c r="H93" s="62" t="n">
        <v>0</v>
      </c>
      <c r="I93" s="62" t="n">
        <v>0</v>
      </c>
      <c r="J93" s="62" t="n">
        <v>0</v>
      </c>
      <c r="K93" s="62" t="n"/>
      <c r="L93" s="64" t="n"/>
    </row>
    <row r="94" ht="15" customHeight="1" s="44">
      <c r="A94" s="62" t="inlineStr">
        <is>
          <t>Block</t>
        </is>
      </c>
      <c r="B94" s="62" t="n">
        <v>1</v>
      </c>
      <c r="C94" s="62" t="n"/>
      <c r="D94" s="62" t="inlineStr">
        <is>
          <t>Unknown</t>
        </is>
      </c>
      <c r="E94" s="62" t="n"/>
      <c r="F94" s="62" t="n">
        <v>1</v>
      </c>
      <c r="G94" s="62" t="n">
        <v>0</v>
      </c>
      <c r="H94" s="62" t="n">
        <v>0</v>
      </c>
      <c r="I94" s="62" t="n">
        <v>0</v>
      </c>
      <c r="J94" s="62" t="n">
        <v>0</v>
      </c>
      <c r="K94" s="62" t="n"/>
      <c r="L94" s="64" t="n"/>
    </row>
    <row r="95" ht="15" customHeight="1" s="44">
      <c r="A95" s="62" t="inlineStr">
        <is>
          <t>Rubrik Job Board</t>
        </is>
      </c>
      <c r="B95" s="62" t="n">
        <v>1</v>
      </c>
      <c r="C95" s="62" t="n"/>
      <c r="D95" s="62" t="inlineStr">
        <is>
          <t>Unknown</t>
        </is>
      </c>
      <c r="E95" s="62" t="n"/>
      <c r="F95" s="62" t="n">
        <v>1</v>
      </c>
      <c r="G95" s="62" t="n">
        <v>0</v>
      </c>
      <c r="H95" s="62" t="n">
        <v>0</v>
      </c>
      <c r="I95" s="62" t="n">
        <v>0</v>
      </c>
      <c r="J95" s="62" t="n">
        <v>0</v>
      </c>
      <c r="K95" s="62" t="n"/>
      <c r="L95" s="64" t="n"/>
    </row>
    <row r="96" ht="15" customHeight="1" s="44">
      <c r="A96" s="62" t="inlineStr">
        <is>
          <t>Instacart</t>
        </is>
      </c>
      <c r="B96" s="62" t="n">
        <v>1</v>
      </c>
      <c r="C96" s="62" t="n"/>
      <c r="D96" s="62" t="inlineStr">
        <is>
          <t>Unknown</t>
        </is>
      </c>
      <c r="E96" s="62" t="n"/>
      <c r="F96" s="62" t="n">
        <v>1</v>
      </c>
      <c r="G96" s="62" t="n">
        <v>0</v>
      </c>
      <c r="H96" s="62" t="n">
        <v>0</v>
      </c>
      <c r="I96" s="62" t="n">
        <v>0</v>
      </c>
      <c r="J96" s="62" t="n">
        <v>0</v>
      </c>
      <c r="K96" s="62" t="n"/>
      <c r="L96" s="64" t="n"/>
    </row>
    <row r="97" ht="15" customHeight="1" s="44">
      <c r="A97" s="62" t="inlineStr">
        <is>
          <t>DigitalOcean</t>
        </is>
      </c>
      <c r="B97" s="62" t="n">
        <v>1</v>
      </c>
      <c r="C97" s="62" t="n"/>
      <c r="D97" s="62" t="inlineStr">
        <is>
          <t>Unknown</t>
        </is>
      </c>
      <c r="E97" s="62" t="n"/>
      <c r="F97" s="62" t="n">
        <v>1</v>
      </c>
      <c r="G97" s="62" t="n">
        <v>0</v>
      </c>
      <c r="H97" s="62" t="n">
        <v>0</v>
      </c>
      <c r="I97" s="62" t="n">
        <v>0</v>
      </c>
      <c r="J97" s="62" t="n">
        <v>0</v>
      </c>
      <c r="K97" s="62" t="n"/>
      <c r="L97" s="64" t="n"/>
    </row>
    <row r="98" ht="15" customHeight="1" s="44">
      <c r="A98" s="62" t="inlineStr">
        <is>
          <t>BridgeBio Pharma</t>
        </is>
      </c>
      <c r="B98" s="62" t="n">
        <v>1</v>
      </c>
      <c r="C98" s="62" t="n"/>
      <c r="D98" s="62" t="inlineStr">
        <is>
          <t>Unknown</t>
        </is>
      </c>
      <c r="E98" s="62" t="n"/>
      <c r="F98" s="62" t="n">
        <v>1</v>
      </c>
      <c r="G98" s="62" t="n">
        <v>0</v>
      </c>
      <c r="H98" s="62" t="n">
        <v>0</v>
      </c>
      <c r="I98" s="62" t="n">
        <v>0</v>
      </c>
      <c r="J98" s="62" t="n">
        <v>0</v>
      </c>
      <c r="K98" s="62" t="n"/>
      <c r="L98" s="64" t="n"/>
    </row>
    <row r="99" ht="15" customHeight="1" s="44">
      <c r="A99" s="62" t="inlineStr">
        <is>
          <t>Coinbase Careers Page</t>
        </is>
      </c>
      <c r="B99" s="62" t="n">
        <v>1</v>
      </c>
      <c r="C99" s="62" t="n"/>
      <c r="D99" s="62" t="inlineStr">
        <is>
          <t>Unknown</t>
        </is>
      </c>
      <c r="E99" s="62" t="n"/>
      <c r="F99" s="62" t="n">
        <v>1</v>
      </c>
      <c r="G99" s="62" t="n">
        <v>0</v>
      </c>
      <c r="H99" s="62" t="n">
        <v>0</v>
      </c>
      <c r="I99" s="62" t="n">
        <v>0</v>
      </c>
      <c r="J99" s="62" t="n">
        <v>0</v>
      </c>
      <c r="K99" s="62" t="n"/>
      <c r="L99" s="64" t="n"/>
    </row>
    <row r="100" ht="15" customHeight="1" s="44">
      <c r="A100" s="62" t="inlineStr">
        <is>
          <t>Gusto, Inc.</t>
        </is>
      </c>
      <c r="B100" s="62" t="n">
        <v>1</v>
      </c>
      <c r="C100" s="62" t="n"/>
      <c r="D100" s="62" t="inlineStr">
        <is>
          <t>Unknown</t>
        </is>
      </c>
      <c r="E100" s="62" t="n"/>
      <c r="F100" s="62" t="n">
        <v>1</v>
      </c>
      <c r="G100" s="62" t="n">
        <v>0</v>
      </c>
      <c r="H100" s="62" t="n">
        <v>0</v>
      </c>
      <c r="I100" s="62" t="n">
        <v>0</v>
      </c>
      <c r="J100" s="62" t="n">
        <v>0</v>
      </c>
      <c r="K100" s="62" t="n"/>
      <c r="L100" s="64" t="n"/>
    </row>
    <row r="101" ht="15" customHeight="1" s="44">
      <c r="A101" s="62" t="inlineStr">
        <is>
          <t>FeverUp</t>
        </is>
      </c>
      <c r="B101" s="62" t="n">
        <v>1</v>
      </c>
      <c r="C101" s="62" t="n"/>
      <c r="D101" s="62" t="inlineStr">
        <is>
          <t>Unknown</t>
        </is>
      </c>
      <c r="E101" s="62" t="n"/>
      <c r="F101" s="62" t="n">
        <v>1</v>
      </c>
      <c r="G101" s="62" t="n">
        <v>0</v>
      </c>
      <c r="H101" s="62" t="n">
        <v>0</v>
      </c>
      <c r="I101" s="62" t="n">
        <v>0</v>
      </c>
      <c r="J101" s="62" t="n">
        <v>0</v>
      </c>
      <c r="K101" s="62" t="n"/>
      <c r="L101" s="64" t="n"/>
    </row>
    <row r="102" ht="15" customHeight="1" s="44">
      <c r="A102" s="62" t="inlineStr">
        <is>
          <t>Reddit</t>
        </is>
      </c>
      <c r="B102" s="62" t="n">
        <v>1</v>
      </c>
      <c r="C102" s="62" t="n"/>
      <c r="D102" s="62" t="inlineStr">
        <is>
          <t>Unknown</t>
        </is>
      </c>
      <c r="E102" s="62" t="n"/>
      <c r="F102" s="62" t="n">
        <v>1</v>
      </c>
      <c r="G102" s="62" t="n">
        <v>0</v>
      </c>
      <c r="H102" s="62" t="n">
        <v>0</v>
      </c>
      <c r="I102" s="62" t="n">
        <v>0</v>
      </c>
      <c r="J102" s="62" t="n">
        <v>0</v>
      </c>
      <c r="K102" s="62" t="n"/>
      <c r="L102" s="64" t="n"/>
    </row>
    <row r="103" ht="15" customHeight="1" s="44">
      <c r="A103" s="62" t="inlineStr">
        <is>
          <t>Samsara</t>
        </is>
      </c>
      <c r="B103" s="62" t="n">
        <v>1</v>
      </c>
      <c r="C103" s="62" t="n"/>
      <c r="D103" s="62" t="inlineStr">
        <is>
          <t>Unknown</t>
        </is>
      </c>
      <c r="E103" s="62" t="n"/>
      <c r="F103" s="62" t="n">
        <v>1</v>
      </c>
      <c r="G103" s="62" t="n">
        <v>0</v>
      </c>
      <c r="H103" s="62" t="n">
        <v>0</v>
      </c>
      <c r="I103" s="62" t="n">
        <v>0</v>
      </c>
      <c r="J103" s="62" t="n">
        <v>0</v>
      </c>
      <c r="K103" s="62" t="n"/>
      <c r="L103" s="64" t="n"/>
    </row>
    <row r="104" ht="15" customHeight="1" s="44">
      <c r="A104" s="62" t="inlineStr">
        <is>
          <t>Coveo</t>
        </is>
      </c>
      <c r="B104" s="62" t="n">
        <v>1</v>
      </c>
      <c r="C104" s="62" t="n"/>
      <c r="D104" s="62" t="inlineStr">
        <is>
          <t>Unknown</t>
        </is>
      </c>
      <c r="E104" s="62" t="n"/>
      <c r="F104" s="62" t="n">
        <v>1</v>
      </c>
      <c r="G104" s="62" t="n">
        <v>0</v>
      </c>
      <c r="H104" s="62" t="n">
        <v>0</v>
      </c>
      <c r="I104" s="62" t="n">
        <v>0</v>
      </c>
      <c r="J104" s="62" t="n">
        <v>0</v>
      </c>
      <c r="K104" s="62" t="n"/>
      <c r="L104" s="64" t="n"/>
    </row>
    <row r="105" ht="15" customHeight="1" s="44">
      <c r="A105" s="62" t="inlineStr">
        <is>
          <t>WPP</t>
        </is>
      </c>
      <c r="B105" s="62" t="n">
        <v>1</v>
      </c>
      <c r="C105" s="62" t="n"/>
      <c r="D105" s="62" t="inlineStr">
        <is>
          <t>Unknown</t>
        </is>
      </c>
      <c r="E105" s="62" t="n"/>
      <c r="F105" s="62" t="n">
        <v>1</v>
      </c>
      <c r="G105" s="62" t="n">
        <v>0</v>
      </c>
      <c r="H105" s="62" t="n">
        <v>0</v>
      </c>
      <c r="I105" s="62" t="n">
        <v>0</v>
      </c>
      <c r="J105" s="62" t="n">
        <v>0</v>
      </c>
      <c r="K105" s="62" t="n"/>
      <c r="L105" s="64" t="n"/>
    </row>
    <row r="106" ht="15" customHeight="1" s="44">
      <c r="A106" s="62" t="inlineStr">
        <is>
          <t>GitLab</t>
        </is>
      </c>
      <c r="B106" s="62" t="n">
        <v>1</v>
      </c>
      <c r="C106" s="62" t="n"/>
      <c r="D106" s="62" t="inlineStr">
        <is>
          <t>Unknown</t>
        </is>
      </c>
      <c r="E106" s="62" t="n"/>
      <c r="F106" s="62" t="n">
        <v>1</v>
      </c>
      <c r="G106" s="62" t="n">
        <v>0</v>
      </c>
      <c r="H106" s="62" t="n">
        <v>0</v>
      </c>
      <c r="I106" s="62" t="n">
        <v>0</v>
      </c>
      <c r="J106" s="62" t="n">
        <v>0</v>
      </c>
      <c r="K106" s="62" t="n"/>
      <c r="L106" s="64" t="n"/>
    </row>
    <row r="107" ht="15" customHeight="1" s="44">
      <c r="A107" s="62" t="inlineStr">
        <is>
          <t>Data Elephant</t>
        </is>
      </c>
      <c r="B107" s="62" t="n">
        <v>1</v>
      </c>
      <c r="C107" s="62" t="n">
        <v>65</v>
      </c>
      <c r="D107" s="62" t="inlineStr">
        <is>
          <t>Unknown</t>
        </is>
      </c>
      <c r="E107" s="62" t="n"/>
      <c r="F107" s="62" t="n">
        <v>0</v>
      </c>
      <c r="G107" s="62" t="n">
        <v>0</v>
      </c>
      <c r="H107" s="62" t="n">
        <v>0</v>
      </c>
      <c r="I107" s="62" t="n">
        <v>1</v>
      </c>
      <c r="J107" s="62" t="n">
        <v>0</v>
      </c>
      <c r="K107" s="62" t="n"/>
      <c r="L107" s="64" t="n"/>
    </row>
    <row r="108" ht="15" customHeight="1" s="44">
      <c r="A108" s="62" t="inlineStr">
        <is>
          <t>Playlist</t>
        </is>
      </c>
      <c r="B108" s="62" t="n">
        <v>1</v>
      </c>
      <c r="C108" s="62" t="n"/>
      <c r="D108" s="62" t="inlineStr">
        <is>
          <t>Unknown</t>
        </is>
      </c>
      <c r="E108" s="62" t="n"/>
      <c r="F108" s="62" t="n">
        <v>1</v>
      </c>
      <c r="G108" s="62" t="n">
        <v>0</v>
      </c>
      <c r="H108" s="62" t="n">
        <v>0</v>
      </c>
      <c r="I108" s="62" t="n">
        <v>0</v>
      </c>
      <c r="J108" s="62" t="n">
        <v>0</v>
      </c>
      <c r="K108" s="62" t="n"/>
      <c r="L108" s="64" t="n"/>
    </row>
    <row r="109" ht="15" customHeight="1" s="44">
      <c r="A109" s="62" t="inlineStr">
        <is>
          <t>Realtor.com Careers</t>
        </is>
      </c>
      <c r="B109" s="62" t="n">
        <v>1</v>
      </c>
      <c r="C109" s="62" t="n"/>
      <c r="D109" s="62" t="inlineStr">
        <is>
          <t>Unknown</t>
        </is>
      </c>
      <c r="E109" s="62" t="n"/>
      <c r="F109" s="62" t="n">
        <v>1</v>
      </c>
      <c r="G109" s="62" t="n">
        <v>0</v>
      </c>
      <c r="H109" s="62" t="n">
        <v>0</v>
      </c>
      <c r="I109" s="62" t="n">
        <v>0</v>
      </c>
      <c r="J109" s="62" t="n">
        <v>0</v>
      </c>
      <c r="K109" s="62" t="n"/>
      <c r="L109" s="64" t="n"/>
    </row>
    <row r="110" ht="15" customHeight="1" s="44">
      <c r="A110" s="62" t="inlineStr">
        <is>
          <t>Kforce Inc</t>
        </is>
      </c>
      <c r="B110" s="62" t="n">
        <v>1</v>
      </c>
      <c r="C110" s="62" t="n">
        <v>55</v>
      </c>
      <c r="D110" s="62" t="inlineStr">
        <is>
          <t>Yes</t>
        </is>
      </c>
      <c r="E110" s="62" t="inlineStr">
        <is>
          <t>US</t>
        </is>
      </c>
      <c r="F110" s="62" t="n">
        <v>0</v>
      </c>
      <c r="G110" s="62" t="n">
        <v>0</v>
      </c>
      <c r="H110" s="62" t="n">
        <v>0</v>
      </c>
      <c r="I110" s="62" t="n">
        <v>1</v>
      </c>
      <c r="J110" s="62" t="n">
        <v>0</v>
      </c>
      <c r="K110" s="62" t="n"/>
      <c r="L110" s="64" t="n"/>
    </row>
    <row r="111" ht="15" customHeight="1" s="44">
      <c r="A111" s="62" t="inlineStr">
        <is>
          <t>Accurate Background</t>
        </is>
      </c>
      <c r="B111" s="62" t="n">
        <v>1</v>
      </c>
      <c r="C111" s="62" t="n">
        <v>65</v>
      </c>
      <c r="D111" s="62" t="inlineStr">
        <is>
          <t>Yes</t>
        </is>
      </c>
      <c r="E111" s="62" t="inlineStr">
        <is>
          <t>US</t>
        </is>
      </c>
      <c r="F111" s="62" t="n">
        <v>0</v>
      </c>
      <c r="G111" s="62" t="n">
        <v>0</v>
      </c>
      <c r="H111" s="62" t="n">
        <v>0</v>
      </c>
      <c r="I111" s="62" t="n">
        <v>1</v>
      </c>
      <c r="J111" s="62" t="n">
        <v>0</v>
      </c>
      <c r="K111" s="62" t="n"/>
      <c r="L111" s="64" t="n"/>
    </row>
    <row r="112" ht="15" customHeight="1" s="44">
      <c r="A112" s="62" t="inlineStr">
        <is>
          <t>Roku</t>
        </is>
      </c>
      <c r="B112" s="62" t="n">
        <v>1</v>
      </c>
      <c r="C112" s="62" t="n">
        <v>70</v>
      </c>
      <c r="D112" s="62" t="inlineStr">
        <is>
          <t>Yes</t>
        </is>
      </c>
      <c r="E112" s="62" t="inlineStr">
        <is>
          <t>US</t>
        </is>
      </c>
      <c r="F112" s="62" t="n">
        <v>0</v>
      </c>
      <c r="G112" s="62" t="n">
        <v>0</v>
      </c>
      <c r="H112" s="62" t="n">
        <v>0</v>
      </c>
      <c r="I112" s="62" t="n">
        <v>1</v>
      </c>
      <c r="J112" s="62" t="n">
        <v>0</v>
      </c>
      <c r="K112" s="62" t="n"/>
      <c r="L112" s="64" t="n"/>
    </row>
    <row r="113" ht="15" customHeight="1" s="44">
      <c r="A113" s="62" t="inlineStr">
        <is>
          <t>Nvidia</t>
        </is>
      </c>
      <c r="B113" s="62" t="n">
        <v>1</v>
      </c>
      <c r="C113" s="62" t="n">
        <v>68</v>
      </c>
      <c r="D113" s="62" t="inlineStr">
        <is>
          <t>Yes</t>
        </is>
      </c>
      <c r="E113" s="62" t="inlineStr">
        <is>
          <t>US</t>
        </is>
      </c>
      <c r="F113" s="62" t="n">
        <v>0</v>
      </c>
      <c r="G113" s="62" t="n">
        <v>0</v>
      </c>
      <c r="H113" s="62" t="n">
        <v>0</v>
      </c>
      <c r="I113" s="62" t="n">
        <v>1</v>
      </c>
      <c r="J113" s="62" t="n">
        <v>0</v>
      </c>
      <c r="K113" s="62" t="n"/>
      <c r="L113" s="64" t="n"/>
    </row>
    <row r="114" ht="15" customHeight="1" s="44">
      <c r="A114" s="62" t="inlineStr">
        <is>
          <t>goeasy Ltd.</t>
        </is>
      </c>
      <c r="B114" s="62" t="n">
        <v>1</v>
      </c>
      <c r="C114" s="62" t="n">
        <v>78</v>
      </c>
      <c r="D114" s="62" t="inlineStr">
        <is>
          <t>No</t>
        </is>
      </c>
      <c r="E114" s="62" t="inlineStr">
        <is>
          <t>Canada</t>
        </is>
      </c>
      <c r="F114" s="62" t="n">
        <v>0</v>
      </c>
      <c r="G114" s="62" t="n">
        <v>0</v>
      </c>
      <c r="H114" s="62" t="n">
        <v>0</v>
      </c>
      <c r="I114" s="62" t="n">
        <v>1</v>
      </c>
      <c r="J114" s="62" t="n">
        <v>0</v>
      </c>
      <c r="K114" s="62" t="n"/>
      <c r="L114" s="64" t="n"/>
    </row>
    <row r="115" ht="15" customHeight="1" s="44">
      <c r="A115" s="62" t="inlineStr">
        <is>
          <t>AT&amp;T</t>
        </is>
      </c>
      <c r="B115" s="62" t="n">
        <v>1</v>
      </c>
      <c r="C115" s="62" t="n">
        <v>60</v>
      </c>
      <c r="D115" s="62" t="inlineStr">
        <is>
          <t>Yes</t>
        </is>
      </c>
      <c r="E115" s="62" t="inlineStr">
        <is>
          <t>US</t>
        </is>
      </c>
      <c r="F115" s="62" t="n">
        <v>0</v>
      </c>
      <c r="G115" s="62" t="n">
        <v>0</v>
      </c>
      <c r="H115" s="62" t="n">
        <v>0</v>
      </c>
      <c r="I115" s="62" t="n">
        <v>1</v>
      </c>
      <c r="J115" s="62" t="n">
        <v>0</v>
      </c>
      <c r="K115" s="62" t="n"/>
      <c r="L115" s="64" t="n"/>
    </row>
    <row r="116" ht="15" customHeight="1" s="44">
      <c r="A116" s="62" t="inlineStr">
        <is>
          <t>T-Mobile</t>
        </is>
      </c>
      <c r="B116" s="62" t="n">
        <v>1</v>
      </c>
      <c r="C116" s="62" t="n">
        <v>72</v>
      </c>
      <c r="D116" s="62" t="inlineStr">
        <is>
          <t>Yes</t>
        </is>
      </c>
      <c r="E116" s="62" t="inlineStr">
        <is>
          <t>US</t>
        </is>
      </c>
      <c r="F116" s="62" t="n">
        <v>0</v>
      </c>
      <c r="G116" s="62" t="n">
        <v>0</v>
      </c>
      <c r="H116" s="62" t="n">
        <v>0</v>
      </c>
      <c r="I116" s="62" t="n">
        <v>1</v>
      </c>
      <c r="J116" s="62" t="n">
        <v>0</v>
      </c>
      <c r="K116" s="62" t="n"/>
      <c r="L116" s="64" t="n"/>
    </row>
    <row r="117" ht="15" customHeight="1" s="44">
      <c r="A117" s="62" t="inlineStr">
        <is>
          <t>SWITS Digital</t>
        </is>
      </c>
      <c r="B117" s="62" t="n">
        <v>1</v>
      </c>
      <c r="C117" s="62" t="n">
        <v>55</v>
      </c>
      <c r="D117" s="62" t="inlineStr">
        <is>
          <t>Yes</t>
        </is>
      </c>
      <c r="E117" s="62" t="inlineStr">
        <is>
          <t>US</t>
        </is>
      </c>
      <c r="F117" s="62" t="n">
        <v>0</v>
      </c>
      <c r="G117" s="62" t="n">
        <v>0</v>
      </c>
      <c r="H117" s="62" t="n">
        <v>0</v>
      </c>
      <c r="I117" s="62" t="n">
        <v>1</v>
      </c>
      <c r="J117" s="62" t="n">
        <v>0</v>
      </c>
      <c r="K117" s="62" t="n"/>
      <c r="L117" s="64" t="n"/>
    </row>
    <row r="118" ht="15" customHeight="1" s="44">
      <c r="A118" s="62" t="inlineStr">
        <is>
          <t>Hewlett Packard Enterprise</t>
        </is>
      </c>
      <c r="B118" s="62" t="n">
        <v>1</v>
      </c>
      <c r="C118" s="62" t="n">
        <v>75</v>
      </c>
      <c r="D118" s="62" t="inlineStr">
        <is>
          <t>Yes</t>
        </is>
      </c>
      <c r="E118" s="62" t="inlineStr">
        <is>
          <t>US</t>
        </is>
      </c>
      <c r="F118" s="62" t="n">
        <v>1</v>
      </c>
      <c r="G118" s="62" t="n">
        <v>0</v>
      </c>
      <c r="H118" s="62" t="n">
        <v>0</v>
      </c>
      <c r="I118" s="62" t="n">
        <v>0</v>
      </c>
      <c r="J118" s="62" t="n">
        <v>0</v>
      </c>
      <c r="K118" s="62" t="n">
        <v>88</v>
      </c>
      <c r="L118" s="64" t="n"/>
    </row>
    <row r="119" ht="15" customHeight="1" s="44">
      <c r="A119" s="62" t="inlineStr">
        <is>
          <t>RWE</t>
        </is>
      </c>
      <c r="B119" s="62" t="n">
        <v>1</v>
      </c>
      <c r="C119" s="62" t="n">
        <v>70</v>
      </c>
      <c r="D119" s="62" t="inlineStr">
        <is>
          <t>Yes</t>
        </is>
      </c>
      <c r="E119" s="62" t="inlineStr">
        <is>
          <t>US</t>
        </is>
      </c>
      <c r="F119" s="62" t="n">
        <v>0</v>
      </c>
      <c r="G119" s="62" t="n">
        <v>0</v>
      </c>
      <c r="H119" s="62" t="n">
        <v>0</v>
      </c>
      <c r="I119" s="62" t="n">
        <v>1</v>
      </c>
      <c r="J119" s="62" t="n">
        <v>0</v>
      </c>
      <c r="K119" s="62" t="n"/>
      <c r="L119" s="64" t="n"/>
    </row>
    <row r="120" ht="15" customHeight="1" s="44">
      <c r="A120" s="62" t="inlineStr">
        <is>
          <t>HP</t>
        </is>
      </c>
      <c r="B120" s="62" t="n">
        <v>1</v>
      </c>
      <c r="C120" s="62" t="n">
        <v>72</v>
      </c>
      <c r="D120" s="62" t="inlineStr">
        <is>
          <t>Yes</t>
        </is>
      </c>
      <c r="E120" s="62" t="inlineStr">
        <is>
          <t>US</t>
        </is>
      </c>
      <c r="F120" s="62" t="n">
        <v>1</v>
      </c>
      <c r="G120" s="62" t="n">
        <v>0</v>
      </c>
      <c r="H120" s="62" t="n">
        <v>0</v>
      </c>
      <c r="I120" s="62" t="n">
        <v>0</v>
      </c>
      <c r="J120" s="62" t="n">
        <v>0</v>
      </c>
      <c r="K120" s="62" t="n">
        <v>33</v>
      </c>
      <c r="L120" s="64" t="n"/>
    </row>
    <row r="121" ht="15" customHeight="1" s="44">
      <c r="A121" s="62" t="inlineStr">
        <is>
          <t>Canadian Tire</t>
        </is>
      </c>
      <c r="B121" s="62" t="n">
        <v>1</v>
      </c>
      <c r="C121" s="62" t="n">
        <v>70</v>
      </c>
      <c r="D121" s="62" t="inlineStr">
        <is>
          <t>No</t>
        </is>
      </c>
      <c r="E121" s="62" t="inlineStr">
        <is>
          <t>Canada</t>
        </is>
      </c>
      <c r="F121" s="62" t="n">
        <v>0</v>
      </c>
      <c r="G121" s="62" t="n">
        <v>0</v>
      </c>
      <c r="H121" s="62" t="n">
        <v>0</v>
      </c>
      <c r="I121" s="62" t="n">
        <v>1</v>
      </c>
      <c r="J121" s="62" t="n">
        <v>0</v>
      </c>
      <c r="K121" s="62" t="n"/>
      <c r="L121" s="64" t="n"/>
    </row>
    <row r="122" ht="15" customHeight="1" s="44">
      <c r="A122" s="62" t="inlineStr">
        <is>
          <t>Jerry.ai</t>
        </is>
      </c>
      <c r="B122" s="62" t="n">
        <v>1</v>
      </c>
      <c r="C122" s="62" t="n">
        <v>65</v>
      </c>
      <c r="D122" s="62" t="inlineStr">
        <is>
          <t>Yes</t>
        </is>
      </c>
      <c r="E122" s="62" t="inlineStr">
        <is>
          <t>US</t>
        </is>
      </c>
      <c r="F122" s="62" t="n">
        <v>0</v>
      </c>
      <c r="G122" s="62" t="n">
        <v>0</v>
      </c>
      <c r="H122" s="62" t="n">
        <v>0</v>
      </c>
      <c r="I122" s="62" t="n">
        <v>1</v>
      </c>
      <c r="J122" s="62" t="n">
        <v>0</v>
      </c>
      <c r="K122" s="62" t="n"/>
      <c r="L122" s="64" t="n"/>
    </row>
    <row r="123" ht="15" customHeight="1" s="44">
      <c r="A123" s="62" t="inlineStr">
        <is>
          <t>J.D. Power</t>
        </is>
      </c>
      <c r="B123" s="62" t="n">
        <v>1</v>
      </c>
      <c r="C123" s="62" t="n">
        <v>72</v>
      </c>
      <c r="D123" s="62" t="inlineStr">
        <is>
          <t>No</t>
        </is>
      </c>
      <c r="E123" s="62" t="inlineStr">
        <is>
          <t>Canada</t>
        </is>
      </c>
      <c r="F123" s="62" t="n">
        <v>1</v>
      </c>
      <c r="G123" s="62" t="n">
        <v>0</v>
      </c>
      <c r="H123" s="62" t="n">
        <v>0</v>
      </c>
      <c r="I123" s="62" t="n">
        <v>0</v>
      </c>
      <c r="J123" s="62" t="n">
        <v>0</v>
      </c>
      <c r="K123" s="62" t="n">
        <v>40</v>
      </c>
      <c r="L123" s="64" t="n"/>
    </row>
    <row r="124" ht="15" customHeight="1" s="44">
      <c r="A124" s="62" t="inlineStr">
        <is>
          <t>Reddit, Inc.</t>
        </is>
      </c>
      <c r="B124" s="62" t="n">
        <v>1</v>
      </c>
      <c r="C124" s="62" t="n">
        <v>70</v>
      </c>
      <c r="D124" s="62" t="inlineStr">
        <is>
          <t>Yes</t>
        </is>
      </c>
      <c r="E124" s="62" t="inlineStr">
        <is>
          <t>US</t>
        </is>
      </c>
      <c r="F124" s="62" t="n">
        <v>1</v>
      </c>
      <c r="G124" s="62" t="n">
        <v>0</v>
      </c>
      <c r="H124" s="62" t="n">
        <v>0</v>
      </c>
      <c r="I124" s="62" t="n">
        <v>0</v>
      </c>
      <c r="J124" s="62" t="n">
        <v>0</v>
      </c>
      <c r="K124" s="62" t="n"/>
      <c r="L124" s="64" t="n"/>
    </row>
    <row r="125" ht="15" customHeight="1" s="44">
      <c r="A125" s="62" t="inlineStr">
        <is>
          <t>Pinterest</t>
        </is>
      </c>
      <c r="B125" s="62" t="n">
        <v>1</v>
      </c>
      <c r="C125" s="62" t="n">
        <v>75</v>
      </c>
      <c r="D125" s="62" t="inlineStr">
        <is>
          <t>Yes</t>
        </is>
      </c>
      <c r="E125" s="62" t="inlineStr">
        <is>
          <t>US</t>
        </is>
      </c>
      <c r="F125" s="62" t="n">
        <v>0</v>
      </c>
      <c r="G125" s="62" t="n">
        <v>0</v>
      </c>
      <c r="H125" s="62" t="n">
        <v>1</v>
      </c>
      <c r="I125" s="62" t="n">
        <v>0</v>
      </c>
      <c r="J125" s="62" t="n">
        <v>0</v>
      </c>
      <c r="K125" s="62" t="n"/>
      <c r="L125" s="64" t="n"/>
    </row>
    <row r="126" ht="15" customHeight="1" s="44">
      <c r="A126" s="62" t="inlineStr">
        <is>
          <t>Oracle</t>
        </is>
      </c>
      <c r="B126" s="62" t="n">
        <v>1</v>
      </c>
      <c r="C126" s="62" t="n">
        <v>65</v>
      </c>
      <c r="D126" s="62" t="inlineStr">
        <is>
          <t>Yes</t>
        </is>
      </c>
      <c r="E126" s="62" t="inlineStr">
        <is>
          <t>US</t>
        </is>
      </c>
      <c r="F126" s="62" t="n">
        <v>0</v>
      </c>
      <c r="G126" s="62" t="n">
        <v>0</v>
      </c>
      <c r="H126" s="62" t="n">
        <v>1</v>
      </c>
      <c r="I126" s="62" t="n">
        <v>0</v>
      </c>
      <c r="J126" s="62" t="n">
        <v>0</v>
      </c>
      <c r="K126" s="62" t="n"/>
      <c r="L126" s="64" t="n"/>
    </row>
    <row r="127" ht="15" customHeight="1" s="44">
      <c r="A127" s="62" t="inlineStr">
        <is>
          <t>FICO</t>
        </is>
      </c>
      <c r="B127" s="62" t="n">
        <v>1</v>
      </c>
      <c r="C127" s="62" t="n">
        <v>65</v>
      </c>
      <c r="D127" s="62" t="inlineStr">
        <is>
          <t>Yes</t>
        </is>
      </c>
      <c r="E127" s="62" t="inlineStr">
        <is>
          <t>US</t>
        </is>
      </c>
      <c r="F127" s="62" t="n">
        <v>0</v>
      </c>
      <c r="G127" s="62" t="n">
        <v>0</v>
      </c>
      <c r="H127" s="62" t="n">
        <v>1</v>
      </c>
      <c r="I127" s="62" t="n">
        <v>0</v>
      </c>
      <c r="J127" s="62" t="n">
        <v>0</v>
      </c>
      <c r="K127" s="62" t="n"/>
      <c r="L127" s="64" t="n"/>
    </row>
    <row r="128" ht="15" customHeight="1" s="44">
      <c r="A128" s="62" t="inlineStr">
        <is>
          <t>TD Bank</t>
        </is>
      </c>
      <c r="B128" s="62" t="n">
        <v>1</v>
      </c>
      <c r="C128" s="62" t="n">
        <v>75</v>
      </c>
      <c r="D128" s="62" t="inlineStr">
        <is>
          <t>No</t>
        </is>
      </c>
      <c r="E128" s="62" t="inlineStr">
        <is>
          <t>Canada</t>
        </is>
      </c>
      <c r="F128" s="62" t="n">
        <v>0</v>
      </c>
      <c r="G128" s="62" t="n">
        <v>0</v>
      </c>
      <c r="H128" s="62" t="n">
        <v>1</v>
      </c>
      <c r="I128" s="62" t="n">
        <v>0</v>
      </c>
      <c r="J128" s="62" t="n">
        <v>0</v>
      </c>
      <c r="K128" s="62" t="n"/>
      <c r="L128" s="64" t="n"/>
    </row>
    <row r="129" ht="15" customHeight="1" s="44">
      <c r="A129" s="62" t="inlineStr">
        <is>
          <t>Spectrum Health Care</t>
        </is>
      </c>
      <c r="B129" s="62" t="n">
        <v>1</v>
      </c>
      <c r="C129" s="62" t="n">
        <v>60</v>
      </c>
      <c r="D129" s="62" t="inlineStr">
        <is>
          <t>No</t>
        </is>
      </c>
      <c r="E129" s="62" t="inlineStr">
        <is>
          <t>Canada</t>
        </is>
      </c>
      <c r="F129" s="62" t="n">
        <v>1</v>
      </c>
      <c r="G129" s="62" t="n">
        <v>0</v>
      </c>
      <c r="H129" s="62" t="n">
        <v>0</v>
      </c>
      <c r="I129" s="62" t="n">
        <v>0</v>
      </c>
      <c r="J129" s="62" t="n">
        <v>0</v>
      </c>
      <c r="K129" s="62" t="n">
        <v>4</v>
      </c>
      <c r="L129" s="64" t="n"/>
    </row>
    <row r="130" ht="15" customHeight="1" s="44">
      <c r="A130" s="62" t="inlineStr">
        <is>
          <t>Shakudo</t>
        </is>
      </c>
      <c r="B130" s="62" t="n">
        <v>1</v>
      </c>
      <c r="C130" s="62" t="n">
        <v>75</v>
      </c>
      <c r="D130" s="62" t="inlineStr">
        <is>
          <t>No</t>
        </is>
      </c>
      <c r="E130" s="62" t="inlineStr">
        <is>
          <t>Canada</t>
        </is>
      </c>
      <c r="F130" s="62" t="n">
        <v>1</v>
      </c>
      <c r="G130" s="62" t="n">
        <v>0</v>
      </c>
      <c r="H130" s="62" t="n">
        <v>0</v>
      </c>
      <c r="I130" s="62" t="n">
        <v>0</v>
      </c>
      <c r="J130" s="62" t="n">
        <v>0</v>
      </c>
      <c r="K130" s="62" t="n">
        <v>10</v>
      </c>
      <c r="L130" s="64" t="n"/>
    </row>
    <row r="131" ht="15" customHeight="1" s="44">
      <c r="A131" s="62" t="inlineStr">
        <is>
          <t>Serena &amp; Lily</t>
        </is>
      </c>
      <c r="B131" s="62" t="n">
        <v>1</v>
      </c>
      <c r="C131" s="62" t="n">
        <v>70</v>
      </c>
      <c r="D131" s="62" t="inlineStr">
        <is>
          <t>Yes</t>
        </is>
      </c>
      <c r="E131" s="62" t="inlineStr">
        <is>
          <t>US</t>
        </is>
      </c>
      <c r="F131" s="62" t="n">
        <v>0</v>
      </c>
      <c r="G131" s="62" t="n">
        <v>0</v>
      </c>
      <c r="H131" s="62" t="n">
        <v>0</v>
      </c>
      <c r="I131" s="62" t="n">
        <v>1</v>
      </c>
      <c r="J131" s="62" t="n">
        <v>0</v>
      </c>
      <c r="K131" s="62" t="n"/>
      <c r="L131" s="64" t="n"/>
    </row>
    <row r="132" ht="15" customHeight="1" s="44">
      <c r="A132" s="62" t="inlineStr">
        <is>
          <t>Life360</t>
        </is>
      </c>
      <c r="B132" s="62" t="n">
        <v>1</v>
      </c>
      <c r="C132" s="62" t="n"/>
      <c r="D132" s="62" t="inlineStr">
        <is>
          <t>Unknown</t>
        </is>
      </c>
      <c r="E132" s="62" t="inlineStr">
        <is>
          <t>US / Canada</t>
        </is>
      </c>
      <c r="F132" s="62" t="n">
        <v>1</v>
      </c>
      <c r="G132" s="62" t="n">
        <v>0</v>
      </c>
      <c r="H132" s="62" t="n">
        <v>0</v>
      </c>
      <c r="I132" s="62" t="n">
        <v>0</v>
      </c>
      <c r="J132" s="62" t="n">
        <v>0</v>
      </c>
      <c r="K132" s="62" t="n"/>
      <c r="L132" s="64" t="n"/>
    </row>
    <row r="133" ht="15" customHeight="1" s="44">
      <c r="A133" s="62" t="inlineStr">
        <is>
          <t>Whatnot</t>
        </is>
      </c>
      <c r="B133" s="62" t="n">
        <v>1</v>
      </c>
      <c r="C133" s="62" t="n">
        <v>65</v>
      </c>
      <c r="D133" s="62" t="inlineStr">
        <is>
          <t>Yes</t>
        </is>
      </c>
      <c r="E133" s="62" t="inlineStr">
        <is>
          <t>US</t>
        </is>
      </c>
      <c r="F133" s="62" t="n">
        <v>1</v>
      </c>
      <c r="G133" s="62" t="n">
        <v>0</v>
      </c>
      <c r="H133" s="62" t="n">
        <v>0</v>
      </c>
      <c r="I133" s="62" t="n">
        <v>0</v>
      </c>
      <c r="J133" s="62" t="n">
        <v>0</v>
      </c>
      <c r="K133" s="62" t="n">
        <v>4</v>
      </c>
      <c r="L133" s="64" t="n"/>
    </row>
    <row r="134" ht="15" customHeight="1" s="44">
      <c r="A134" s="62" t="inlineStr">
        <is>
          <t>Bain &amp; Company</t>
        </is>
      </c>
      <c r="B134" s="62" t="n">
        <v>1</v>
      </c>
      <c r="C134" s="62" t="n">
        <v>55</v>
      </c>
      <c r="D134" s="62" t="inlineStr">
        <is>
          <t>No</t>
        </is>
      </c>
      <c r="E134" s="62" t="inlineStr">
        <is>
          <t>Canada</t>
        </is>
      </c>
      <c r="F134" s="62" t="n">
        <v>0</v>
      </c>
      <c r="G134" s="62" t="n">
        <v>0</v>
      </c>
      <c r="H134" s="62" t="n">
        <v>1</v>
      </c>
      <c r="I134" s="62" t="n">
        <v>0</v>
      </c>
      <c r="J134" s="62" t="n">
        <v>0</v>
      </c>
      <c r="K134" s="62" t="n"/>
      <c r="L134" s="64" t="n"/>
    </row>
    <row r="135" ht="15" customHeight="1" s="44">
      <c r="A135" s="62" t="inlineStr">
        <is>
          <t>Capital One</t>
        </is>
      </c>
      <c r="B135" s="62" t="n">
        <v>1</v>
      </c>
      <c r="C135" s="62" t="n">
        <v>65</v>
      </c>
      <c r="D135" s="62" t="inlineStr">
        <is>
          <t>No</t>
        </is>
      </c>
      <c r="E135" s="62" t="inlineStr">
        <is>
          <t>Canada</t>
        </is>
      </c>
      <c r="F135" s="62" t="n">
        <v>1</v>
      </c>
      <c r="G135" s="62" t="n">
        <v>0</v>
      </c>
      <c r="H135" s="62" t="n">
        <v>0</v>
      </c>
      <c r="I135" s="62" t="n">
        <v>0</v>
      </c>
      <c r="J135" s="62" t="n">
        <v>0</v>
      </c>
      <c r="K135" s="62" t="n">
        <v>25</v>
      </c>
      <c r="L135" s="64" t="n"/>
    </row>
    <row r="136" ht="15" customHeight="1" s="44">
      <c r="A136" s="62" t="inlineStr">
        <is>
          <t>BNY</t>
        </is>
      </c>
      <c r="B136" s="62" t="n">
        <v>1</v>
      </c>
      <c r="C136" s="62" t="n">
        <v>70</v>
      </c>
      <c r="D136" s="62" t="inlineStr">
        <is>
          <t>Yes</t>
        </is>
      </c>
      <c r="E136" s="62" t="inlineStr">
        <is>
          <t>US</t>
        </is>
      </c>
      <c r="F136" s="62" t="n">
        <v>1</v>
      </c>
      <c r="G136" s="62" t="n">
        <v>0</v>
      </c>
      <c r="H136" s="62" t="n">
        <v>0</v>
      </c>
      <c r="I136" s="62" t="n">
        <v>0</v>
      </c>
      <c r="J136" s="62" t="n">
        <v>0</v>
      </c>
      <c r="K136" s="62" t="n">
        <v>5</v>
      </c>
      <c r="L136" s="64" t="n"/>
    </row>
    <row r="137" ht="15" customHeight="1" s="44">
      <c r="A137" s="62" t="inlineStr">
        <is>
          <t>Ontario Teachers' Pension Plan</t>
        </is>
      </c>
      <c r="B137" s="62" t="n">
        <v>1</v>
      </c>
      <c r="C137" s="62" t="n">
        <v>65</v>
      </c>
      <c r="D137" s="62" t="inlineStr">
        <is>
          <t>No</t>
        </is>
      </c>
      <c r="E137" s="62" t="inlineStr">
        <is>
          <t>Canada</t>
        </is>
      </c>
      <c r="F137" s="62" t="n">
        <v>1</v>
      </c>
      <c r="G137" s="62" t="n">
        <v>0</v>
      </c>
      <c r="H137" s="62" t="n">
        <v>0</v>
      </c>
      <c r="I137" s="62" t="n">
        <v>0</v>
      </c>
      <c r="J137" s="62" t="n">
        <v>0</v>
      </c>
      <c r="K137" s="62" t="n">
        <v>24</v>
      </c>
      <c r="L137" s="64" t="n"/>
    </row>
    <row r="138" ht="15" customHeight="1" s="44">
      <c r="A138" s="62" t="inlineStr">
        <is>
          <t>Chubb</t>
        </is>
      </c>
      <c r="B138" s="62" t="n">
        <v>1</v>
      </c>
      <c r="C138" s="62" t="n">
        <v>82</v>
      </c>
      <c r="D138" s="62" t="inlineStr">
        <is>
          <t>No</t>
        </is>
      </c>
      <c r="E138" s="62" t="inlineStr">
        <is>
          <t>Canada</t>
        </is>
      </c>
      <c r="F138" s="62" t="n">
        <v>1</v>
      </c>
      <c r="G138" s="62" t="n">
        <v>0</v>
      </c>
      <c r="H138" s="62" t="n">
        <v>0</v>
      </c>
      <c r="I138" s="62" t="n">
        <v>0</v>
      </c>
      <c r="J138" s="62" t="n">
        <v>0</v>
      </c>
      <c r="K138" s="62" t="n">
        <v>18</v>
      </c>
      <c r="L138" s="64" t="n"/>
    </row>
    <row r="139" ht="15" customHeight="1" s="44">
      <c r="A139" s="62" t="inlineStr">
        <is>
          <t>Aquent | Skill</t>
        </is>
      </c>
      <c r="B139" s="62" t="n">
        <v>1</v>
      </c>
      <c r="C139" s="62" t="n">
        <v>60</v>
      </c>
      <c r="D139" s="62" t="inlineStr">
        <is>
          <t>No</t>
        </is>
      </c>
      <c r="E139" s="62" t="inlineStr">
        <is>
          <t>Canada</t>
        </is>
      </c>
      <c r="F139" s="62" t="n">
        <v>0</v>
      </c>
      <c r="G139" s="62" t="n">
        <v>0</v>
      </c>
      <c r="H139" s="62" t="n">
        <v>1</v>
      </c>
      <c r="I139" s="62" t="n">
        <v>0</v>
      </c>
      <c r="J139" s="62" t="n">
        <v>0</v>
      </c>
      <c r="K139" s="62" t="n"/>
      <c r="L139" s="64" t="n"/>
    </row>
    <row r="140" ht="15" customHeight="1" s="44">
      <c r="A140" s="62" t="inlineStr">
        <is>
          <t>Clearway Group of Companies</t>
        </is>
      </c>
      <c r="B140" s="62" t="n">
        <v>1</v>
      </c>
      <c r="C140" s="62" t="n">
        <v>50</v>
      </c>
      <c r="D140" s="62" t="inlineStr">
        <is>
          <t>No</t>
        </is>
      </c>
      <c r="E140" s="62" t="inlineStr">
        <is>
          <t>Canada</t>
        </is>
      </c>
      <c r="F140" s="62" t="n">
        <v>0</v>
      </c>
      <c r="G140" s="62" t="n">
        <v>0</v>
      </c>
      <c r="H140" s="62" t="n">
        <v>1</v>
      </c>
      <c r="I140" s="62" t="n">
        <v>0</v>
      </c>
      <c r="J140" s="62" t="n">
        <v>0</v>
      </c>
      <c r="K140" s="62" t="n"/>
      <c r="L140" s="64" t="n"/>
    </row>
    <row r="141" ht="15" customHeight="1" s="44">
      <c r="A141" s="62" t="inlineStr">
        <is>
          <t>d1g1t Inc.</t>
        </is>
      </c>
      <c r="B141" s="62" t="n">
        <v>1</v>
      </c>
      <c r="C141" s="62" t="n">
        <v>68</v>
      </c>
      <c r="D141" s="62" t="inlineStr">
        <is>
          <t>No</t>
        </is>
      </c>
      <c r="E141" s="62" t="inlineStr">
        <is>
          <t>Canada</t>
        </is>
      </c>
      <c r="F141" s="62" t="n">
        <v>0</v>
      </c>
      <c r="G141" s="62" t="n">
        <v>0</v>
      </c>
      <c r="H141" s="62" t="n">
        <v>1</v>
      </c>
      <c r="I141" s="62" t="n">
        <v>0</v>
      </c>
      <c r="J141" s="62" t="n">
        <v>0</v>
      </c>
      <c r="K141" s="62" t="n"/>
      <c r="L141" s="64" t="n"/>
    </row>
    <row r="142" ht="15" customHeight="1" s="44">
      <c r="A142" s="62" t="inlineStr">
        <is>
          <t>HUG</t>
        </is>
      </c>
      <c r="B142" s="62" t="n">
        <v>1</v>
      </c>
      <c r="C142" s="62" t="n">
        <v>58</v>
      </c>
      <c r="D142" s="62" t="inlineStr">
        <is>
          <t>Yes</t>
        </is>
      </c>
      <c r="E142" s="62" t="inlineStr">
        <is>
          <t>US</t>
        </is>
      </c>
      <c r="F142" s="62" t="n">
        <v>0</v>
      </c>
      <c r="G142" s="62" t="n">
        <v>0</v>
      </c>
      <c r="H142" s="62" t="n">
        <v>1</v>
      </c>
      <c r="I142" s="62" t="n">
        <v>0</v>
      </c>
      <c r="J142" s="62" t="n">
        <v>0</v>
      </c>
      <c r="K142" s="62" t="n"/>
      <c r="L142" s="64" t="inlineStr">
        <is>
          <t>$275K</t>
        </is>
      </c>
    </row>
    <row r="143" ht="15" customHeight="1" s="44">
      <c r="A143" s="62" t="inlineStr">
        <is>
          <t>ExaCare AI</t>
        </is>
      </c>
      <c r="B143" s="62" t="n">
        <v>1</v>
      </c>
      <c r="C143" s="62" t="n">
        <v>52</v>
      </c>
      <c r="D143" s="62" t="inlineStr">
        <is>
          <t>No</t>
        </is>
      </c>
      <c r="E143" s="62" t="inlineStr">
        <is>
          <t>Canada</t>
        </is>
      </c>
      <c r="F143" s="62" t="n">
        <v>0</v>
      </c>
      <c r="G143" s="62" t="n">
        <v>0</v>
      </c>
      <c r="H143" s="62" t="n">
        <v>1</v>
      </c>
      <c r="I143" s="62" t="n">
        <v>0</v>
      </c>
      <c r="J143" s="62" t="n">
        <v>0</v>
      </c>
      <c r="K143" s="62" t="n"/>
      <c r="L143" s="64" t="n"/>
    </row>
    <row r="144" ht="15" customHeight="1" s="44">
      <c r="A144" s="62" t="inlineStr">
        <is>
          <t>Scott Mission</t>
        </is>
      </c>
      <c r="B144" s="62" t="n">
        <v>1</v>
      </c>
      <c r="C144" s="62" t="n">
        <v>76</v>
      </c>
      <c r="D144" s="62" t="inlineStr">
        <is>
          <t>No</t>
        </is>
      </c>
      <c r="E144" s="62" t="inlineStr">
        <is>
          <t>Canada</t>
        </is>
      </c>
      <c r="F144" s="62" t="n">
        <v>0</v>
      </c>
      <c r="G144" s="62" t="n">
        <v>0</v>
      </c>
      <c r="H144" s="62" t="n">
        <v>1</v>
      </c>
      <c r="I144" s="62" t="n">
        <v>0</v>
      </c>
      <c r="J144" s="62" t="n">
        <v>0</v>
      </c>
      <c r="K144" s="62" t="n"/>
      <c r="L144" s="64" t="n"/>
    </row>
    <row r="145" ht="15" customHeight="1" s="44">
      <c r="A145" s="62" t="inlineStr">
        <is>
          <t>ExaCare Inc</t>
        </is>
      </c>
      <c r="B145" s="62" t="n">
        <v>1</v>
      </c>
      <c r="C145" s="62" t="n"/>
      <c r="D145" s="62" t="inlineStr">
        <is>
          <t>Unknown</t>
        </is>
      </c>
      <c r="E145" s="62" t="n"/>
      <c r="F145" s="62" t="n">
        <v>0</v>
      </c>
      <c r="G145" s="62" t="n">
        <v>0</v>
      </c>
      <c r="H145" s="62" t="n">
        <v>1</v>
      </c>
      <c r="I145" s="62" t="n">
        <v>0</v>
      </c>
      <c r="J145" s="62" t="n">
        <v>0</v>
      </c>
      <c r="K145" s="62" t="n"/>
      <c r="L145" s="64" t="n"/>
    </row>
    <row r="146" ht="15" customHeight="1" s="44">
      <c r="A146" s="62" t="inlineStr">
        <is>
          <t>Etsy</t>
        </is>
      </c>
      <c r="B146" s="62" t="n">
        <v>1</v>
      </c>
      <c r="C146" s="62" t="n">
        <v>78</v>
      </c>
      <c r="D146" s="62" t="inlineStr">
        <is>
          <t>Yes</t>
        </is>
      </c>
      <c r="E146" s="62" t="inlineStr">
        <is>
          <t>US</t>
        </is>
      </c>
      <c r="F146" s="62" t="n">
        <v>0</v>
      </c>
      <c r="G146" s="62" t="n">
        <v>0</v>
      </c>
      <c r="H146" s="62" t="n">
        <v>1</v>
      </c>
      <c r="I146" s="62" t="n">
        <v>0</v>
      </c>
      <c r="J146" s="62" t="n">
        <v>0</v>
      </c>
      <c r="K146" s="62" t="n"/>
      <c r="L146" s="64" t="inlineStr">
        <is>
          <t>$144K-$186K</t>
        </is>
      </c>
    </row>
    <row r="147" ht="15" customHeight="1" s="44">
      <c r="A147" s="62" t="inlineStr">
        <is>
          <t>Everforth Apex</t>
        </is>
      </c>
      <c r="B147" s="62" t="n">
        <v>1</v>
      </c>
      <c r="C147" s="62" t="n"/>
      <c r="D147" s="62" t="inlineStr">
        <is>
          <t>Unknown</t>
        </is>
      </c>
      <c r="E147" s="62" t="n"/>
      <c r="F147" s="62" t="n">
        <v>0</v>
      </c>
      <c r="G147" s="62" t="n">
        <v>0</v>
      </c>
      <c r="H147" s="62" t="n">
        <v>1</v>
      </c>
      <c r="I147" s="62" t="n">
        <v>0</v>
      </c>
      <c r="J147" s="62" t="n">
        <v>0</v>
      </c>
      <c r="K147" s="62" t="n"/>
      <c r="L147" s="64" t="n"/>
    </row>
    <row r="148" ht="15" customHeight="1" s="44">
      <c r="A148" s="62" t="inlineStr">
        <is>
          <t>Y Combinator (Pyxaris)</t>
        </is>
      </c>
      <c r="B148" s="62" t="n">
        <v>1</v>
      </c>
      <c r="C148" s="62" t="n"/>
      <c r="D148" s="62" t="inlineStr">
        <is>
          <t>Unknown</t>
        </is>
      </c>
      <c r="E148" s="62" t="n"/>
      <c r="F148" s="62" t="n">
        <v>0</v>
      </c>
      <c r="G148" s="62" t="n">
        <v>0</v>
      </c>
      <c r="H148" s="62" t="n">
        <v>1</v>
      </c>
      <c r="I148" s="62" t="n">
        <v>0</v>
      </c>
      <c r="J148" s="62" t="n">
        <v>0</v>
      </c>
      <c r="K148" s="62" t="n"/>
      <c r="L148" s="64" t="n"/>
    </row>
    <row r="149" ht="15" customHeight="1" s="44">
      <c r="A149" s="62" t="inlineStr">
        <is>
          <t>AstraZeneca</t>
        </is>
      </c>
      <c r="B149" s="62" t="n">
        <v>1</v>
      </c>
      <c r="C149" s="62" t="n">
        <v>78</v>
      </c>
      <c r="D149" s="62" t="inlineStr">
        <is>
          <t>No</t>
        </is>
      </c>
      <c r="E149" s="62" t="inlineStr">
        <is>
          <t>Canada</t>
        </is>
      </c>
      <c r="F149" s="62" t="n">
        <v>1</v>
      </c>
      <c r="G149" s="62" t="n">
        <v>0</v>
      </c>
      <c r="H149" s="62" t="n">
        <v>0</v>
      </c>
      <c r="I149" s="62" t="n">
        <v>0</v>
      </c>
      <c r="J149" s="62" t="n">
        <v>0</v>
      </c>
      <c r="K149" s="62" t="n">
        <v>7</v>
      </c>
      <c r="L149" s="64" t="n"/>
    </row>
    <row r="150" ht="15" customHeight="1" s="44">
      <c r="A150" s="62" t="inlineStr">
        <is>
          <t>CentriLogic</t>
        </is>
      </c>
      <c r="B150" s="62" t="n">
        <v>1</v>
      </c>
      <c r="C150" s="62" t="n">
        <v>82</v>
      </c>
      <c r="D150" s="62" t="inlineStr">
        <is>
          <t>No</t>
        </is>
      </c>
      <c r="E150" s="62" t="inlineStr">
        <is>
          <t>Canada</t>
        </is>
      </c>
      <c r="F150" s="62" t="n">
        <v>0</v>
      </c>
      <c r="G150" s="62" t="n">
        <v>0</v>
      </c>
      <c r="H150" s="62" t="n">
        <v>1</v>
      </c>
      <c r="I150" s="62" t="n">
        <v>0</v>
      </c>
      <c r="J150" s="62" t="n">
        <v>0</v>
      </c>
      <c r="K150" s="62" t="n"/>
      <c r="L150" s="64" t="n"/>
    </row>
    <row r="151" ht="15" customHeight="1" s="44">
      <c r="A151" s="62" t="inlineStr">
        <is>
          <t>TMX Group</t>
        </is>
      </c>
      <c r="B151" s="62" t="n">
        <v>1</v>
      </c>
      <c r="C151" s="62" t="n">
        <v>85</v>
      </c>
      <c r="D151" s="62" t="inlineStr">
        <is>
          <t>No</t>
        </is>
      </c>
      <c r="E151" s="62" t="inlineStr">
        <is>
          <t>Canada</t>
        </is>
      </c>
      <c r="F151" s="62" t="n">
        <v>0</v>
      </c>
      <c r="G151" s="62" t="n">
        <v>0</v>
      </c>
      <c r="H151" s="62" t="n">
        <v>1</v>
      </c>
      <c r="I151" s="62" t="n">
        <v>0</v>
      </c>
      <c r="J151" s="62" t="n">
        <v>0</v>
      </c>
      <c r="K151" s="62" t="n"/>
      <c r="L151" s="64" t="n"/>
    </row>
    <row r="152" ht="15" customHeight="1" s="44">
      <c r="A152" s="62" t="inlineStr">
        <is>
          <t>Harvey</t>
        </is>
      </c>
      <c r="B152" s="62" t="n">
        <v>1</v>
      </c>
      <c r="C152" s="62" t="n">
        <v>45</v>
      </c>
      <c r="D152" s="62" t="inlineStr">
        <is>
          <t>Yes</t>
        </is>
      </c>
      <c r="E152" s="62" t="inlineStr">
        <is>
          <t>US</t>
        </is>
      </c>
      <c r="F152" s="62" t="n">
        <v>1</v>
      </c>
      <c r="G152" s="62" t="n">
        <v>0</v>
      </c>
      <c r="H152" s="62" t="n">
        <v>0</v>
      </c>
      <c r="I152" s="62" t="n">
        <v>0</v>
      </c>
      <c r="J152" s="62" t="n">
        <v>0</v>
      </c>
      <c r="K152" s="62" t="n">
        <v>19</v>
      </c>
      <c r="L152" s="64" t="n"/>
    </row>
    <row r="153" ht="15" customHeight="1" s="44">
      <c r="A153" s="62" t="inlineStr">
        <is>
          <t>BMO</t>
        </is>
      </c>
      <c r="B153" s="62" t="n">
        <v>1</v>
      </c>
      <c r="C153" s="62" t="n">
        <v>80</v>
      </c>
      <c r="D153" s="62" t="inlineStr">
        <is>
          <t>No</t>
        </is>
      </c>
      <c r="E153" s="62" t="inlineStr">
        <is>
          <t>Canada</t>
        </is>
      </c>
      <c r="F153" s="62" t="n">
        <v>1</v>
      </c>
      <c r="G153" s="62" t="n">
        <v>0</v>
      </c>
      <c r="H153" s="62" t="n">
        <v>0</v>
      </c>
      <c r="I153" s="62" t="n">
        <v>0</v>
      </c>
      <c r="J153" s="62" t="n">
        <v>0</v>
      </c>
      <c r="K153" s="62" t="n">
        <v>9</v>
      </c>
      <c r="L153" s="64" t="n"/>
    </row>
    <row r="154" ht="15" customHeight="1" s="44">
      <c r="A154" s="62" t="inlineStr">
        <is>
          <t>Rocket Companies</t>
        </is>
      </c>
      <c r="B154" s="62" t="n">
        <v>1</v>
      </c>
      <c r="C154" s="62" t="n">
        <v>68</v>
      </c>
      <c r="D154" s="62" t="inlineStr">
        <is>
          <t>Yes</t>
        </is>
      </c>
      <c r="E154" s="62" t="inlineStr">
        <is>
          <t>US</t>
        </is>
      </c>
      <c r="F154" s="62" t="n">
        <v>0</v>
      </c>
      <c r="G154" s="62" t="n">
        <v>0</v>
      </c>
      <c r="H154" s="62" t="n">
        <v>1</v>
      </c>
      <c r="I154" s="62" t="n">
        <v>0</v>
      </c>
      <c r="J154" s="62" t="n">
        <v>0</v>
      </c>
      <c r="K154" s="62" t="n"/>
      <c r="L154" s="64" t="n"/>
    </row>
    <row r="155" ht="15" customHeight="1" s="44">
      <c r="A155" s="62" t="inlineStr">
        <is>
          <t>Redfin</t>
        </is>
      </c>
      <c r="B155" s="62" t="n">
        <v>1</v>
      </c>
      <c r="C155" s="62" t="n">
        <v>68</v>
      </c>
      <c r="D155" s="62" t="inlineStr">
        <is>
          <t>Yes</t>
        </is>
      </c>
      <c r="E155" s="62" t="inlineStr">
        <is>
          <t>US</t>
        </is>
      </c>
      <c r="F155" s="62" t="n">
        <v>1</v>
      </c>
      <c r="G155" s="62" t="n">
        <v>0</v>
      </c>
      <c r="H155" s="62" t="n">
        <v>0</v>
      </c>
      <c r="I155" s="62" t="n">
        <v>0</v>
      </c>
      <c r="J155" s="62" t="n">
        <v>0</v>
      </c>
      <c r="K155" s="62" t="n">
        <v>34</v>
      </c>
      <c r="L155" s="64" t="n"/>
    </row>
    <row r="156" ht="15" customHeight="1" s="44">
      <c r="A156" s="62" t="inlineStr">
        <is>
          <t>Stanley Black &amp; Decker</t>
        </is>
      </c>
      <c r="B156" s="62" t="n">
        <v>1</v>
      </c>
      <c r="C156" s="62" t="n">
        <v>77</v>
      </c>
      <c r="D156" s="62" t="inlineStr">
        <is>
          <t>No</t>
        </is>
      </c>
      <c r="E156" s="62" t="inlineStr">
        <is>
          <t>Canada</t>
        </is>
      </c>
      <c r="F156" s="62" t="n">
        <v>0</v>
      </c>
      <c r="G156" s="62" t="n">
        <v>0</v>
      </c>
      <c r="H156" s="62" t="n">
        <v>1</v>
      </c>
      <c r="I156" s="62" t="n">
        <v>0</v>
      </c>
      <c r="J156" s="62" t="n">
        <v>0</v>
      </c>
      <c r="K156" s="62" t="n"/>
      <c r="L156" s="64" t="n"/>
    </row>
    <row r="157" ht="15" customHeight="1" s="44">
      <c r="A157" s="62" t="inlineStr">
        <is>
          <t>RAVL</t>
        </is>
      </c>
      <c r="B157" s="62" t="n">
        <v>1</v>
      </c>
      <c r="C157" s="62" t="n">
        <v>84</v>
      </c>
      <c r="D157" s="62" t="inlineStr">
        <is>
          <t>No</t>
        </is>
      </c>
      <c r="E157" s="62" t="inlineStr">
        <is>
          <t>Canada</t>
        </is>
      </c>
      <c r="F157" s="62" t="n">
        <v>0</v>
      </c>
      <c r="G157" s="62" t="n">
        <v>0</v>
      </c>
      <c r="H157" s="62" t="n">
        <v>1</v>
      </c>
      <c r="I157" s="62" t="n">
        <v>0</v>
      </c>
      <c r="J157" s="62" t="n">
        <v>0</v>
      </c>
      <c r="K157" s="62" t="n"/>
      <c r="L157" s="64" t="n"/>
    </row>
    <row r="158" ht="15" customHeight="1" s="44">
      <c r="A158" s="62" t="inlineStr">
        <is>
          <t>Pivotree</t>
        </is>
      </c>
      <c r="B158" s="62" t="n">
        <v>1</v>
      </c>
      <c r="C158" s="62" t="n">
        <v>68</v>
      </c>
      <c r="D158" s="62" t="inlineStr">
        <is>
          <t>No</t>
        </is>
      </c>
      <c r="E158" s="62" t="inlineStr">
        <is>
          <t>Canada</t>
        </is>
      </c>
      <c r="F158" s="62" t="n">
        <v>0</v>
      </c>
      <c r="G158" s="62" t="n">
        <v>0</v>
      </c>
      <c r="H158" s="62" t="n">
        <v>1</v>
      </c>
      <c r="I158" s="62" t="n">
        <v>0</v>
      </c>
      <c r="J158" s="62" t="n">
        <v>0</v>
      </c>
      <c r="K158" s="62" t="n"/>
      <c r="L158" s="64" t="n"/>
    </row>
    <row r="159" ht="15" customHeight="1" s="44">
      <c r="A159" s="62" t="inlineStr">
        <is>
          <t>API (company name unconfirmed)</t>
        </is>
      </c>
      <c r="B159" s="62" t="n">
        <v>1</v>
      </c>
      <c r="C159" s="62" t="n">
        <v>72</v>
      </c>
      <c r="D159" s="62" t="inlineStr">
        <is>
          <t>No</t>
        </is>
      </c>
      <c r="E159" s="62" t="inlineStr">
        <is>
          <t>Canada</t>
        </is>
      </c>
      <c r="F159" s="62" t="n">
        <v>0</v>
      </c>
      <c r="G159" s="62" t="n">
        <v>0</v>
      </c>
      <c r="H159" s="62" t="n">
        <v>1</v>
      </c>
      <c r="I159" s="62" t="n">
        <v>0</v>
      </c>
      <c r="J159" s="62" t="n">
        <v>0</v>
      </c>
      <c r="K159" s="62" t="n"/>
      <c r="L159" s="64" t="n"/>
    </row>
    <row r="160" ht="15" customHeight="1" s="44">
      <c r="A160" s="62" t="inlineStr">
        <is>
          <t>Brydon Gama</t>
        </is>
      </c>
      <c r="B160" s="62" t="n">
        <v>1</v>
      </c>
      <c r="C160" s="62" t="n">
        <v>78</v>
      </c>
      <c r="D160" s="62" t="inlineStr">
        <is>
          <t>No</t>
        </is>
      </c>
      <c r="E160" s="62" t="inlineStr">
        <is>
          <t>Canada</t>
        </is>
      </c>
      <c r="F160" s="62" t="n">
        <v>0</v>
      </c>
      <c r="G160" s="62" t="n">
        <v>1</v>
      </c>
      <c r="H160" s="62" t="n">
        <v>0</v>
      </c>
      <c r="I160" s="62" t="n">
        <v>0</v>
      </c>
      <c r="J160" s="62" t="n">
        <v>0</v>
      </c>
      <c r="K160" s="62" t="n"/>
      <c r="L160" s="64" t="inlineStr">
        <is>
          <t>$93,000–$125,000</t>
        </is>
      </c>
    </row>
    <row r="161" ht="15" customHeight="1" s="44">
      <c r="A161" s="62" t="inlineStr">
        <is>
          <t>OMERS/Oxford Properties</t>
        </is>
      </c>
      <c r="B161" s="62" t="n">
        <v>1</v>
      </c>
      <c r="C161" s="62" t="n"/>
      <c r="D161" s="62" t="inlineStr">
        <is>
          <t>Unknown</t>
        </is>
      </c>
      <c r="E161" s="62" t="n"/>
      <c r="F161" s="62" t="n">
        <v>0</v>
      </c>
      <c r="G161" s="62" t="n">
        <v>0</v>
      </c>
      <c r="H161" s="62" t="n">
        <v>1</v>
      </c>
      <c r="I161" s="62" t="n">
        <v>0</v>
      </c>
      <c r="J161" s="62" t="n">
        <v>0</v>
      </c>
      <c r="K161" s="62" t="n"/>
      <c r="L161" s="64" t="n"/>
    </row>
    <row r="162" ht="15" customHeight="1" s="44">
      <c r="A162" s="62" t="inlineStr">
        <is>
          <t>Celonis</t>
        </is>
      </c>
      <c r="B162" s="62" t="n">
        <v>1</v>
      </c>
      <c r="C162" s="62" t="n"/>
      <c r="D162" s="62" t="inlineStr">
        <is>
          <t>Unknown</t>
        </is>
      </c>
      <c r="E162" s="62" t="n"/>
      <c r="F162" s="62" t="n">
        <v>0</v>
      </c>
      <c r="G162" s="62" t="n">
        <v>0</v>
      </c>
      <c r="H162" s="62" t="n">
        <v>0</v>
      </c>
      <c r="I162" s="62" t="n">
        <v>1</v>
      </c>
      <c r="J162" s="62" t="n">
        <v>0</v>
      </c>
      <c r="K162" s="62" t="n"/>
      <c r="L162" s="64" t="n"/>
    </row>
    <row r="163" ht="15" customHeight="1" s="44">
      <c r="A163" s="62" t="inlineStr">
        <is>
          <t>Veriforce</t>
        </is>
      </c>
      <c r="B163" s="62" t="n">
        <v>1</v>
      </c>
      <c r="C163" s="62" t="n">
        <v>75</v>
      </c>
      <c r="D163" s="62" t="inlineStr">
        <is>
          <t>No</t>
        </is>
      </c>
      <c r="E163" s="62" t="inlineStr">
        <is>
          <t>Canada</t>
        </is>
      </c>
      <c r="F163" s="62" t="n">
        <v>0</v>
      </c>
      <c r="G163" s="62" t="n">
        <v>0</v>
      </c>
      <c r="H163" s="62" t="n">
        <v>1</v>
      </c>
      <c r="I163" s="62" t="n">
        <v>0</v>
      </c>
      <c r="J163" s="62" t="n">
        <v>0</v>
      </c>
      <c r="K163" s="62" t="n"/>
      <c r="L163" s="64" t="inlineStr">
        <is>
          <t>$130,000-150,000</t>
        </is>
      </c>
    </row>
    <row r="164" ht="15" customHeight="1" s="44">
      <c r="A164" s="62" t="inlineStr">
        <is>
          <t>Alcumus</t>
        </is>
      </c>
      <c r="B164" s="62" t="n">
        <v>1</v>
      </c>
      <c r="C164" s="62" t="n"/>
      <c r="D164" s="62" t="inlineStr">
        <is>
          <t>Unknown</t>
        </is>
      </c>
      <c r="E164" s="62" t="n"/>
      <c r="F164" s="62" t="n">
        <v>0</v>
      </c>
      <c r="G164" s="62" t="n">
        <v>0</v>
      </c>
      <c r="H164" s="62" t="n">
        <v>1</v>
      </c>
      <c r="I164" s="62" t="n">
        <v>0</v>
      </c>
      <c r="J164" s="62" t="n">
        <v>0</v>
      </c>
      <c r="K164" s="62" t="n"/>
      <c r="L164" s="64" t="n"/>
    </row>
    <row r="165" ht="15" customHeight="1" s="44">
      <c r="A165" s="62" t="inlineStr">
        <is>
          <t>Xplore Inc</t>
        </is>
      </c>
      <c r="B165" s="62" t="n">
        <v>1</v>
      </c>
      <c r="C165" s="62" t="n"/>
      <c r="D165" s="62" t="inlineStr">
        <is>
          <t>Unknown</t>
        </is>
      </c>
      <c r="E165" s="62" t="n"/>
      <c r="F165" s="62" t="n">
        <v>0</v>
      </c>
      <c r="G165" s="62" t="n">
        <v>0</v>
      </c>
      <c r="H165" s="62" t="n">
        <v>1</v>
      </c>
      <c r="I165" s="62" t="n">
        <v>0</v>
      </c>
      <c r="J165" s="62" t="n">
        <v>0</v>
      </c>
      <c r="K165" s="62" t="n"/>
      <c r="L165" s="64" t="n"/>
    </row>
    <row r="166" ht="15" customHeight="1" s="44">
      <c r="A166" s="62" t="inlineStr">
        <is>
          <t>Sun Life</t>
        </is>
      </c>
      <c r="B166" s="62" t="n">
        <v>1</v>
      </c>
      <c r="C166" s="62" t="n">
        <v>65</v>
      </c>
      <c r="D166" s="62" t="inlineStr">
        <is>
          <t>No</t>
        </is>
      </c>
      <c r="E166" s="62" t="inlineStr">
        <is>
          <t>Canada</t>
        </is>
      </c>
      <c r="F166" s="62" t="n">
        <v>0</v>
      </c>
      <c r="G166" s="62" t="n">
        <v>0</v>
      </c>
      <c r="H166" s="62" t="n">
        <v>1</v>
      </c>
      <c r="I166" s="62" t="n">
        <v>0</v>
      </c>
      <c r="J166" s="62" t="n">
        <v>0</v>
      </c>
      <c r="K166" s="62" t="n"/>
      <c r="L166" s="64" t="n"/>
    </row>
    <row r="167" ht="15" customHeight="1" s="44">
      <c r="A167" s="62" t="inlineStr">
        <is>
          <t>Klick Health</t>
        </is>
      </c>
      <c r="B167" s="62" t="n">
        <v>1</v>
      </c>
      <c r="C167" s="62" t="n">
        <v>70</v>
      </c>
      <c r="D167" s="62" t="inlineStr">
        <is>
          <t>No</t>
        </is>
      </c>
      <c r="E167" s="62" t="inlineStr">
        <is>
          <t>Canada</t>
        </is>
      </c>
      <c r="F167" s="62" t="n">
        <v>0</v>
      </c>
      <c r="G167" s="62" t="n">
        <v>0</v>
      </c>
      <c r="H167" s="62" t="n">
        <v>1</v>
      </c>
      <c r="I167" s="62" t="n">
        <v>0</v>
      </c>
      <c r="J167" s="62" t="n">
        <v>0</v>
      </c>
      <c r="K167" s="62" t="n"/>
      <c r="L167" s="64" t="n"/>
    </row>
    <row r="168" ht="15" customHeight="1" s="44">
      <c r="A168" s="62" t="inlineStr">
        <is>
          <t>Parloa</t>
        </is>
      </c>
      <c r="B168" s="62" t="n">
        <v>1</v>
      </c>
      <c r="C168" s="62" t="n"/>
      <c r="D168" s="62" t="inlineStr">
        <is>
          <t>Unknown</t>
        </is>
      </c>
      <c r="E168" s="62" t="n"/>
      <c r="F168" s="62" t="n">
        <v>0</v>
      </c>
      <c r="G168" s="62" t="n">
        <v>0</v>
      </c>
      <c r="H168" s="62" t="n">
        <v>1</v>
      </c>
      <c r="I168" s="62" t="n">
        <v>0</v>
      </c>
      <c r="J168" s="62" t="n">
        <v>0</v>
      </c>
      <c r="K168" s="62" t="n"/>
      <c r="L168" s="64" t="n"/>
    </row>
    <row r="169" ht="15" customHeight="1" s="44">
      <c r="A169" s="62" t="inlineStr">
        <is>
          <t>Prenuvo</t>
        </is>
      </c>
      <c r="B169" s="62" t="n">
        <v>1</v>
      </c>
      <c r="C169" s="62" t="n">
        <v>60</v>
      </c>
      <c r="D169" s="62" t="inlineStr">
        <is>
          <t>No</t>
        </is>
      </c>
      <c r="E169" s="62" t="inlineStr">
        <is>
          <t>Canada</t>
        </is>
      </c>
      <c r="F169" s="62" t="n">
        <v>1</v>
      </c>
      <c r="G169" s="62" t="n">
        <v>0</v>
      </c>
      <c r="H169" s="62" t="n">
        <v>0</v>
      </c>
      <c r="I169" s="62" t="n">
        <v>0</v>
      </c>
      <c r="J169" s="62" t="n">
        <v>0</v>
      </c>
      <c r="K169" s="62" t="n">
        <v>15</v>
      </c>
      <c r="L169" s="64" t="n"/>
    </row>
    <row r="170" ht="15" customHeight="1" s="44">
      <c r="A170" s="62" t="inlineStr">
        <is>
          <t>Martyn Bassett Associates</t>
        </is>
      </c>
      <c r="B170" s="62" t="n">
        <v>1</v>
      </c>
      <c r="C170" s="62" t="n">
        <v>20</v>
      </c>
      <c r="D170" s="62" t="inlineStr">
        <is>
          <t>No</t>
        </is>
      </c>
      <c r="E170" s="62" t="inlineStr">
        <is>
          <t>Canada</t>
        </is>
      </c>
      <c r="F170" s="62" t="n">
        <v>0</v>
      </c>
      <c r="G170" s="62" t="n">
        <v>0</v>
      </c>
      <c r="H170" s="62" t="n">
        <v>1</v>
      </c>
      <c r="I170" s="62" t="n">
        <v>0</v>
      </c>
      <c r="J170" s="62" t="n">
        <v>0</v>
      </c>
      <c r="K170" s="62" t="n"/>
      <c r="L170" s="64" t="n"/>
    </row>
    <row r="171" ht="15" customHeight="1" s="44">
      <c r="A171" s="62" t="inlineStr">
        <is>
          <t>lululemon</t>
        </is>
      </c>
      <c r="B171" s="62" t="n">
        <v>1</v>
      </c>
      <c r="C171" s="62" t="n">
        <v>55</v>
      </c>
      <c r="D171" s="62" t="inlineStr">
        <is>
          <t>No</t>
        </is>
      </c>
      <c r="E171" s="62" t="inlineStr">
        <is>
          <t>Canada</t>
        </is>
      </c>
      <c r="F171" s="62" t="n">
        <v>0</v>
      </c>
      <c r="G171" s="62" t="n">
        <v>0</v>
      </c>
      <c r="H171" s="62" t="n">
        <v>1</v>
      </c>
      <c r="I171" s="62" t="n">
        <v>0</v>
      </c>
      <c r="J171" s="62" t="n">
        <v>0</v>
      </c>
      <c r="K171" s="62" t="n"/>
      <c r="L171" s="64" t="n"/>
    </row>
    <row r="172" ht="15" customHeight="1" s="44">
      <c r="A172" s="62" t="inlineStr">
        <is>
          <t>Randstad Digital</t>
        </is>
      </c>
      <c r="B172" s="62" t="n">
        <v>1</v>
      </c>
      <c r="C172" s="62" t="n">
        <v>40</v>
      </c>
      <c r="D172" s="62" t="inlineStr">
        <is>
          <t>No</t>
        </is>
      </c>
      <c r="E172" s="62" t="inlineStr">
        <is>
          <t>Canada</t>
        </is>
      </c>
      <c r="F172" s="62" t="n">
        <v>0</v>
      </c>
      <c r="G172" s="62" t="n">
        <v>0</v>
      </c>
      <c r="H172" s="62" t="n">
        <v>1</v>
      </c>
      <c r="I172" s="62" t="n">
        <v>0</v>
      </c>
      <c r="J172" s="62" t="n">
        <v>0</v>
      </c>
      <c r="K172" s="62" t="n"/>
      <c r="L172" s="64" t="inlineStr">
        <is>
          <t>$100; $20</t>
        </is>
      </c>
    </row>
    <row r="173" ht="15" customHeight="1" s="44">
      <c r="A173" s="62" t="inlineStr">
        <is>
          <t>Canadian Tire Group of Companies</t>
        </is>
      </c>
      <c r="B173" s="62" t="n">
        <v>1</v>
      </c>
      <c r="C173" s="62" t="n">
        <v>75</v>
      </c>
      <c r="D173" s="62" t="inlineStr">
        <is>
          <t>No</t>
        </is>
      </c>
      <c r="E173" s="62" t="inlineStr">
        <is>
          <t>Canada</t>
        </is>
      </c>
      <c r="F173" s="62" t="n">
        <v>1</v>
      </c>
      <c r="G173" s="62" t="n">
        <v>0</v>
      </c>
      <c r="H173" s="62" t="n">
        <v>0</v>
      </c>
      <c r="I173" s="62" t="n">
        <v>0</v>
      </c>
      <c r="J173" s="62" t="n">
        <v>0</v>
      </c>
      <c r="K173" s="62" t="n">
        <v>19</v>
      </c>
      <c r="L173" s="64" t="n"/>
    </row>
    <row r="174" ht="15" customHeight="1" s="44">
      <c r="A174" s="62" t="inlineStr">
        <is>
          <t>EY / EY-Parthenon</t>
        </is>
      </c>
      <c r="B174" s="62" t="n">
        <v>1</v>
      </c>
      <c r="C174" s="62" t="n"/>
      <c r="D174" s="62" t="inlineStr">
        <is>
          <t>Unknown</t>
        </is>
      </c>
      <c r="E174" s="62" t="n"/>
      <c r="F174" s="62" t="n">
        <v>0</v>
      </c>
      <c r="G174" s="62" t="n">
        <v>0</v>
      </c>
      <c r="H174" s="62" t="n">
        <v>1</v>
      </c>
      <c r="I174" s="62" t="n">
        <v>0</v>
      </c>
      <c r="J174" s="62" t="n">
        <v>0</v>
      </c>
      <c r="K174" s="62" t="n"/>
      <c r="L174" s="64" t="n"/>
    </row>
    <row r="175" ht="15" customHeight="1" s="44">
      <c r="A175" s="62" t="inlineStr">
        <is>
          <t>Y Combinator</t>
        </is>
      </c>
      <c r="B175" s="62" t="n">
        <v>1</v>
      </c>
      <c r="C175" s="62" t="n"/>
      <c r="D175" s="62" t="inlineStr">
        <is>
          <t>Unknown</t>
        </is>
      </c>
      <c r="E175" s="62" t="n"/>
      <c r="F175" s="62" t="n">
        <v>1</v>
      </c>
      <c r="G175" s="62" t="n">
        <v>0</v>
      </c>
      <c r="H175" s="62" t="n">
        <v>0</v>
      </c>
      <c r="I175" s="62" t="n">
        <v>0</v>
      </c>
      <c r="J175" s="62" t="n">
        <v>0</v>
      </c>
      <c r="K175" s="62" t="n"/>
      <c r="L175" s="64" t="n"/>
    </row>
    <row r="176" ht="15" customHeight="1" s="44">
      <c r="A176" s="62" t="inlineStr">
        <is>
          <t>Conquest Planning</t>
        </is>
      </c>
      <c r="B176" s="62" t="n">
        <v>1</v>
      </c>
      <c r="C176" s="62" t="n">
        <v>80</v>
      </c>
      <c r="D176" s="62" t="inlineStr">
        <is>
          <t>No</t>
        </is>
      </c>
      <c r="E176" s="62" t="inlineStr">
        <is>
          <t>Canada</t>
        </is>
      </c>
      <c r="F176" s="62" t="n">
        <v>0</v>
      </c>
      <c r="G176" s="62" t="n">
        <v>0</v>
      </c>
      <c r="H176" s="62" t="n">
        <v>1</v>
      </c>
      <c r="I176" s="62" t="n">
        <v>0</v>
      </c>
      <c r="J176" s="62" t="n">
        <v>0</v>
      </c>
      <c r="K176" s="62" t="n"/>
      <c r="L176" s="64" t="n"/>
    </row>
    <row r="177" ht="15" customHeight="1" s="44">
      <c r="A177" s="62" t="inlineStr">
        <is>
          <t>Intellibus Consulting</t>
        </is>
      </c>
      <c r="B177" s="62" t="n">
        <v>1</v>
      </c>
      <c r="C177" s="62" t="n">
        <v>45</v>
      </c>
      <c r="D177" s="62" t="inlineStr">
        <is>
          <t>No</t>
        </is>
      </c>
      <c r="E177" s="62" t="inlineStr">
        <is>
          <t>Canada</t>
        </is>
      </c>
      <c r="F177" s="62" t="n">
        <v>0</v>
      </c>
      <c r="G177" s="62" t="n">
        <v>0</v>
      </c>
      <c r="H177" s="62" t="n">
        <v>1</v>
      </c>
      <c r="I177" s="62" t="n">
        <v>0</v>
      </c>
      <c r="J177" s="62" t="n">
        <v>0</v>
      </c>
      <c r="K177" s="62" t="n"/>
      <c r="L177" s="64" t="inlineStr">
        <is>
          <t>$100-110</t>
        </is>
      </c>
    </row>
    <row r="178" ht="15" customHeight="1" s="44">
      <c r="A178" s="62" t="inlineStr">
        <is>
          <t>Future Secure AI</t>
        </is>
      </c>
      <c r="B178" s="62" t="n">
        <v>1</v>
      </c>
      <c r="C178" s="62" t="n"/>
      <c r="D178" s="62" t="inlineStr">
        <is>
          <t>No</t>
        </is>
      </c>
      <c r="E178" s="62" t="inlineStr">
        <is>
          <t>Canada</t>
        </is>
      </c>
      <c r="F178" s="62" t="n">
        <v>0</v>
      </c>
      <c r="G178" s="62" t="n">
        <v>0</v>
      </c>
      <c r="H178" s="62" t="n">
        <v>1</v>
      </c>
      <c r="I178" s="62" t="n">
        <v>0</v>
      </c>
      <c r="J178" s="62" t="n">
        <v>0</v>
      </c>
      <c r="K178" s="62" t="n"/>
      <c r="L178" s="64" t="n"/>
    </row>
    <row r="179" ht="15" customHeight="1" s="44">
      <c r="A179" s="62" t="inlineStr">
        <is>
          <t>Stepful</t>
        </is>
      </c>
      <c r="B179" s="62" t="n">
        <v>1</v>
      </c>
      <c r="C179" s="62" t="n">
        <v>45</v>
      </c>
      <c r="D179" s="62" t="inlineStr">
        <is>
          <t>Yes</t>
        </is>
      </c>
      <c r="E179" s="62" t="inlineStr">
        <is>
          <t>US</t>
        </is>
      </c>
      <c r="F179" s="62" t="n">
        <v>1</v>
      </c>
      <c r="G179" s="62" t="n">
        <v>0</v>
      </c>
      <c r="H179" s="62" t="n">
        <v>0</v>
      </c>
      <c r="I179" s="62" t="n">
        <v>0</v>
      </c>
      <c r="J179" s="62" t="n">
        <v>0</v>
      </c>
      <c r="K179" s="62" t="n">
        <v>0</v>
      </c>
      <c r="L179" s="64" t="inlineStr">
        <is>
          <t>$191K-$254K</t>
        </is>
      </c>
    </row>
    <row r="180" ht="15" customHeight="1" s="44">
      <c r="A180" s="62" t="inlineStr">
        <is>
          <t>Apex Systems</t>
        </is>
      </c>
      <c r="B180" s="62" t="n">
        <v>1</v>
      </c>
      <c r="C180" s="62" t="n"/>
      <c r="D180" s="62" t="inlineStr">
        <is>
          <t>Unknown</t>
        </is>
      </c>
      <c r="E180" s="62" t="n"/>
      <c r="F180" s="62" t="n">
        <v>0</v>
      </c>
      <c r="G180" s="62" t="n">
        <v>0</v>
      </c>
      <c r="H180" s="62" t="n">
        <v>1</v>
      </c>
      <c r="I180" s="62" t="n">
        <v>0</v>
      </c>
      <c r="J180" s="62" t="n">
        <v>0</v>
      </c>
      <c r="K180" s="62" t="n"/>
      <c r="L180" s="64" t="n"/>
    </row>
    <row r="181" ht="15" customHeight="1" s="44">
      <c r="A181" s="62" t="inlineStr">
        <is>
          <t>CGI</t>
        </is>
      </c>
      <c r="B181" s="62" t="n">
        <v>1</v>
      </c>
      <c r="C181" s="62" t="n">
        <v>20</v>
      </c>
      <c r="D181" s="62" t="inlineStr">
        <is>
          <t>No</t>
        </is>
      </c>
      <c r="E181" s="62" t="inlineStr">
        <is>
          <t>Canada</t>
        </is>
      </c>
      <c r="F181" s="62" t="n">
        <v>0</v>
      </c>
      <c r="G181" s="62" t="n">
        <v>0</v>
      </c>
      <c r="H181" s="62" t="n">
        <v>1</v>
      </c>
      <c r="I181" s="62" t="n">
        <v>0</v>
      </c>
      <c r="J181" s="62" t="n">
        <v>0</v>
      </c>
      <c r="K181" s="62" t="n"/>
      <c r="L181" s="64" t="n"/>
    </row>
    <row r="182" ht="15" customHeight="1" s="44">
      <c r="A182" s="62" t="inlineStr">
        <is>
          <t>FacilityOS</t>
        </is>
      </c>
      <c r="B182" s="62" t="n">
        <v>1</v>
      </c>
      <c r="C182" s="62" t="n">
        <v>78</v>
      </c>
      <c r="D182" s="62" t="inlineStr">
        <is>
          <t>No</t>
        </is>
      </c>
      <c r="E182" s="62" t="inlineStr">
        <is>
          <t>Canada</t>
        </is>
      </c>
      <c r="F182" s="62" t="n">
        <v>0</v>
      </c>
      <c r="G182" s="62" t="n">
        <v>0</v>
      </c>
      <c r="H182" s="62" t="n">
        <v>1</v>
      </c>
      <c r="I182" s="62" t="n">
        <v>0</v>
      </c>
      <c r="J182" s="62" t="n">
        <v>0</v>
      </c>
      <c r="K182" s="62" t="n"/>
      <c r="L182" s="64" t="n"/>
    </row>
    <row r="183" ht="15" customHeight="1" s="44">
      <c r="A183" s="62" t="inlineStr">
        <is>
          <t>High Tech Genesis</t>
        </is>
      </c>
      <c r="B183" s="62" t="n">
        <v>1</v>
      </c>
      <c r="C183" s="62" t="n">
        <v>75</v>
      </c>
      <c r="D183" s="62" t="inlineStr">
        <is>
          <t>No</t>
        </is>
      </c>
      <c r="E183" s="62" t="inlineStr">
        <is>
          <t>Canada</t>
        </is>
      </c>
      <c r="F183" s="62" t="n">
        <v>0</v>
      </c>
      <c r="G183" s="62" t="n">
        <v>0</v>
      </c>
      <c r="H183" s="62" t="n">
        <v>1</v>
      </c>
      <c r="I183" s="62" t="n">
        <v>0</v>
      </c>
      <c r="J183" s="62" t="n">
        <v>0</v>
      </c>
      <c r="K183" s="62" t="n"/>
      <c r="L183" s="64" t="n"/>
    </row>
    <row r="184" ht="15" customHeight="1" s="44">
      <c r="A184" s="62" t="inlineStr">
        <is>
          <t>Mastercard</t>
        </is>
      </c>
      <c r="B184" s="62" t="n">
        <v>1</v>
      </c>
      <c r="C184" s="62" t="n">
        <v>78</v>
      </c>
      <c r="D184" s="62" t="inlineStr">
        <is>
          <t>No</t>
        </is>
      </c>
      <c r="E184" s="62" t="inlineStr">
        <is>
          <t>Canada</t>
        </is>
      </c>
      <c r="F184" s="62" t="n">
        <v>0</v>
      </c>
      <c r="G184" s="62" t="n">
        <v>0</v>
      </c>
      <c r="H184" s="62" t="n">
        <v>1</v>
      </c>
      <c r="I184" s="62" t="n">
        <v>0</v>
      </c>
      <c r="J184" s="62" t="n">
        <v>0</v>
      </c>
      <c r="K184" s="62" t="n"/>
      <c r="L184" s="64" t="n"/>
    </row>
    <row r="185" ht="15" customHeight="1" s="44">
      <c r="A185" s="62" t="inlineStr">
        <is>
          <t>Procom (agency) — Transportation client</t>
        </is>
      </c>
      <c r="B185" s="62" t="n">
        <v>1</v>
      </c>
      <c r="C185" s="62" t="n">
        <v>70</v>
      </c>
      <c r="D185" s="62" t="inlineStr">
        <is>
          <t>No</t>
        </is>
      </c>
      <c r="E185" s="62" t="inlineStr">
        <is>
          <t>Canada</t>
        </is>
      </c>
      <c r="F185" s="62" t="n">
        <v>0</v>
      </c>
      <c r="G185" s="62" t="n">
        <v>1</v>
      </c>
      <c r="H185" s="62" t="n">
        <v>0</v>
      </c>
      <c r="I185" s="62" t="n">
        <v>0</v>
      </c>
      <c r="J185" s="62" t="n">
        <v>0</v>
      </c>
      <c r="K185" s="62" t="n"/>
      <c r="L185" s="64" t="n"/>
    </row>
    <row r="186" ht="15" customHeight="1" s="44">
      <c r="A186" s="62" t="inlineStr">
        <is>
          <t>Procom (agency) — Consulting sector client (banking transformation)</t>
        </is>
      </c>
      <c r="B186" s="62" t="n">
        <v>1</v>
      </c>
      <c r="C186" s="62" t="n">
        <v>58</v>
      </c>
      <c r="D186" s="62" t="inlineStr">
        <is>
          <t>No</t>
        </is>
      </c>
      <c r="E186" s="62" t="inlineStr">
        <is>
          <t>Canada</t>
        </is>
      </c>
      <c r="F186" s="62" t="n">
        <v>0</v>
      </c>
      <c r="G186" s="62" t="n">
        <v>1</v>
      </c>
      <c r="H186" s="62" t="n">
        <v>0</v>
      </c>
      <c r="I186" s="62" t="n">
        <v>0</v>
      </c>
      <c r="J186" s="62" t="n">
        <v>0</v>
      </c>
      <c r="K186" s="62" t="n"/>
      <c r="L186" s="64" t="n"/>
    </row>
    <row r="187" ht="15" customHeight="1" s="44">
      <c r="A187" s="62" t="inlineStr">
        <is>
          <t>Robert Half (agency) — end client unknown</t>
        </is>
      </c>
      <c r="B187" s="62" t="n">
        <v>1</v>
      </c>
      <c r="C187" s="62" t="n">
        <v>62</v>
      </c>
      <c r="D187" s="62" t="inlineStr">
        <is>
          <t>No</t>
        </is>
      </c>
      <c r="E187" s="62" t="inlineStr">
        <is>
          <t>Canada</t>
        </is>
      </c>
      <c r="F187" s="62" t="n">
        <v>0</v>
      </c>
      <c r="G187" s="62" t="n">
        <v>0</v>
      </c>
      <c r="H187" s="62" t="n">
        <v>1</v>
      </c>
      <c r="I187" s="62" t="n">
        <v>0</v>
      </c>
      <c r="J187" s="62" t="n">
        <v>0</v>
      </c>
      <c r="K187" s="62" t="n"/>
      <c r="L187" s="64" t="n"/>
    </row>
    <row r="188" ht="15" customHeight="1" s="44">
      <c r="A188" s="62" t="inlineStr">
        <is>
          <t>SentinelOne</t>
        </is>
      </c>
      <c r="B188" s="62" t="n">
        <v>1</v>
      </c>
      <c r="C188" s="62" t="n">
        <v>58</v>
      </c>
      <c r="D188" s="62" t="inlineStr">
        <is>
          <t>Yes</t>
        </is>
      </c>
      <c r="E188" s="62" t="inlineStr">
        <is>
          <t>US</t>
        </is>
      </c>
      <c r="F188" s="62" t="n">
        <v>0</v>
      </c>
      <c r="G188" s="62" t="n">
        <v>0</v>
      </c>
      <c r="H188" s="62" t="n">
        <v>1</v>
      </c>
      <c r="I188" s="62" t="n">
        <v>0</v>
      </c>
      <c r="J188" s="62" t="n">
        <v>0</v>
      </c>
      <c r="K188" s="62" t="n"/>
      <c r="L188" s="64" t="n"/>
    </row>
    <row r="189" ht="15" customHeight="1" s="44">
      <c r="A189" s="62" t="inlineStr">
        <is>
          <t>SGA (Software Guidance &amp; Assistance) — Insurance services client</t>
        </is>
      </c>
      <c r="B189" s="62" t="n">
        <v>1</v>
      </c>
      <c r="C189" s="62" t="n">
        <v>70</v>
      </c>
      <c r="D189" s="62" t="inlineStr">
        <is>
          <t>Yes</t>
        </is>
      </c>
      <c r="E189" s="62" t="inlineStr">
        <is>
          <t>US</t>
        </is>
      </c>
      <c r="F189" s="62" t="n">
        <v>0</v>
      </c>
      <c r="G189" s="62" t="n">
        <v>0</v>
      </c>
      <c r="H189" s="62" t="n">
        <v>1</v>
      </c>
      <c r="I189" s="62" t="n">
        <v>0</v>
      </c>
      <c r="J189" s="62" t="n">
        <v>0</v>
      </c>
      <c r="K189" s="62" t="n"/>
      <c r="L189" s="64" t="n"/>
    </row>
    <row r="190" ht="15" customHeight="1" s="44">
      <c r="A190" s="62" t="inlineStr">
        <is>
          <t>Guidepoint</t>
        </is>
      </c>
      <c r="B190" s="62" t="n">
        <v>1</v>
      </c>
      <c r="C190" s="62" t="n">
        <v>40</v>
      </c>
      <c r="D190" s="62" t="inlineStr">
        <is>
          <t>No</t>
        </is>
      </c>
      <c r="E190" s="62" t="inlineStr">
        <is>
          <t>Canada</t>
        </is>
      </c>
      <c r="F190" s="62" t="n">
        <v>1</v>
      </c>
      <c r="G190" s="62" t="n">
        <v>0</v>
      </c>
      <c r="H190" s="62" t="n">
        <v>0</v>
      </c>
      <c r="I190" s="62" t="n">
        <v>0</v>
      </c>
      <c r="J190" s="62" t="n">
        <v>0</v>
      </c>
      <c r="K190" s="62" t="n">
        <v>2</v>
      </c>
      <c r="L190" s="64" t="n"/>
    </row>
    <row r="191" ht="15" customHeight="1" s="44">
      <c r="A191" s="62" t="inlineStr">
        <is>
          <t>Mitchell Martin, Inc.</t>
        </is>
      </c>
      <c r="B191" s="62" t="n">
        <v>1</v>
      </c>
      <c r="C191" s="62" t="n">
        <v>20</v>
      </c>
      <c r="D191" s="62" t="inlineStr">
        <is>
          <t>No</t>
        </is>
      </c>
      <c r="E191" s="62" t="inlineStr">
        <is>
          <t>Canada</t>
        </is>
      </c>
      <c r="F191" s="62" t="n">
        <v>0</v>
      </c>
      <c r="G191" s="62" t="n">
        <v>0</v>
      </c>
      <c r="H191" s="62" t="n">
        <v>1</v>
      </c>
      <c r="I191" s="62" t="n">
        <v>0</v>
      </c>
      <c r="J191" s="62" t="n">
        <v>0</v>
      </c>
      <c r="K191" s="62" t="n"/>
      <c r="L191" s="64" t="n"/>
    </row>
    <row r="192" ht="15" customHeight="1" s="44">
      <c r="A192" s="62" t="inlineStr">
        <is>
          <t>SVARA Software Solutions Inc</t>
        </is>
      </c>
      <c r="B192" s="62" t="n">
        <v>1</v>
      </c>
      <c r="C192" s="62" t="n">
        <v>55</v>
      </c>
      <c r="D192" s="62" t="inlineStr">
        <is>
          <t>Yes</t>
        </is>
      </c>
      <c r="E192" s="62" t="inlineStr">
        <is>
          <t>US</t>
        </is>
      </c>
      <c r="F192" s="62" t="n">
        <v>0</v>
      </c>
      <c r="G192" s="62" t="n">
        <v>0</v>
      </c>
      <c r="H192" s="62" t="n">
        <v>1</v>
      </c>
      <c r="I192" s="62" t="n">
        <v>0</v>
      </c>
      <c r="J192" s="62" t="n">
        <v>0</v>
      </c>
      <c r="K192" s="62" t="n"/>
      <c r="L192" s="64" t="n"/>
    </row>
    <row r="193" ht="15" customHeight="1" s="44">
      <c r="A193" s="62" t="inlineStr">
        <is>
          <t>Cloudious</t>
        </is>
      </c>
      <c r="B193" s="62" t="n">
        <v>1</v>
      </c>
      <c r="C193" s="62" t="n">
        <v>55</v>
      </c>
      <c r="D193" s="62" t="inlineStr">
        <is>
          <t>Yes</t>
        </is>
      </c>
      <c r="E193" s="62" t="inlineStr">
        <is>
          <t>US</t>
        </is>
      </c>
      <c r="F193" s="62" t="n">
        <v>0</v>
      </c>
      <c r="G193" s="62" t="n">
        <v>0</v>
      </c>
      <c r="H193" s="62" t="n">
        <v>1</v>
      </c>
      <c r="I193" s="62" t="n">
        <v>0</v>
      </c>
      <c r="J193" s="62" t="n">
        <v>0</v>
      </c>
      <c r="K193" s="62" t="n"/>
      <c r="L193" s="64" t="n"/>
    </row>
    <row r="194" ht="15" customHeight="1" s="44">
      <c r="A194" s="62" t="inlineStr">
        <is>
          <t>GC AI</t>
        </is>
      </c>
      <c r="B194" s="62" t="n">
        <v>1</v>
      </c>
      <c r="C194" s="62" t="n"/>
      <c r="D194" s="62" t="inlineStr">
        <is>
          <t>Yes</t>
        </is>
      </c>
      <c r="E194" s="62" t="inlineStr">
        <is>
          <t>US</t>
        </is>
      </c>
      <c r="F194" s="62" t="n">
        <v>0</v>
      </c>
      <c r="G194" s="62" t="n">
        <v>0</v>
      </c>
      <c r="H194" s="62" t="n">
        <v>1</v>
      </c>
      <c r="I194" s="62" t="n">
        <v>0</v>
      </c>
      <c r="J194" s="62" t="n">
        <v>0</v>
      </c>
      <c r="K194" s="62" t="n"/>
      <c r="L194" s="64" t="n"/>
    </row>
    <row r="195" ht="15" customHeight="1" s="44">
      <c r="A195" s="62" t="inlineStr">
        <is>
          <t>OpenTable</t>
        </is>
      </c>
      <c r="B195" s="62" t="n">
        <v>1</v>
      </c>
      <c r="C195" s="62" t="n"/>
      <c r="D195" s="62" t="inlineStr">
        <is>
          <t>No</t>
        </is>
      </c>
      <c r="E195" s="62" t="inlineStr">
        <is>
          <t>Canada</t>
        </is>
      </c>
      <c r="F195" s="62" t="n">
        <v>0</v>
      </c>
      <c r="G195" s="62" t="n">
        <v>0</v>
      </c>
      <c r="H195" s="62" t="n">
        <v>1</v>
      </c>
      <c r="I195" s="62" t="n">
        <v>0</v>
      </c>
      <c r="J195" s="62" t="n">
        <v>0</v>
      </c>
      <c r="K195" s="62" t="n"/>
      <c r="L195" s="64" t="n"/>
    </row>
    <row r="196" ht="15" customHeight="1" s="44">
      <c r="A196" s="62" t="inlineStr">
        <is>
          <t>CoLab Software</t>
        </is>
      </c>
      <c r="B196" s="62" t="n">
        <v>1</v>
      </c>
      <c r="C196" s="62" t="n">
        <v>62</v>
      </c>
      <c r="D196" s="62" t="inlineStr">
        <is>
          <t>No</t>
        </is>
      </c>
      <c r="E196" s="62" t="inlineStr">
        <is>
          <t>Canada</t>
        </is>
      </c>
      <c r="F196" s="62" t="n">
        <v>1</v>
      </c>
      <c r="G196" s="62" t="n">
        <v>0</v>
      </c>
      <c r="H196" s="62" t="n">
        <v>0</v>
      </c>
      <c r="I196" s="62" t="n">
        <v>0</v>
      </c>
      <c r="J196" s="62" t="n">
        <v>0</v>
      </c>
      <c r="K196" s="62" t="n">
        <v>5</v>
      </c>
      <c r="L196" s="64" t="n"/>
    </row>
    <row r="197" ht="15" customHeight="1" s="44">
      <c r="A197" s="62" t="inlineStr">
        <is>
          <t>ML6 Search + Talent Advisory</t>
        </is>
      </c>
      <c r="B197" s="62" t="n">
        <v>1</v>
      </c>
      <c r="C197" s="62" t="n"/>
      <c r="D197" s="62" t="inlineStr">
        <is>
          <t>No</t>
        </is>
      </c>
      <c r="E197" s="62" t="inlineStr">
        <is>
          <t>Canada</t>
        </is>
      </c>
      <c r="F197" s="62" t="n">
        <v>0</v>
      </c>
      <c r="G197" s="62" t="n">
        <v>0</v>
      </c>
      <c r="H197" s="62" t="n">
        <v>1</v>
      </c>
      <c r="I197" s="62" t="n">
        <v>0</v>
      </c>
      <c r="J197" s="62" t="n">
        <v>0</v>
      </c>
      <c r="K197" s="62" t="n"/>
      <c r="L197" s="64" t="n"/>
    </row>
    <row r="198" ht="15" customHeight="1" s="44">
      <c r="A198" s="62" t="inlineStr">
        <is>
          <t>Lightspeed</t>
        </is>
      </c>
      <c r="B198" s="62" t="n">
        <v>1</v>
      </c>
      <c r="C198" s="62" t="n">
        <v>78</v>
      </c>
      <c r="D198" s="62" t="inlineStr">
        <is>
          <t>No</t>
        </is>
      </c>
      <c r="E198" s="62" t="inlineStr">
        <is>
          <t>Canada</t>
        </is>
      </c>
      <c r="F198" s="62" t="n">
        <v>0</v>
      </c>
      <c r="G198" s="62" t="n">
        <v>0</v>
      </c>
      <c r="H198" s="62" t="n">
        <v>1</v>
      </c>
      <c r="I198" s="62" t="n">
        <v>0</v>
      </c>
      <c r="J198" s="62" t="n">
        <v>0</v>
      </c>
      <c r="K198" s="62" t="n"/>
      <c r="L198" s="64" t="n"/>
    </row>
    <row r="199" ht="15" customHeight="1" s="44">
      <c r="A199" s="62" t="inlineStr">
        <is>
          <t>Transcarent</t>
        </is>
      </c>
      <c r="B199" s="62" t="n">
        <v>1</v>
      </c>
      <c r="C199" s="62" t="n">
        <v>65</v>
      </c>
      <c r="D199" s="62" t="inlineStr">
        <is>
          <t>Yes</t>
        </is>
      </c>
      <c r="E199" s="62" t="inlineStr">
        <is>
          <t>US</t>
        </is>
      </c>
      <c r="F199" s="62" t="n">
        <v>0</v>
      </c>
      <c r="G199" s="62" t="n">
        <v>0</v>
      </c>
      <c r="H199" s="62" t="n">
        <v>1</v>
      </c>
      <c r="I199" s="62" t="n">
        <v>0</v>
      </c>
      <c r="J199" s="62" t="n">
        <v>0</v>
      </c>
      <c r="K199" s="62" t="n"/>
      <c r="L199" s="64" t="n"/>
    </row>
    <row r="200" ht="15" customHeight="1" s="44">
      <c r="A200" s="62" t="inlineStr">
        <is>
          <t>Snowflake</t>
        </is>
      </c>
      <c r="B200" s="62" t="n">
        <v>1</v>
      </c>
      <c r="C200" s="62" t="n">
        <v>75</v>
      </c>
      <c r="D200" s="62" t="inlineStr">
        <is>
          <t>Yes</t>
        </is>
      </c>
      <c r="E200" s="62" t="inlineStr">
        <is>
          <t>US</t>
        </is>
      </c>
      <c r="F200" s="62" t="n">
        <v>0</v>
      </c>
      <c r="G200" s="62" t="n">
        <v>0</v>
      </c>
      <c r="H200" s="62" t="n">
        <v>1</v>
      </c>
      <c r="I200" s="62" t="n">
        <v>0</v>
      </c>
      <c r="J200" s="62" t="n">
        <v>0</v>
      </c>
      <c r="K200" s="62" t="n"/>
      <c r="L200" s="64" t="n"/>
    </row>
    <row r="201" ht="15" customHeight="1" s="44">
      <c r="A201" s="62" t="inlineStr">
        <is>
          <t>Invesco</t>
        </is>
      </c>
      <c r="B201" s="62" t="n">
        <v>1</v>
      </c>
      <c r="C201" s="62" t="n">
        <v>82</v>
      </c>
      <c r="D201" s="62" t="inlineStr">
        <is>
          <t>Yes</t>
        </is>
      </c>
      <c r="E201" s="62" t="inlineStr">
        <is>
          <t>US</t>
        </is>
      </c>
      <c r="F201" s="62" t="n">
        <v>0</v>
      </c>
      <c r="G201" s="62" t="n">
        <v>0</v>
      </c>
      <c r="H201" s="62" t="n">
        <v>1</v>
      </c>
      <c r="I201" s="62" t="n">
        <v>0</v>
      </c>
      <c r="J201" s="62" t="n">
        <v>0</v>
      </c>
      <c r="K201" s="62" t="n"/>
      <c r="L201" s="64" t="n"/>
    </row>
    <row r="202" ht="15" customHeight="1" s="44">
      <c r="A202" s="62" t="inlineStr">
        <is>
          <t>Datadog</t>
        </is>
      </c>
      <c r="B202" s="62" t="n">
        <v>1</v>
      </c>
      <c r="C202" s="62" t="n">
        <v>78</v>
      </c>
      <c r="D202" s="62" t="inlineStr">
        <is>
          <t>Yes</t>
        </is>
      </c>
      <c r="E202" s="62" t="inlineStr">
        <is>
          <t>US</t>
        </is>
      </c>
      <c r="F202" s="62" t="n">
        <v>0</v>
      </c>
      <c r="G202" s="62" t="n">
        <v>0</v>
      </c>
      <c r="H202" s="62" t="n">
        <v>1</v>
      </c>
      <c r="I202" s="62" t="n">
        <v>0</v>
      </c>
      <c r="J202" s="62" t="n">
        <v>0</v>
      </c>
      <c r="K202" s="62" t="n"/>
      <c r="L202" s="64" t="n"/>
    </row>
    <row r="203" ht="15" customHeight="1" s="44">
      <c r="A203" s="62" t="inlineStr">
        <is>
          <t>Clearwater Analytics</t>
        </is>
      </c>
      <c r="B203" s="62" t="n">
        <v>1</v>
      </c>
      <c r="C203" s="62" t="n">
        <v>72</v>
      </c>
      <c r="D203" s="62" t="inlineStr">
        <is>
          <t>Yes</t>
        </is>
      </c>
      <c r="E203" s="62" t="inlineStr">
        <is>
          <t>US</t>
        </is>
      </c>
      <c r="F203" s="62" t="n">
        <v>0</v>
      </c>
      <c r="G203" s="62" t="n">
        <v>0</v>
      </c>
      <c r="H203" s="62" t="n">
        <v>1</v>
      </c>
      <c r="I203" s="62" t="n">
        <v>0</v>
      </c>
      <c r="J203" s="62" t="n">
        <v>0</v>
      </c>
      <c r="K203" s="62" t="n"/>
      <c r="L203" s="64" t="n"/>
    </row>
    <row r="204" ht="15" customHeight="1" s="44">
      <c r="A204" s="62" t="inlineStr">
        <is>
          <t>Miller Thomson LLP</t>
        </is>
      </c>
      <c r="B204" s="62" t="n">
        <v>1</v>
      </c>
      <c r="C204" s="62" t="n">
        <v>68</v>
      </c>
      <c r="D204" s="62" t="inlineStr">
        <is>
          <t>No</t>
        </is>
      </c>
      <c r="E204" s="62" t="inlineStr">
        <is>
          <t>Canada</t>
        </is>
      </c>
      <c r="F204" s="62" t="n">
        <v>0</v>
      </c>
      <c r="G204" s="62" t="n">
        <v>0</v>
      </c>
      <c r="H204" s="62" t="n">
        <v>1</v>
      </c>
      <c r="I204" s="62" t="n">
        <v>0</v>
      </c>
      <c r="J204" s="62" t="n">
        <v>0</v>
      </c>
      <c r="K204" s="62" t="n"/>
      <c r="L204" s="64" t="n"/>
    </row>
    <row r="205" ht="15" customHeight="1" s="44">
      <c r="A205" s="62" t="inlineStr">
        <is>
          <t>Intellias</t>
        </is>
      </c>
      <c r="B205" s="62" t="n">
        <v>1</v>
      </c>
      <c r="C205" s="62" t="n">
        <v>70</v>
      </c>
      <c r="D205" s="62" t="inlineStr">
        <is>
          <t>No</t>
        </is>
      </c>
      <c r="E205" s="62" t="inlineStr">
        <is>
          <t>Canada</t>
        </is>
      </c>
      <c r="F205" s="62" t="n">
        <v>0</v>
      </c>
      <c r="G205" s="62" t="n">
        <v>0</v>
      </c>
      <c r="H205" s="62" t="n">
        <v>1</v>
      </c>
      <c r="I205" s="62" t="n">
        <v>0</v>
      </c>
      <c r="J205" s="62" t="n">
        <v>0</v>
      </c>
      <c r="K205" s="62" t="n"/>
      <c r="L205" s="64" t="n"/>
    </row>
    <row r="206" ht="15" customHeight="1" s="44">
      <c r="A206" s="62" t="inlineStr">
        <is>
          <t>TELUS Health</t>
        </is>
      </c>
      <c r="B206" s="62" t="n">
        <v>1</v>
      </c>
      <c r="C206" s="62" t="n">
        <v>75</v>
      </c>
      <c r="D206" s="62" t="inlineStr">
        <is>
          <t>No</t>
        </is>
      </c>
      <c r="E206" s="62" t="inlineStr">
        <is>
          <t>Canada</t>
        </is>
      </c>
      <c r="F206" s="62" t="n">
        <v>0</v>
      </c>
      <c r="G206" s="62" t="n">
        <v>0</v>
      </c>
      <c r="H206" s="62" t="n">
        <v>1</v>
      </c>
      <c r="I206" s="62" t="n">
        <v>0</v>
      </c>
      <c r="J206" s="62" t="n">
        <v>0</v>
      </c>
      <c r="K206" s="62" t="n"/>
      <c r="L206" s="64" t="n"/>
    </row>
    <row r="207" ht="15" customHeight="1" s="44">
      <c r="A207" s="62" t="inlineStr">
        <is>
          <t>Rogers Communications</t>
        </is>
      </c>
      <c r="B207" s="62" t="n">
        <v>1</v>
      </c>
      <c r="C207" s="62" t="n">
        <v>70</v>
      </c>
      <c r="D207" s="62" t="inlineStr">
        <is>
          <t>No</t>
        </is>
      </c>
      <c r="E207" s="62" t="inlineStr">
        <is>
          <t>Canada</t>
        </is>
      </c>
      <c r="F207" s="62" t="n">
        <v>0</v>
      </c>
      <c r="G207" s="62" t="n">
        <v>0</v>
      </c>
      <c r="H207" s="62" t="n">
        <v>1</v>
      </c>
      <c r="I207" s="62" t="n">
        <v>0</v>
      </c>
      <c r="J207" s="62" t="n">
        <v>0</v>
      </c>
      <c r="K207" s="62" t="n"/>
      <c r="L207" s="64" t="n"/>
    </row>
    <row r="208" ht="15" customHeight="1" s="44">
      <c r="A208" s="62" t="inlineStr">
        <is>
          <t>Lantern</t>
        </is>
      </c>
      <c r="B208" s="62" t="n">
        <v>1</v>
      </c>
      <c r="C208" s="62" t="n">
        <v>72</v>
      </c>
      <c r="D208" s="62" t="inlineStr">
        <is>
          <t>No</t>
        </is>
      </c>
      <c r="E208" s="62" t="inlineStr">
        <is>
          <t>Canada</t>
        </is>
      </c>
      <c r="F208" s="62" t="n">
        <v>0</v>
      </c>
      <c r="G208" s="62" t="n">
        <v>0</v>
      </c>
      <c r="H208" s="62" t="n">
        <v>1</v>
      </c>
      <c r="I208" s="62" t="n">
        <v>0</v>
      </c>
      <c r="J208" s="62" t="n">
        <v>0</v>
      </c>
      <c r="K208" s="62" t="n"/>
      <c r="L208" s="64" t="n"/>
    </row>
    <row r="209" ht="15" customHeight="1" s="44">
      <c r="A209" s="62" t="inlineStr">
        <is>
          <t>Cella</t>
        </is>
      </c>
      <c r="B209" s="62" t="n">
        <v>1</v>
      </c>
      <c r="C209" s="62" t="n">
        <v>60</v>
      </c>
      <c r="D209" s="62" t="inlineStr">
        <is>
          <t>No</t>
        </is>
      </c>
      <c r="E209" s="62" t="inlineStr">
        <is>
          <t>Canada</t>
        </is>
      </c>
      <c r="F209" s="62" t="n">
        <v>0</v>
      </c>
      <c r="G209" s="62" t="n">
        <v>0</v>
      </c>
      <c r="H209" s="62" t="n">
        <v>1</v>
      </c>
      <c r="I209" s="62" t="n">
        <v>0</v>
      </c>
      <c r="J209" s="62" t="n">
        <v>0</v>
      </c>
      <c r="K209" s="62" t="n"/>
      <c r="L209" s="64" t="inlineStr">
        <is>
          <t>$75-79</t>
        </is>
      </c>
    </row>
    <row r="210" ht="15" customHeight="1" s="44">
      <c r="A210" s="62" t="inlineStr">
        <is>
          <t>Bombardier</t>
        </is>
      </c>
      <c r="B210" s="62" t="n">
        <v>1</v>
      </c>
      <c r="C210" s="62" t="n"/>
      <c r="D210" s="62" t="inlineStr">
        <is>
          <t>Unknown</t>
        </is>
      </c>
      <c r="E210" s="62" t="n"/>
      <c r="F210" s="62" t="n">
        <v>0</v>
      </c>
      <c r="G210" s="62" t="n">
        <v>0</v>
      </c>
      <c r="H210" s="62" t="n">
        <v>1</v>
      </c>
      <c r="I210" s="62" t="n">
        <v>0</v>
      </c>
      <c r="J210" s="62" t="n">
        <v>0</v>
      </c>
      <c r="K210" s="62" t="n"/>
      <c r="L210" s="64" t="n"/>
    </row>
  </sheetData>
  <autoFilter ref="A1:L210"/>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1.xml><?xml version="1.0" encoding="utf-8"?>
<worksheet xmlns="http://schemas.openxmlformats.org/spreadsheetml/2006/main">
  <sheetPr>
    <outlinePr summaryBelow="1" summaryRight="1"/>
    <pageSetUpPr/>
  </sheetPr>
  <dimension ref="A1:H56"/>
  <sheetViews>
    <sheetView workbookViewId="0">
      <pane ySplit="4" topLeftCell="A5" activePane="bottomLeft" state="frozen"/>
      <selection pane="bottomLeft" activeCell="A1" sqref="A1"/>
    </sheetView>
  </sheetViews>
  <sheetFormatPr baseColWidth="8" defaultRowHeight="15"/>
  <cols>
    <col width="20" customWidth="1" style="44" min="1" max="1"/>
    <col width="20" customWidth="1" style="44" min="2" max="2"/>
    <col width="42" customWidth="1" style="44" min="3" max="3"/>
    <col width="32" customWidth="1" style="44" min="4" max="4"/>
    <col width="32" customWidth="1" style="44" min="5" max="5"/>
    <col width="32" customWidth="1" style="44" min="6" max="6"/>
    <col width="32" customWidth="1" style="44" min="7" max="7"/>
    <col width="34" customWidth="1" style="44" min="8" max="8"/>
  </cols>
  <sheetData>
    <row r="1">
      <c r="A1" s="65" t="inlineStr">
        <is>
          <t>JOB IDENTIFICATION &amp; PURSUIT MODEL</t>
        </is>
      </c>
    </row>
    <row r="2">
      <c r="A2" s="52" t="inlineStr">
        <is>
          <t>Purpose: qualify jobs before applying, separate resume/JD similarity from actual interview probability, and prioritize roles where the profile is credible and human access can be created.</t>
        </is>
      </c>
    </row>
    <row r="3"/>
    <row r="4">
      <c r="A4" s="52" t="n"/>
      <c r="B4" s="52" t="n"/>
      <c r="C4" s="52" t="n"/>
      <c r="D4" s="52" t="n"/>
      <c r="E4" s="52" t="n"/>
      <c r="F4" s="52" t="n"/>
      <c r="G4" s="52" t="n"/>
      <c r="H4" s="52" t="n"/>
    </row>
    <row r="5">
      <c r="A5" s="66" t="inlineStr">
        <is>
          <t>Dimension</t>
        </is>
      </c>
      <c r="B5" s="66" t="inlineStr">
        <is>
          <t>Weight</t>
        </is>
      </c>
      <c r="C5" s="66" t="inlineStr">
        <is>
          <t>What to assess</t>
        </is>
      </c>
      <c r="D5" s="66" t="inlineStr">
        <is>
          <t>90–100</t>
        </is>
      </c>
      <c r="E5" s="66" t="inlineStr">
        <is>
          <t>70–89</t>
        </is>
      </c>
      <c r="F5" s="66" t="inlineStr">
        <is>
          <t>50–69</t>
        </is>
      </c>
      <c r="G5" s="66" t="inlineStr">
        <is>
          <t>&lt;50</t>
        </is>
      </c>
      <c r="H5" s="66" t="inlineStr">
        <is>
          <t>Primary evidence</t>
        </is>
      </c>
    </row>
    <row r="6">
      <c r="A6" s="52" t="inlineStr">
        <is>
          <t>Functional Fit</t>
        </is>
      </c>
      <c r="B6" s="52" t="n">
        <v>0.25</v>
      </c>
      <c r="C6" s="52" t="inlineStr">
        <is>
          <t>Match to actual work: technical program, portfolio, engineering/product operations, transformation, governance, delivery.</t>
        </is>
      </c>
      <c r="D6" s="52" t="inlineStr">
        <is>
          <t>Direct match to core career pattern</t>
        </is>
      </c>
      <c r="E6" s="52" t="inlineStr">
        <is>
          <t>Strong match; minor stretch</t>
        </is>
      </c>
      <c r="F6" s="52" t="inlineStr">
        <is>
          <t>Adjacent function</t>
        </is>
      </c>
      <c r="G6" s="52" t="inlineStr">
        <is>
          <t>Different profession / core accountabilities</t>
        </is>
      </c>
      <c r="H6" s="52" t="inlineStr">
        <is>
          <t>JD responsibilities + resume stories</t>
        </is>
      </c>
    </row>
    <row r="7">
      <c r="A7" s="52" t="inlineStr">
        <is>
          <t>Seniority Fit</t>
        </is>
      </c>
      <c r="B7" s="52" t="n">
        <v>0.15</v>
      </c>
      <c r="C7" s="52" t="inlineStr">
        <is>
          <t>Scope, decision authority, team/stakeholder level, budget/portfolio complexity, title calibration.</t>
        </is>
      </c>
      <c r="D7" s="52" t="inlineStr">
        <is>
          <t>Scope/title strongly aligned</t>
        </is>
      </c>
      <c r="E7" s="52" t="inlineStr">
        <is>
          <t>One-level stretch or slight down-level</t>
        </is>
      </c>
      <c r="F7" s="52" t="inlineStr">
        <is>
          <t>Material calibration gap</t>
        </is>
      </c>
      <c r="G7" s="52" t="inlineStr">
        <is>
          <t>Role expects substantially different level</t>
        </is>
      </c>
      <c r="H7" s="52" t="inlineStr">
        <is>
          <t>Reporting line, scope, org size</t>
        </is>
      </c>
    </row>
    <row r="8">
      <c r="A8" s="52" t="inlineStr">
        <is>
          <t>Domain Fit</t>
        </is>
      </c>
      <c r="B8" s="52" t="n">
        <v>0.1</v>
      </c>
      <c r="C8" s="52" t="inlineStr">
        <is>
          <t>Relevance of telecom, enterprise technology, e-commerce, AI/data, public sector, SaaS/platform experience.</t>
        </is>
      </c>
      <c r="D8" s="52" t="inlineStr">
        <is>
          <t>Direct domain evidence</t>
        </is>
      </c>
      <c r="E8" s="52" t="inlineStr">
        <is>
          <t>Transferable adjacent domain</t>
        </is>
      </c>
      <c r="F8" s="52" t="inlineStr">
        <is>
          <t>Weak domain proof</t>
        </is>
      </c>
      <c r="G8" s="52" t="inlineStr">
        <is>
          <t>Specialized domain requirement not met</t>
        </is>
      </c>
      <c r="H8" s="52" t="inlineStr">
        <is>
          <t>Industry + product context</t>
        </is>
      </c>
    </row>
    <row r="9">
      <c r="A9" s="52" t="inlineStr">
        <is>
          <t>Evidence Strength</t>
        </is>
      </c>
      <c r="B9" s="52" t="n">
        <v>0.15</v>
      </c>
      <c r="C9" s="52" t="inlineStr">
        <is>
          <t>How convincingly the resume can prove the top 3–5 requirements with quantified examples.</t>
        </is>
      </c>
      <c r="D9" s="52" t="inlineStr">
        <is>
          <t>Multiple quantified examples</t>
        </is>
      </c>
      <c r="E9" s="52" t="inlineStr">
        <is>
          <t>Good evidence for most requirements</t>
        </is>
      </c>
      <c r="F9" s="52" t="inlineStr">
        <is>
          <t>Evidence is indirect</t>
        </is>
      </c>
      <c r="G9" s="52" t="inlineStr">
        <is>
          <t>Key requirements cannot be substantiated</t>
        </is>
      </c>
      <c r="H9" s="52" t="inlineStr">
        <is>
          <t>STAR stories / resume bullets</t>
        </is>
      </c>
    </row>
    <row r="10">
      <c r="A10" s="52" t="inlineStr">
        <is>
          <t>Location/Auth Fit</t>
        </is>
      </c>
      <c r="B10" s="52" t="n">
        <v>0.15</v>
      </c>
      <c r="C10" s="52" t="inlineStr">
        <is>
          <t>Canada vs U.S.; work authorization; sponsorship; onsite constraints.</t>
        </is>
      </c>
      <c r="D10" s="52" t="inlineStr">
        <is>
          <t>No barrier</t>
        </is>
      </c>
      <c r="E10" s="52" t="inlineStr">
        <is>
          <t>Minor location constraint</t>
        </is>
      </c>
      <c r="F10" s="52" t="inlineStr">
        <is>
          <t>Manageable but real friction</t>
        </is>
      </c>
      <c r="G10" s="52" t="inlineStr">
        <is>
          <t>Material sponsorship/authorization barrier</t>
        </is>
      </c>
      <c r="H10" s="52" t="inlineStr">
        <is>
          <t>Location + sponsorship question</t>
        </is>
      </c>
    </row>
    <row r="11">
      <c r="A11" s="52" t="inlineStr">
        <is>
          <t>Competitive Positioning</t>
        </is>
      </c>
      <c r="B11" s="52" t="n">
        <v>0.1</v>
      </c>
      <c r="C11" s="52" t="inlineStr">
        <is>
          <t>Whether background is differentiated for this exact role versus likely candidate pool.</t>
        </is>
      </c>
      <c r="D11" s="52" t="inlineStr">
        <is>
          <t>Distinctive combination of relevant experience</t>
        </is>
      </c>
      <c r="E11" s="52" t="inlineStr">
        <is>
          <t>Credible competitive profile</t>
        </is>
      </c>
      <c r="F11" s="52" t="inlineStr">
        <is>
          <t>Generic/adjacent profile</t>
        </is>
      </c>
      <c r="G11" s="52" t="inlineStr">
        <is>
          <t>Role favors a materially different archetype</t>
        </is>
      </c>
      <c r="H11" s="52" t="inlineStr">
        <is>
          <t>Role archetype + must-haves</t>
        </is>
      </c>
    </row>
    <row r="12">
      <c r="A12" s="52" t="inlineStr">
        <is>
          <t>Relationship Access</t>
        </is>
      </c>
      <c r="B12" s="52" t="n">
        <v>0.1</v>
      </c>
      <c r="C12" s="52" t="inlineStr">
        <is>
          <t>Ability to reach recruiter, hiring manager, functional leader, warm connector, or internal advocate.</t>
        </is>
      </c>
      <c r="D12" s="52" t="inlineStr">
        <is>
          <t>Warm advocate / recruiter engaged</t>
        </is>
      </c>
      <c r="E12" s="52" t="inlineStr">
        <is>
          <t>Named reachable contact</t>
        </is>
      </c>
      <c r="F12" s="52" t="inlineStr">
        <is>
          <t>Weak second-degree route</t>
        </is>
      </c>
      <c r="G12" s="52" t="inlineStr">
        <is>
          <t>Pure cold application</t>
        </is>
      </c>
      <c r="H12" s="52" t="inlineStr">
        <is>
          <t>LinkedIn/public research + network</t>
        </is>
      </c>
    </row>
    <row r="13">
      <c r="A13" s="52" t="n"/>
      <c r="B13" s="52" t="n"/>
      <c r="C13" s="52" t="n"/>
      <c r="D13" s="52" t="n"/>
      <c r="E13" s="52" t="n"/>
      <c r="F13" s="52" t="n"/>
      <c r="G13" s="52" t="n"/>
      <c r="H13" s="52" t="n"/>
    </row>
    <row r="14">
      <c r="A14" s="70" t="inlineStr">
        <is>
          <t>HARD GATES — CHECK BEFORE SCORING</t>
        </is>
      </c>
    </row>
    <row r="15">
      <c r="A15" s="68" t="inlineStr">
        <is>
          <t>Gate</t>
        </is>
      </c>
      <c r="B15" s="68" t="inlineStr">
        <is>
          <t>Rule</t>
        </is>
      </c>
      <c r="C15" s="68" t="inlineStr">
        <is>
          <t>Action</t>
        </is>
      </c>
      <c r="D15" s="68" t="n"/>
      <c r="E15" s="68" t="n"/>
      <c r="F15" s="68" t="n"/>
      <c r="G15" s="68" t="n"/>
      <c r="H15" s="68" t="n"/>
    </row>
    <row r="16">
      <c r="A16" s="52" t="inlineStr">
        <is>
          <t>Work authorization</t>
        </is>
      </c>
      <c r="B16" s="52" t="inlineStr">
        <is>
          <t>If role requires U.S. sponsorship and employer does not sponsor / role is ineligible</t>
        </is>
      </c>
      <c r="C16" s="52" t="inlineStr">
        <is>
          <t>Do not pursue unless a credible alternate authorization path exists</t>
        </is>
      </c>
      <c r="D16" s="52" t="n"/>
      <c r="E16" s="52" t="n"/>
      <c r="F16" s="52" t="n"/>
      <c r="G16" s="52" t="n"/>
      <c r="H16" s="52" t="n"/>
    </row>
    <row r="17">
      <c r="A17" s="52" t="inlineStr">
        <is>
          <t>Profession mismatch</t>
        </is>
      </c>
      <c r="B17" s="52" t="inlineStr">
        <is>
          <t>If core job is Product Manager, Software Architect, hands-on ML Engineer, etc. and not program/portfolio leadership</t>
        </is>
      </c>
      <c r="C17" s="52" t="inlineStr">
        <is>
          <t>Usually do not pursue; require exceptional evidence</t>
        </is>
      </c>
      <c r="D17" s="52" t="n"/>
      <c r="E17" s="52" t="n"/>
      <c r="F17" s="52" t="n"/>
      <c r="G17" s="52" t="n"/>
      <c r="H17" s="52" t="n"/>
    </row>
    <row r="18">
      <c r="A18" s="52" t="inlineStr">
        <is>
          <t>Mandatory credential</t>
        </is>
      </c>
      <c r="B18" s="52" t="inlineStr">
        <is>
          <t>If a legally/operationally mandatory credential is absent</t>
        </is>
      </c>
      <c r="C18" s="52" t="inlineStr">
        <is>
          <t>Do not pursue</t>
        </is>
      </c>
      <c r="D18" s="52" t="n"/>
      <c r="E18" s="52" t="n"/>
      <c r="F18" s="52" t="n"/>
      <c r="G18" s="52" t="n"/>
      <c r="H18" s="52" t="n"/>
    </row>
    <row r="19">
      <c r="A19" s="52" t="inlineStr">
        <is>
          <t>Location constraint</t>
        </is>
      </c>
      <c r="B19" s="52" t="inlineStr">
        <is>
          <t>If onsite requirement is incompatible with actual location/relocation plan</t>
        </is>
      </c>
      <c r="C19" s="52" t="inlineStr">
        <is>
          <t>Do not pursue until resolved</t>
        </is>
      </c>
      <c r="D19" s="52" t="n"/>
      <c r="E19" s="52" t="n"/>
      <c r="F19" s="52" t="n"/>
      <c r="G19" s="52" t="n"/>
      <c r="H19" s="52" t="n"/>
    </row>
    <row r="20">
      <c r="A20" s="52" t="inlineStr">
        <is>
          <t>Critical must-have</t>
        </is>
      </c>
      <c r="B20" s="52" t="inlineStr">
        <is>
          <t>If 2+ truly mandatory requirements cannot be evidenced</t>
        </is>
      </c>
      <c r="C20" s="52" t="inlineStr">
        <is>
          <t>Normally do not pursue</t>
        </is>
      </c>
      <c r="D20" s="52" t="n"/>
      <c r="E20" s="52" t="n"/>
      <c r="F20" s="52" t="n"/>
      <c r="G20" s="52" t="n"/>
      <c r="H20" s="52" t="n"/>
    </row>
    <row r="21">
      <c r="A21" s="52" t="n"/>
      <c r="B21" s="52" t="n"/>
      <c r="C21" s="52" t="n"/>
      <c r="D21" s="52" t="n"/>
      <c r="E21" s="52" t="n"/>
      <c r="F21" s="52" t="n"/>
      <c r="G21" s="52" t="n"/>
      <c r="H21" s="52" t="n"/>
    </row>
    <row r="22">
      <c r="A22" s="70" t="inlineStr">
        <is>
          <t>PURSUIT DECISION</t>
        </is>
      </c>
    </row>
    <row r="23">
      <c r="A23" s="66" t="inlineStr">
        <is>
          <t>Strategic Score</t>
        </is>
      </c>
      <c r="B23" s="66" t="inlineStr">
        <is>
          <t>Tier</t>
        </is>
      </c>
      <c r="C23" s="66" t="inlineStr">
        <is>
          <t>Required action</t>
        </is>
      </c>
      <c r="D23" s="66" t="n"/>
      <c r="E23" s="66" t="n"/>
      <c r="F23" s="66" t="n"/>
      <c r="G23" s="66" t="n"/>
      <c r="H23" s="66" t="n"/>
    </row>
    <row r="24">
      <c r="A24" s="52" t="inlineStr">
        <is>
          <t>80–100</t>
        </is>
      </c>
      <c r="B24" s="52" t="inlineStr">
        <is>
          <t>Tier 1 - Pursue</t>
        </is>
      </c>
      <c r="C24" s="52" t="inlineStr">
        <is>
          <t>Tailored resume + apply + map 3 people + outreach within 48 hours + follow-up</t>
        </is>
      </c>
      <c r="D24" s="52" t="n"/>
      <c r="E24" s="52" t="n"/>
      <c r="F24" s="52" t="n"/>
      <c r="G24" s="52" t="n"/>
      <c r="H24" s="52" t="n"/>
    </row>
    <row r="25">
      <c r="A25" s="52" t="inlineStr">
        <is>
          <t>70–79</t>
        </is>
      </c>
      <c r="B25" s="52" t="inlineStr">
        <is>
          <t>Tier 2 - Pursue</t>
        </is>
      </c>
      <c r="C25" s="52" t="inlineStr">
        <is>
          <t>Tailored resume + apply + identify recruiter/HM + at least 1 outreach</t>
        </is>
      </c>
      <c r="D25" s="52" t="n"/>
      <c r="E25" s="52" t="n"/>
      <c r="F25" s="52" t="n"/>
      <c r="G25" s="52" t="n"/>
      <c r="H25" s="52" t="n"/>
    </row>
    <row r="26">
      <c r="A26" s="52" t="inlineStr">
        <is>
          <t>60–69</t>
        </is>
      </c>
      <c r="B26" s="52" t="inlineStr">
        <is>
          <t>Tier 3 - Selective</t>
        </is>
      </c>
      <c r="C26" s="52" t="inlineStr">
        <is>
          <t>Apply only with strong company rationale, warm access, or unusual upside</t>
        </is>
      </c>
      <c r="D26" s="52" t="n"/>
      <c r="E26" s="52" t="n"/>
      <c r="F26" s="52" t="n"/>
      <c r="G26" s="52" t="n"/>
      <c r="H26" s="52" t="n"/>
    </row>
    <row r="27">
      <c r="A27" s="52" t="inlineStr">
        <is>
          <t>&lt;60</t>
        </is>
      </c>
      <c r="B27" s="52" t="inlineStr">
        <is>
          <t>Do Not Pursue</t>
        </is>
      </c>
      <c r="C27" s="52" t="inlineStr">
        <is>
          <t>Do not spend tailoring time unless new evidence materially changes the score</t>
        </is>
      </c>
      <c r="D27" s="52" t="n"/>
      <c r="E27" s="52" t="n"/>
      <c r="F27" s="52" t="n"/>
      <c r="G27" s="52" t="n"/>
      <c r="H27" s="52" t="n"/>
    </row>
    <row r="28">
      <c r="A28" s="52" t="inlineStr">
        <is>
          <t>Any score + hard gate</t>
        </is>
      </c>
      <c r="B28" s="52" t="inlineStr">
        <is>
          <t>Selective / Barrier</t>
        </is>
      </c>
      <c r="C28" s="52" t="inlineStr">
        <is>
          <t>Resolve the gate first; score alone does not justify applying</t>
        </is>
      </c>
      <c r="D28" s="52" t="n"/>
      <c r="E28" s="52" t="n"/>
      <c r="F28" s="52" t="n"/>
      <c r="G28" s="52" t="n"/>
      <c r="H28" s="52" t="n"/>
    </row>
    <row r="29">
      <c r="A29" s="52" t="n"/>
      <c r="B29" s="52" t="n"/>
      <c r="C29" s="52" t="n"/>
      <c r="D29" s="52" t="n"/>
      <c r="E29" s="52" t="n"/>
      <c r="F29" s="52" t="n"/>
      <c r="G29" s="52" t="n"/>
      <c r="H29" s="52" t="n"/>
    </row>
    <row r="30">
      <c r="A30" s="52" t="n"/>
      <c r="B30" s="52" t="n"/>
      <c r="C30" s="52" t="n"/>
      <c r="D30" s="52" t="n"/>
      <c r="E30" s="52" t="n"/>
      <c r="F30" s="52" t="n"/>
      <c r="G30" s="52" t="n"/>
      <c r="H30" s="52" t="n"/>
    </row>
    <row r="31">
      <c r="A31" s="70" t="inlineStr">
        <is>
          <t>ROLE IDENTIFICATION — SEARCH PRIORITY</t>
        </is>
      </c>
    </row>
    <row r="32">
      <c r="A32" s="68" t="inlineStr">
        <is>
          <t>Priority</t>
        </is>
      </c>
      <c r="B32" s="68" t="inlineStr">
        <is>
          <t>Role families</t>
        </is>
      </c>
      <c r="C32" s="68" t="inlineStr">
        <is>
          <t>Why they fit</t>
        </is>
      </c>
      <c r="D32" s="68" t="inlineStr">
        <is>
          <t>Watch-outs</t>
        </is>
      </c>
      <c r="E32" s="68" t="n"/>
      <c r="F32" s="68" t="n"/>
      <c r="G32" s="68" t="n"/>
      <c r="H32" s="68" t="n"/>
    </row>
    <row r="33">
      <c r="A33" s="52" t="inlineStr">
        <is>
          <t>Primary</t>
        </is>
      </c>
      <c r="B33" s="52" t="inlineStr">
        <is>
          <t>Senior / Lead Technical Program Manager; Principal TPM</t>
        </is>
      </c>
      <c r="C33" s="52" t="inlineStr">
        <is>
          <t>Direct program leadership close to Product/Engineering; complex dependencies; platform/data/AI programs</t>
        </is>
      </c>
      <c r="D33" s="52" t="inlineStr">
        <is>
          <t>Avoid deeply specialized silicon/hardware roles unless transferable evidence is strong</t>
        </is>
      </c>
      <c r="E33" s="52" t="n"/>
      <c r="F33" s="52" t="n"/>
      <c r="G33" s="52" t="n"/>
      <c r="H33" s="52" t="n"/>
    </row>
    <row r="34">
      <c r="A34" s="52" t="inlineStr">
        <is>
          <t>Primary</t>
        </is>
      </c>
      <c r="B34" s="52" t="inlineStr">
        <is>
          <t>Technology Portfolio Manager; Director/Head of Portfolio; Portfolio &amp; Operations</t>
        </is>
      </c>
      <c r="C34" s="52" t="inlineStr">
        <is>
          <t>Strong governance, prioritization, intake, capacity/resource planning, executive reporting and portfolio operating model</t>
        </is>
      </c>
      <c r="D34" s="52" t="inlineStr">
        <is>
          <t>Confirm role is not primarily financial investment portfolio management</t>
        </is>
      </c>
      <c r="E34" s="52" t="n"/>
      <c r="F34" s="52" t="n"/>
      <c r="G34" s="52" t="n"/>
      <c r="H34" s="52" t="n"/>
    </row>
    <row r="35">
      <c r="A35" s="52" t="inlineStr">
        <is>
          <t>Primary</t>
        </is>
      </c>
      <c r="B35" s="52" t="inlineStr">
        <is>
          <t>Director / Senior Manager, AI Engineering Operations / AI Transformation Program</t>
        </is>
      </c>
      <c r="C35" s="52" t="inlineStr">
        <is>
          <t>Combines enterprise transformation, AI/data initiatives, governance and operating discipline</t>
        </is>
      </c>
      <c r="D35" s="52" t="inlineStr">
        <is>
          <t>Avoid roles requiring hands-on ML research leadership</t>
        </is>
      </c>
      <c r="E35" s="52" t="n"/>
      <c r="F35" s="52" t="n"/>
      <c r="G35" s="52" t="n"/>
      <c r="H35" s="52" t="n"/>
    </row>
    <row r="36">
      <c r="A36" s="52" t="inlineStr">
        <is>
          <t>Primary</t>
        </is>
      </c>
      <c r="B36" s="52" t="inlineStr">
        <is>
          <t>Data / Platform Program Manager; Enterprise Transformation Program Lead</t>
        </is>
      </c>
      <c r="C36" s="52" t="inlineStr">
        <is>
          <t>Strong cross-functional modernization, cloud/data/platform and governance experience</t>
        </is>
      </c>
      <c r="D36" s="52" t="inlineStr">
        <is>
          <t>Check domain-specific technical depth requirements</t>
        </is>
      </c>
      <c r="E36" s="52" t="n"/>
      <c r="F36" s="52" t="n"/>
      <c r="G36" s="52" t="n"/>
      <c r="H36" s="52" t="n"/>
    </row>
    <row r="37">
      <c r="A37" s="52" t="inlineStr">
        <is>
          <t>Secondary</t>
        </is>
      </c>
      <c r="B37" s="52" t="inlineStr">
        <is>
          <t>Product Operations / Engineering Operations / PMO leadership</t>
        </is>
      </c>
      <c r="C37" s="52" t="inlineStr">
        <is>
          <t>Good operating-model and cross-functional fit</t>
        </is>
      </c>
      <c r="D37" s="52" t="inlineStr">
        <is>
          <t>Ensure scope is strategic enough; avoid coordinator-heavy PMO roles</t>
        </is>
      </c>
      <c r="E37" s="52" t="n"/>
      <c r="F37" s="52" t="n"/>
      <c r="G37" s="52" t="n"/>
      <c r="H37" s="52" t="n"/>
    </row>
    <row r="38">
      <c r="A38" s="52" t="inlineStr">
        <is>
          <t>Selective</t>
        </is>
      </c>
      <c r="B38" s="52" t="inlineStr">
        <is>
          <t>AI Product Manager / Senior Product Manager</t>
        </is>
      </c>
      <c r="C38" s="52" t="inlineStr">
        <is>
          <t>Only where role values program leadership, enterprise AI adoption, platform operations or technical delivery</t>
        </is>
      </c>
      <c r="D38" s="52" t="inlineStr">
        <is>
          <t>Pure product strategy/roadmap/experimentation roles are a weaker archetype</t>
        </is>
      </c>
      <c r="E38" s="52" t="n"/>
      <c r="F38" s="52" t="n"/>
      <c r="G38" s="52" t="n"/>
      <c r="H38" s="52" t="n"/>
    </row>
    <row r="39">
      <c r="A39" s="52" t="inlineStr">
        <is>
          <t>Selective</t>
        </is>
      </c>
      <c r="B39" s="52" t="inlineStr">
        <is>
          <t>Business Analyst / Project Manager</t>
        </is>
      </c>
      <c r="C39" s="52" t="inlineStr">
        <is>
          <t>Use only when economics, contract structure, or strategic access justify down-leveling</t>
        </is>
      </c>
      <c r="D39" s="52" t="inlineStr">
        <is>
          <t>May dilute senior positioning</t>
        </is>
      </c>
      <c r="E39" s="52" t="n"/>
      <c r="F39" s="52" t="n"/>
      <c r="G39" s="52" t="n"/>
      <c r="H39" s="52" t="n"/>
    </row>
    <row r="40">
      <c r="A40" s="52" t="inlineStr">
        <is>
          <t>Generally exclude</t>
        </is>
      </c>
      <c r="B40" s="52" t="inlineStr">
        <is>
          <t>Hands-on Solution/Enterprise Architect; ML Engineer; pure Software Engineering</t>
        </is>
      </c>
      <c r="C40" s="52" t="inlineStr">
        <is>
          <t>Core profession mismatch</t>
        </is>
      </c>
      <c r="D40" s="52" t="inlineStr">
        <is>
          <t>Apply only if role is actually program/portfolio leadership despite title</t>
        </is>
      </c>
      <c r="E40" s="52" t="n"/>
      <c r="F40" s="52" t="n"/>
      <c r="G40" s="52" t="n"/>
      <c r="H40" s="52" t="n"/>
    </row>
    <row r="41">
      <c r="A41" s="52" t="n"/>
      <c r="B41" s="52" t="n"/>
      <c r="C41" s="52" t="n"/>
      <c r="D41" s="52" t="n"/>
      <c r="E41" s="52" t="n"/>
      <c r="F41" s="52" t="n"/>
      <c r="G41" s="52" t="n"/>
      <c r="H41" s="52" t="n"/>
    </row>
    <row r="42">
      <c r="A42" s="52" t="n"/>
      <c r="B42" s="52" t="n"/>
      <c r="C42" s="52" t="n"/>
      <c r="D42" s="52" t="n"/>
      <c r="E42" s="52" t="n"/>
      <c r="F42" s="52" t="n"/>
      <c r="G42" s="52" t="n"/>
      <c r="H42" s="52" t="n"/>
    </row>
    <row r="43">
      <c r="A43" s="70" t="inlineStr">
        <is>
          <t>AGENT WORKFLOW — FOR EACH NEW ROLE</t>
        </is>
      </c>
    </row>
    <row r="44">
      <c r="A44" s="66" t="inlineStr">
        <is>
          <t>Step</t>
        </is>
      </c>
      <c r="B44" s="66" t="inlineStr">
        <is>
          <t>Agent check</t>
        </is>
      </c>
      <c r="C44" s="66" t="inlineStr">
        <is>
          <t>Output</t>
        </is>
      </c>
      <c r="D44" s="66" t="n"/>
      <c r="E44" s="66" t="n"/>
      <c r="F44" s="66" t="n"/>
      <c r="G44" s="66" t="n"/>
      <c r="H44" s="66" t="n"/>
    </row>
    <row r="45">
      <c r="A45" s="52" t="n">
        <v>1</v>
      </c>
      <c r="B45" s="52" t="inlineStr">
        <is>
          <t>Confirm role is still open from official company/careers source</t>
        </is>
      </c>
      <c r="C45" s="52" t="inlineStr">
        <is>
          <t>Live URL + date checked</t>
        </is>
      </c>
      <c r="D45" s="52" t="n"/>
      <c r="E45" s="52" t="n"/>
      <c r="F45" s="52" t="n"/>
      <c r="G45" s="52" t="n"/>
      <c r="H45" s="52" t="n"/>
    </row>
    <row r="46">
      <c r="A46" s="52" t="n">
        <v>2</v>
      </c>
      <c r="B46" s="52" t="inlineStr">
        <is>
          <t>Extract location, work model, compensation if available, sponsorship/work authorization language</t>
        </is>
      </c>
      <c r="C46" s="52" t="inlineStr">
        <is>
          <t>Eligibility record</t>
        </is>
      </c>
      <c r="D46" s="52" t="n"/>
      <c r="E46" s="52" t="n"/>
      <c r="F46" s="52" t="n"/>
      <c r="G46" s="52" t="n"/>
      <c r="H46" s="52" t="n"/>
    </row>
    <row r="47">
      <c r="A47" s="52" t="n">
        <v>3</v>
      </c>
      <c r="B47" s="52" t="inlineStr">
        <is>
          <t>Extract top responsibilities, must-haves, preferred qualifications and reporting line</t>
        </is>
      </c>
      <c r="C47" s="52" t="inlineStr">
        <is>
          <t>Structured JD</t>
        </is>
      </c>
      <c r="D47" s="52" t="n"/>
      <c r="E47" s="52" t="n"/>
      <c r="F47" s="52" t="n"/>
      <c r="G47" s="52" t="n"/>
      <c r="H47" s="52" t="n"/>
    </row>
    <row r="48">
      <c r="A48" s="52" t="n">
        <v>4</v>
      </c>
      <c r="B48" s="52" t="inlineStr">
        <is>
          <t>Apply hard gates</t>
        </is>
      </c>
      <c r="C48" s="52" t="inlineStr">
        <is>
          <t>Pass / barrier / exclude</t>
        </is>
      </c>
      <c r="D48" s="52" t="n"/>
      <c r="E48" s="52" t="n"/>
      <c r="F48" s="52" t="n"/>
      <c r="G48" s="52" t="n"/>
      <c r="H48" s="52" t="n"/>
    </row>
    <row r="49">
      <c r="A49" s="52" t="n">
        <v>5</v>
      </c>
      <c r="B49" s="52" t="inlineStr">
        <is>
          <t>Score 7 dimensions independently</t>
        </is>
      </c>
      <c r="C49" s="52" t="inlineStr">
        <is>
          <t>Strategic Fit Score + rationale</t>
        </is>
      </c>
      <c r="D49" s="52" t="n"/>
      <c r="E49" s="52" t="n"/>
      <c r="F49" s="52" t="n"/>
      <c r="G49" s="52" t="n"/>
      <c r="H49" s="52" t="n"/>
    </row>
    <row r="50">
      <c r="A50" s="52" t="n">
        <v>6</v>
      </c>
      <c r="B50" s="52" t="inlineStr">
        <is>
          <t>Classify role family and seniority archetype</t>
        </is>
      </c>
      <c r="C50" s="52" t="inlineStr">
        <is>
          <t>Primary / Secondary / Selective / Exclude</t>
        </is>
      </c>
      <c r="D50" s="52" t="n"/>
      <c r="E50" s="52" t="n"/>
      <c r="F50" s="52" t="n"/>
      <c r="G50" s="52" t="n"/>
      <c r="H50" s="52" t="n"/>
    </row>
    <row r="51">
      <c r="A51" s="52" t="n">
        <v>7</v>
      </c>
      <c r="B51" s="52" t="inlineStr">
        <is>
          <t>Map resume evidence to top 5 requirements; identify unsupported claims</t>
        </is>
      </c>
      <c r="C51" s="52" t="inlineStr">
        <is>
          <t>Evidence matrix</t>
        </is>
      </c>
      <c r="D51" s="52" t="n"/>
      <c r="E51" s="52" t="n"/>
      <c r="F51" s="52" t="n"/>
      <c r="G51" s="52" t="n"/>
      <c r="H51" s="52" t="n"/>
    </row>
    <row r="52">
      <c r="A52" s="52" t="n">
        <v>8</v>
      </c>
      <c r="B52" s="52" t="inlineStr">
        <is>
          <t>Research hiring manager, recruiter, manager's manager, functional peers and public org clues</t>
        </is>
      </c>
      <c r="C52" s="52" t="inlineStr">
        <is>
          <t>People map</t>
        </is>
      </c>
      <c r="D52" s="52" t="n"/>
      <c r="E52" s="52" t="n"/>
      <c r="F52" s="52" t="n"/>
      <c r="G52" s="52" t="n"/>
      <c r="H52" s="52" t="n"/>
    </row>
    <row r="53">
      <c r="A53" s="52" t="n">
        <v>9</v>
      </c>
      <c r="B53" s="52" t="inlineStr">
        <is>
          <t>Search warm paths: Rotman, IBM, Amazon, Bell, prior colleagues, mutual connections</t>
        </is>
      </c>
      <c r="C53" s="52" t="inlineStr">
        <is>
          <t>Connector map</t>
        </is>
      </c>
      <c r="D53" s="52" t="n"/>
      <c r="E53" s="52" t="n"/>
      <c r="F53" s="52" t="n"/>
      <c r="G53" s="52" t="n"/>
      <c r="H53" s="52" t="n"/>
    </row>
    <row r="54">
      <c r="A54" s="52" t="n">
        <v>10</v>
      </c>
      <c r="B54" s="52" t="inlineStr">
        <is>
          <t>Recommend pursuit tier and required outreach depth</t>
        </is>
      </c>
      <c r="C54" s="52" t="inlineStr">
        <is>
          <t>Tier + action plan</t>
        </is>
      </c>
      <c r="D54" s="52" t="n"/>
      <c r="E54" s="52" t="n"/>
      <c r="F54" s="52" t="n"/>
      <c r="G54" s="52" t="n"/>
      <c r="H54" s="52" t="n"/>
    </row>
    <row r="55">
      <c r="A55" s="52" t="n">
        <v>11</v>
      </c>
      <c r="B55" s="52" t="inlineStr">
        <is>
          <t>After application, log outreach and next action date</t>
        </is>
      </c>
      <c r="C55" s="52" t="inlineStr">
        <is>
          <t>Closed-loop tracker</t>
        </is>
      </c>
      <c r="D55" s="52" t="n"/>
      <c r="E55" s="52" t="n"/>
      <c r="F55" s="52" t="n"/>
      <c r="G55" s="52" t="n"/>
      <c r="H55" s="52" t="n"/>
    </row>
    <row r="56">
      <c r="A56" s="52" t="n">
        <v>12</v>
      </c>
      <c r="B56" s="52" t="inlineStr">
        <is>
          <t>Update outcome and feed conversion data back into model weights</t>
        </is>
      </c>
      <c r="C56" s="52" t="inlineStr">
        <is>
          <t>Learning loop</t>
        </is>
      </c>
      <c r="D56" s="52" t="n"/>
      <c r="E56" s="52" t="n"/>
      <c r="F56" s="52" t="n"/>
      <c r="G56" s="52" t="n"/>
      <c r="H56" s="52" t="n"/>
    </row>
  </sheetData>
  <mergeCells count="6">
    <mergeCell ref="A43:H43"/>
    <mergeCell ref="A2:H3"/>
    <mergeCell ref="A14:H14"/>
    <mergeCell ref="A1:H1"/>
    <mergeCell ref="A31:H31"/>
    <mergeCell ref="A22:H2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2026-09-04T15:24:24Z</dcterms:created>
  <dcterms:modified xmlns:dcterms="http://purl.org/dc/terms/" xmlns:xsi="http://www.w3.org/2001/XMLSchema-instance" xsi:type="dcterms:W3CDTF">2026-10-02T13:18:37Z</dcterms:modified>
  <cp:lastModifiedBy>Elena S</cp:lastModifiedBy>
  <cp:revision>0</cp:revision>
</cp:coreProperties>
</file>